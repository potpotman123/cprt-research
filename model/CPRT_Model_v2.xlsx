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Scenarios" sheetId="13" state="visible" r:id="rId13"/>
    <sheet xmlns:r="http://schemas.openxmlformats.org/officeDocument/2006/relationships" name="Street" sheetId="14" state="visible" r:id="rId14"/>
    <sheet xmlns:r="http://schemas.openxmlformats.org/officeDocument/2006/relationships" name="Sources" sheetId="15" state="visible" r:id="rId15"/>
    <sheet xmlns:r="http://schemas.openxmlformats.org/officeDocument/2006/relationships" name="Checks" sheetId="16" state="visible" r:id="rId16"/>
    <sheet xmlns:r="http://schemas.openxmlformats.org/officeDocument/2006/relationships" name="DATA -----&gt;" sheetId="17" state="visible" r:id="rId17"/>
    <sheet xmlns:r="http://schemas.openxmlformats.org/officeDocument/2006/relationships" name="D Reported" sheetId="18" state="visible" r:id="rId18"/>
    <sheet xmlns:r="http://schemas.openxmlformats.org/officeDocument/2006/relationships" name="D Coverage" sheetId="19" state="visible" r:id="rId19"/>
    <sheet xmlns:r="http://schemas.openxmlformats.org/officeDocument/2006/relationships" name="D CCC" sheetId="20" state="visible" r:id="rId20"/>
    <sheet xmlns:r="http://schemas.openxmlformats.org/officeDocument/2006/relationships" name="D Fleet" sheetId="21" state="visible" r:id="rId21"/>
    <sheet xmlns:r="http://schemas.openxmlformats.org/officeDocument/2006/relationships" name="D Fees" sheetId="22" state="visible" r:id="rId22"/>
    <sheet xmlns:r="http://schemas.openxmlformats.org/officeDocument/2006/relationships" name="D Carriers" sheetId="23" state="visible" r:id="rId23"/>
    <sheet xmlns:r="http://schemas.openxmlformats.org/officeDocument/2006/relationships" name="D Engine" sheetId="24" state="visible" r:id="rId24"/>
    <sheet xmlns:r="http://schemas.openxmlformats.org/officeDocument/2006/relationships" name="Volume Build" sheetId="25" state="hidden" r:id="rId25"/>
    <sheet xmlns:r="http://schemas.openxmlformats.org/officeDocument/2006/relationships" name="RPU Build" sheetId="26" state="hidden" r:id="rId26"/>
    <sheet xmlns:r="http://schemas.openxmlformats.org/officeDocument/2006/relationships" name="PB IS (Annual)" sheetId="27" state="hidden" r:id="rId27"/>
    <sheet xmlns:r="http://schemas.openxmlformats.org/officeDocument/2006/relationships" name="PB BS (Annual)" sheetId="28" state="hidden" r:id="rId28"/>
    <sheet xmlns:r="http://schemas.openxmlformats.org/officeDocument/2006/relationships" name="PB CF (Annual)" sheetId="29" state="hidden" r:id="rId29"/>
    <sheet xmlns:r="http://schemas.openxmlformats.org/officeDocument/2006/relationships" name="PB IS (Qtr)" sheetId="30" state="hidden" r:id="rId30"/>
    <sheet xmlns:r="http://schemas.openxmlformats.org/officeDocument/2006/relationships" name="PB BS (Qtr)" sheetId="31" state="hidden" r:id="rId31"/>
    <sheet xmlns:r="http://schemas.openxmlformats.org/officeDocument/2006/relationships" name="PB CF (Qtr)" sheetId="32" state="hidden" r:id="rId32"/>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23">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60"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0" fontId="49" fillId="10" borderId="15" applyAlignment="1" pivotButton="0" quotePrefix="0" xfId="0">
      <alignment horizontal="right"/>
    </xf>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67"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77" fontId="52" fillId="0" borderId="0" pivotButton="0" quotePrefix="0" xfId="0"/>
    <xf numFmtId="176" fontId="55" fillId="0" borderId="0" pivotButton="0" quotePrefix="0" xfId="0"/>
    <xf numFmtId="165" fontId="53" fillId="0" borderId="0" pivotButton="0" quotePrefix="0" xfId="0"/>
    <xf numFmtId="175" fontId="50" fillId="0" borderId="0" pivotButton="0" quotePrefix="0" xfId="0"/>
    <xf numFmtId="176" fontId="50"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66" fontId="58" fillId="0" borderId="0" pivotButton="0" quotePrefix="0" xfId="0"/>
    <xf numFmtId="1" fontId="52" fillId="0" borderId="0" pivotButton="0" quotePrefix="0" xfId="0"/>
    <xf numFmtId="167"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0" fillId="0" borderId="0"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 fontId="50" fillId="0" borderId="0" pivotButton="0" quotePrefix="0" xfId="0"/>
    <xf numFmtId="176" fontId="52" fillId="0" borderId="0" pivotButton="0" quotePrefix="0" xfId="0"/>
    <xf numFmtId="176" fontId="50" fillId="0" borderId="0" pivotButton="0" quotePrefix="0" xfId="0"/>
    <xf numFmtId="1" fontId="51"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64" t="n">
        <v>2019</v>
      </c>
      <c r="E3" s="264" t="n">
        <v>2020</v>
      </c>
      <c r="F3" s="264" t="n">
        <v>2021</v>
      </c>
      <c r="G3" s="264" t="n">
        <v>2022</v>
      </c>
      <c r="H3" s="264" t="n">
        <v>2023</v>
      </c>
      <c r="I3" s="264" t="n">
        <v>2024</v>
      </c>
      <c r="J3" s="264" t="n">
        <v>2025</v>
      </c>
      <c r="K3" s="264" t="n">
        <v>2026</v>
      </c>
      <c r="L3" s="264" t="n">
        <v>2027</v>
      </c>
      <c r="M3" s="264" t="n">
        <v>2028</v>
      </c>
    </row>
    <row r="4">
      <c r="C4" s="265" t="inlineStr">
        <is>
          <t>Units</t>
        </is>
      </c>
      <c r="D4" s="266" t="inlineStr">
        <is>
          <t>Historicals</t>
        </is>
      </c>
      <c r="E4" s="267" t="n"/>
      <c r="F4" s="267" t="n"/>
      <c r="G4" s="267" t="n"/>
      <c r="H4" s="267" t="n"/>
      <c r="I4" s="267" t="n"/>
      <c r="J4" s="267" t="n"/>
      <c r="K4" s="266" t="inlineStr">
        <is>
          <t>Projected</t>
        </is>
      </c>
      <c r="L4" s="267" t="n"/>
      <c r="M4" s="267" t="n"/>
      <c r="P4" s="268" t="inlineStr">
        <is>
          <t>Notes / sources</t>
        </is>
      </c>
    </row>
    <row r="5">
      <c r="B5" s="235" t="inlineStr">
        <is>
          <t>A. Births by body (new light vehicles sold in the calendar year)</t>
        </is>
      </c>
      <c r="C5" s="236" t="n"/>
      <c r="D5" s="269" t="inlineStr">
        <is>
          <t>CY2019</t>
        </is>
      </c>
      <c r="E5" s="269" t="inlineStr">
        <is>
          <t>CY2020</t>
        </is>
      </c>
      <c r="F5" s="269" t="inlineStr">
        <is>
          <t>CY2021</t>
        </is>
      </c>
      <c r="G5" s="269" t="inlineStr">
        <is>
          <t>CY2022</t>
        </is>
      </c>
      <c r="H5" s="269" t="inlineStr">
        <is>
          <t>CY2023</t>
        </is>
      </c>
      <c r="I5" s="269" t="inlineStr">
        <is>
          <t>CY2024</t>
        </is>
      </c>
      <c r="J5" s="269" t="inlineStr">
        <is>
          <t>CY2025</t>
        </is>
      </c>
      <c r="K5" s="269" t="inlineStr">
        <is>
          <t>CY2026</t>
        </is>
      </c>
      <c r="L5" s="269" t="inlineStr">
        <is>
          <t>CY2027</t>
        </is>
      </c>
      <c r="M5" s="269" t="inlineStr">
        <is>
          <t>CY2028</t>
        </is>
      </c>
      <c r="N5" s="236" t="n"/>
      <c r="O5" s="236" t="n"/>
      <c r="P5" s="236" t="n"/>
      <c r="Q5" s="236" t="n"/>
      <c r="R5" s="236" t="n"/>
      <c r="S5" s="236" t="n"/>
    </row>
    <row r="6">
      <c r="B6" s="238" t="inlineStr">
        <is>
          <t>Car</t>
        </is>
      </c>
      <c r="C6" s="256" t="inlineStr">
        <is>
          <t>000s</t>
        </is>
      </c>
      <c r="D6" s="270">
        <f>INDEX('D Fleet'!$C$5:$C$62,MATCH(D$3,'D Fleet'!$B$5:$B$62,0))</f>
        <v/>
      </c>
      <c r="E6" s="270">
        <f>INDEX('D Fleet'!$C$5:$C$62,MATCH(E$3,'D Fleet'!$B$5:$B$62,0))</f>
        <v/>
      </c>
      <c r="F6" s="270">
        <f>INDEX('D Fleet'!$C$5:$C$62,MATCH(F$3,'D Fleet'!$B$5:$B$62,0))</f>
        <v/>
      </c>
      <c r="G6" s="270">
        <f>INDEX('D Fleet'!$C$5:$C$62,MATCH(G$3,'D Fleet'!$B$5:$B$62,0))</f>
        <v/>
      </c>
      <c r="H6" s="270">
        <f>INDEX('D Fleet'!$C$5:$C$62,MATCH(H$3,'D Fleet'!$B$5:$B$62,0))</f>
        <v/>
      </c>
      <c r="I6" s="270">
        <f>INDEX('D Fleet'!$C$5:$C$62,MATCH(I$3,'D Fleet'!$B$5:$B$62,0))</f>
        <v/>
      </c>
      <c r="J6" s="270">
        <f>INDEX('D Fleet'!$C$5:$C$62,MATCH(J$3,'D Fleet'!$B$5:$B$62,0))</f>
        <v/>
      </c>
      <c r="K6" s="270">
        <f>INDEX('D Fleet'!$C$5:$C$62,MATCH(K$3,'D Fleet'!$B$5:$B$62,0))</f>
        <v/>
      </c>
      <c r="L6" s="270">
        <f>INDEX('D Fleet'!$C$5:$C$62,MATCH(L$3,'D Fleet'!$B$5:$B$62,0))</f>
        <v/>
      </c>
      <c r="M6" s="270">
        <f>INDEX('D Fleet'!$C$5:$C$62,MATCH(M$3,'D Fleet'!$B$5:$B$62,0))</f>
        <v/>
      </c>
      <c r="P6" s="234" t="inlineStr">
        <is>
          <t>D Fleet; Ward's/ORNL to 2021, FRED 2022–25 (VERIFIED); SUV/pickup/van split is an EPA composition proxy (ASSUMED)</t>
        </is>
      </c>
    </row>
    <row r="7">
      <c r="B7" s="238" t="inlineStr">
        <is>
          <t>Utility vehicle (SUV)</t>
        </is>
      </c>
      <c r="C7" s="256" t="inlineStr">
        <is>
          <t>000s</t>
        </is>
      </c>
      <c r="D7" s="270">
        <f>INDEX('D Fleet'!$D$5:$D$62,MATCH(D$3,'D Fleet'!$B$5:$B$62,0))</f>
        <v/>
      </c>
      <c r="E7" s="270">
        <f>INDEX('D Fleet'!$D$5:$D$62,MATCH(E$3,'D Fleet'!$B$5:$B$62,0))</f>
        <v/>
      </c>
      <c r="F7" s="270">
        <f>INDEX('D Fleet'!$D$5:$D$62,MATCH(F$3,'D Fleet'!$B$5:$B$62,0))</f>
        <v/>
      </c>
      <c r="G7" s="270">
        <f>INDEX('D Fleet'!$D$5:$D$62,MATCH(G$3,'D Fleet'!$B$5:$B$62,0))</f>
        <v/>
      </c>
      <c r="H7" s="270">
        <f>INDEX('D Fleet'!$D$5:$D$62,MATCH(H$3,'D Fleet'!$B$5:$B$62,0))</f>
        <v/>
      </c>
      <c r="I7" s="270">
        <f>INDEX('D Fleet'!$D$5:$D$62,MATCH(I$3,'D Fleet'!$B$5:$B$62,0))</f>
        <v/>
      </c>
      <c r="J7" s="270">
        <f>INDEX('D Fleet'!$D$5:$D$62,MATCH(J$3,'D Fleet'!$B$5:$B$62,0))</f>
        <v/>
      </c>
      <c r="K7" s="270">
        <f>INDEX('D Fleet'!$D$5:$D$62,MATCH(K$3,'D Fleet'!$B$5:$B$62,0))</f>
        <v/>
      </c>
      <c r="L7" s="270">
        <f>INDEX('D Fleet'!$D$5:$D$62,MATCH(L$3,'D Fleet'!$B$5:$B$62,0))</f>
        <v/>
      </c>
      <c r="M7" s="270">
        <f>INDEX('D Fleet'!$D$5:$D$62,MATCH(M$3,'D Fleet'!$B$5:$B$62,0))</f>
        <v/>
      </c>
    </row>
    <row r="8">
      <c r="B8" s="238" t="inlineStr">
        <is>
          <t>Pickup</t>
        </is>
      </c>
      <c r="C8" s="256" t="inlineStr">
        <is>
          <t>000s</t>
        </is>
      </c>
      <c r="D8" s="270">
        <f>INDEX('D Fleet'!$E$5:$E$62,MATCH(D$3,'D Fleet'!$B$5:$B$62,0))</f>
        <v/>
      </c>
      <c r="E8" s="270">
        <f>INDEX('D Fleet'!$E$5:$E$62,MATCH(E$3,'D Fleet'!$B$5:$B$62,0))</f>
        <v/>
      </c>
      <c r="F8" s="270">
        <f>INDEX('D Fleet'!$E$5:$E$62,MATCH(F$3,'D Fleet'!$B$5:$B$62,0))</f>
        <v/>
      </c>
      <c r="G8" s="270">
        <f>INDEX('D Fleet'!$E$5:$E$62,MATCH(G$3,'D Fleet'!$B$5:$B$62,0))</f>
        <v/>
      </c>
      <c r="H8" s="270">
        <f>INDEX('D Fleet'!$E$5:$E$62,MATCH(H$3,'D Fleet'!$B$5:$B$62,0))</f>
        <v/>
      </c>
      <c r="I8" s="270">
        <f>INDEX('D Fleet'!$E$5:$E$62,MATCH(I$3,'D Fleet'!$B$5:$B$62,0))</f>
        <v/>
      </c>
      <c r="J8" s="270">
        <f>INDEX('D Fleet'!$E$5:$E$62,MATCH(J$3,'D Fleet'!$B$5:$B$62,0))</f>
        <v/>
      </c>
      <c r="K8" s="270">
        <f>INDEX('D Fleet'!$E$5:$E$62,MATCH(K$3,'D Fleet'!$B$5:$B$62,0))</f>
        <v/>
      </c>
      <c r="L8" s="270">
        <f>INDEX('D Fleet'!$E$5:$E$62,MATCH(L$3,'D Fleet'!$B$5:$B$62,0))</f>
        <v/>
      </c>
      <c r="M8" s="270">
        <f>INDEX('D Fleet'!$E$5:$E$62,MATCH(M$3,'D Fleet'!$B$5:$B$62,0))</f>
        <v/>
      </c>
    </row>
    <row r="9">
      <c r="B9" s="238" t="inlineStr">
        <is>
          <t>Van / minivan</t>
        </is>
      </c>
      <c r="C9" s="256" t="inlineStr">
        <is>
          <t>000s</t>
        </is>
      </c>
      <c r="D9" s="270">
        <f>INDEX('D Fleet'!$F$5:$F$62,MATCH(D$3,'D Fleet'!$B$5:$B$62,0))</f>
        <v/>
      </c>
      <c r="E9" s="270">
        <f>INDEX('D Fleet'!$F$5:$F$62,MATCH(E$3,'D Fleet'!$B$5:$B$62,0))</f>
        <v/>
      </c>
      <c r="F9" s="270">
        <f>INDEX('D Fleet'!$F$5:$F$62,MATCH(F$3,'D Fleet'!$B$5:$B$62,0))</f>
        <v/>
      </c>
      <c r="G9" s="270">
        <f>INDEX('D Fleet'!$F$5:$F$62,MATCH(G$3,'D Fleet'!$B$5:$B$62,0))</f>
        <v/>
      </c>
      <c r="H9" s="270">
        <f>INDEX('D Fleet'!$F$5:$F$62,MATCH(H$3,'D Fleet'!$B$5:$B$62,0))</f>
        <v/>
      </c>
      <c r="I9" s="270">
        <f>INDEX('D Fleet'!$F$5:$F$62,MATCH(I$3,'D Fleet'!$B$5:$B$62,0))</f>
        <v/>
      </c>
      <c r="J9" s="270">
        <f>INDEX('D Fleet'!$F$5:$F$62,MATCH(J$3,'D Fleet'!$B$5:$B$62,0))</f>
        <v/>
      </c>
      <c r="K9" s="270">
        <f>INDEX('D Fleet'!$F$5:$F$62,MATCH(K$3,'D Fleet'!$B$5:$B$62,0))</f>
        <v/>
      </c>
      <c r="L9" s="270">
        <f>INDEX('D Fleet'!$F$5:$F$62,MATCH(L$3,'D Fleet'!$B$5:$B$62,0))</f>
        <v/>
      </c>
      <c r="M9" s="270">
        <f>INDEX('D Fleet'!$F$5:$F$62,MATCH(M$3,'D Fleet'!$B$5:$B$62,0))</f>
        <v/>
      </c>
    </row>
    <row r="10">
      <c r="B10" s="242" t="inlineStr">
        <is>
          <t>Total light vehicles</t>
        </is>
      </c>
      <c r="C10" s="256" t="inlineStr">
        <is>
          <t>000s</t>
        </is>
      </c>
      <c r="D10" s="271">
        <f>SUM(D6:D9)</f>
        <v/>
      </c>
      <c r="E10" s="271">
        <f>SUM(E6:E9)</f>
        <v/>
      </c>
      <c r="F10" s="271">
        <f>SUM(F6:F9)</f>
        <v/>
      </c>
      <c r="G10" s="271">
        <f>SUM(G6:G9)</f>
        <v/>
      </c>
      <c r="H10" s="271">
        <f>SUM(H6:H9)</f>
        <v/>
      </c>
      <c r="I10" s="271">
        <f>SUM(I6:I9)</f>
        <v/>
      </c>
      <c r="J10" s="271">
        <f>SUM(J6:J9)</f>
        <v/>
      </c>
      <c r="K10" s="271">
        <f>SUM(K6:K9)</f>
        <v/>
      </c>
      <c r="L10" s="271">
        <f>SUM(L6:L9)</f>
        <v/>
      </c>
      <c r="M10" s="271">
        <f>SUM(M6:M9)</f>
        <v/>
      </c>
    </row>
    <row r="11">
      <c r="B11" s="272" t="inlineStr">
        <is>
          <t xml:space="preserve">   y/y growth</t>
        </is>
      </c>
      <c r="C11" s="256" t="inlineStr">
        <is>
          <t>%</t>
        </is>
      </c>
      <c r="E11" s="273">
        <f>E10/D10-1</f>
        <v/>
      </c>
      <c r="F11" s="273">
        <f>F10/E10-1</f>
        <v/>
      </c>
      <c r="G11" s="273">
        <f>G10/F10-1</f>
        <v/>
      </c>
      <c r="H11" s="273">
        <f>H10/G10-1</f>
        <v/>
      </c>
      <c r="I11" s="273">
        <f>I10/H10-1</f>
        <v/>
      </c>
      <c r="J11" s="273">
        <f>J10/I10-1</f>
        <v/>
      </c>
      <c r="K11" s="273">
        <f>K10/J10-1</f>
        <v/>
      </c>
      <c r="L11" s="273">
        <f>L10/K10-1</f>
        <v/>
      </c>
      <c r="M11" s="273">
        <f>M10/L10-1</f>
        <v/>
      </c>
    </row>
    <row r="12"/>
    <row r="13">
      <c r="B13" s="254" t="inlineStr">
        <is>
          <t>B. Survival stretch  (k = 1 is the raw EPA schedule; k &gt; 1 means vehicles last longer)</t>
        </is>
      </c>
      <c r="C13" s="274" t="n"/>
      <c r="D13" s="274" t="n"/>
      <c r="E13" s="274" t="n"/>
      <c r="F13" s="274" t="n"/>
      <c r="G13" s="274" t="n"/>
      <c r="H13" s="274" t="n"/>
      <c r="I13" s="274" t="n"/>
      <c r="J13" s="274" t="n"/>
      <c r="K13" s="274" t="n"/>
      <c r="L13" s="274" t="n"/>
      <c r="M13" s="274" t="n"/>
      <c r="N13" s="274" t="n"/>
      <c r="O13" s="274" t="n"/>
      <c r="P13" s="274" t="n"/>
      <c r="Q13" s="274" t="n"/>
      <c r="R13" s="274" t="n"/>
      <c r="S13" s="274" t="n"/>
    </row>
    <row r="14">
      <c r="B14" s="238" t="inlineStr">
        <is>
          <t>m(Y): drift multiplier, linear 2013 → 2024, flat after</t>
        </is>
      </c>
      <c r="C14" s="256" t="inlineStr">
        <is>
          <t>x</t>
        </is>
      </c>
      <c r="D14" s="275">
        <f>1+($D$92-1)*MIN(MAX(D$3-2013,0),11)/11</f>
        <v/>
      </c>
      <c r="E14" s="275">
        <f>1+($D$92-1)*MIN(MAX(E$3-2013,0),11)/11</f>
        <v/>
      </c>
      <c r="F14" s="275">
        <f>1+($D$92-1)*MIN(MAX(F$3-2013,0),11)/11</f>
        <v/>
      </c>
      <c r="G14" s="275">
        <f>1+($D$92-1)*MIN(MAX(G$3-2013,0),11)/11</f>
        <v/>
      </c>
      <c r="H14" s="275">
        <f>1+($D$92-1)*MIN(MAX(H$3-2013,0),11)/11</f>
        <v/>
      </c>
      <c r="I14" s="275">
        <f>1+($D$92-1)*MIN(MAX(I$3-2013,0),11)/11</f>
        <v/>
      </c>
      <c r="J14" s="275">
        <f>1+($D$92-1)*MIN(MAX(J$3-2013,0),11)/11</f>
        <v/>
      </c>
      <c r="K14" s="275">
        <f>1+($D$92-1)*MIN(MAX(K$3-2013,0),11)/11</f>
        <v/>
      </c>
      <c r="L14" s="275">
        <f>1+($D$92-1)*MIN(MAX(L$3-2013,0),11)/11</f>
        <v/>
      </c>
      <c r="M14" s="275">
        <f>1+($D$92-1)*MIN(MAX(M$3-2013,0),11)/11</f>
        <v/>
      </c>
      <c r="P14" s="234" t="inlineStr">
        <is>
          <t>FITTED to two 2024 count anchors (Inputs rows); AGE_CURVES.md §2.4</t>
        </is>
      </c>
    </row>
    <row r="15">
      <c r="B15" s="238" t="inlineStr">
        <is>
          <t>k_cars(Y)</t>
        </is>
      </c>
      <c r="C15" s="256" t="inlineStr">
        <is>
          <t>x</t>
        </is>
      </c>
      <c r="D15" s="275">
        <f>$D$90*D14</f>
        <v/>
      </c>
      <c r="E15" s="275">
        <f>$D$90*E14</f>
        <v/>
      </c>
      <c r="F15" s="275">
        <f>$D$90*F14</f>
        <v/>
      </c>
      <c r="G15" s="275">
        <f>$D$90*G14</f>
        <v/>
      </c>
      <c r="H15" s="275">
        <f>$D$90*H14</f>
        <v/>
      </c>
      <c r="I15" s="275">
        <f>$D$90*I14</f>
        <v/>
      </c>
      <c r="J15" s="275">
        <f>$D$90*J14</f>
        <v/>
      </c>
      <c r="K15" s="275">
        <f>$D$90*K14</f>
        <v/>
      </c>
      <c r="L15" s="275">
        <f>$D$90*L14</f>
        <v/>
      </c>
      <c r="M15" s="275">
        <f>$D$90*M14</f>
        <v/>
      </c>
    </row>
    <row r="16">
      <c r="B16" s="238" t="inlineStr">
        <is>
          <t>k_light trucks(Y)</t>
        </is>
      </c>
      <c r="C16" s="256" t="inlineStr">
        <is>
          <t>x</t>
        </is>
      </c>
      <c r="D16" s="275">
        <f>$D$91*D14</f>
        <v/>
      </c>
      <c r="E16" s="275">
        <f>$D$91*E14</f>
        <v/>
      </c>
      <c r="F16" s="275">
        <f>$D$91*F14</f>
        <v/>
      </c>
      <c r="G16" s="275">
        <f>$D$91*G14</f>
        <v/>
      </c>
      <c r="H16" s="275">
        <f>$D$91*H14</f>
        <v/>
      </c>
      <c r="I16" s="275">
        <f>$D$91*I14</f>
        <v/>
      </c>
      <c r="J16" s="275">
        <f>$D$91*J14</f>
        <v/>
      </c>
      <c r="K16" s="275">
        <f>$D$91*K14</f>
        <v/>
      </c>
      <c r="L16" s="275">
        <f>$D$91*L14</f>
        <v/>
      </c>
      <c r="M16" s="275">
        <f>$D$91*M14</f>
        <v/>
      </c>
    </row>
    <row r="17"/>
    <row r="18">
      <c r="B18" s="254" t="inlineStr">
        <is>
          <t>C. Vehicles on the road by age band × body (thousands; from E1a roll)</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Car — 0 (current or newer)</t>
        </is>
      </c>
      <c r="C19" s="256" t="inlineStr">
        <is>
          <t>000s</t>
        </is>
      </c>
      <c r="D19" s="276">
        <f>SUMIFS('E1a Fleet (roll)'!E$7:E$190,'E1a Fleet (roll)'!$A$7:$A$190,"Car",'E1a Fleet (roll)'!$C$7:$C$190,0)</f>
        <v/>
      </c>
      <c r="E19" s="276">
        <f>SUMIFS('E1a Fleet (roll)'!F$7:F$190,'E1a Fleet (roll)'!$A$7:$A$190,"Car",'E1a Fleet (roll)'!$C$7:$C$190,0)</f>
        <v/>
      </c>
      <c r="F19" s="276">
        <f>SUMIFS('E1a Fleet (roll)'!G$7:G$190,'E1a Fleet (roll)'!$A$7:$A$190,"Car",'E1a Fleet (roll)'!$C$7:$C$190,0)</f>
        <v/>
      </c>
      <c r="G19" s="276">
        <f>SUMIFS('E1a Fleet (roll)'!H$7:H$190,'E1a Fleet (roll)'!$A$7:$A$190,"Car",'E1a Fleet (roll)'!$C$7:$C$190,0)</f>
        <v/>
      </c>
      <c r="H19" s="276">
        <f>SUMIFS('E1a Fleet (roll)'!I$7:I$190,'E1a Fleet (roll)'!$A$7:$A$190,"Car",'E1a Fleet (roll)'!$C$7:$C$190,0)</f>
        <v/>
      </c>
      <c r="I19" s="276">
        <f>SUMIFS('E1a Fleet (roll)'!J$7:J$190,'E1a Fleet (roll)'!$A$7:$A$190,"Car",'E1a Fleet (roll)'!$C$7:$C$190,0)</f>
        <v/>
      </c>
      <c r="J19" s="276">
        <f>SUMIFS('E1a Fleet (roll)'!K$7:K$190,'E1a Fleet (roll)'!$A$7:$A$190,"Car",'E1a Fleet (roll)'!$C$7:$C$190,0)</f>
        <v/>
      </c>
      <c r="K19" s="276">
        <f>SUMIFS('E1a Fleet (roll)'!L$7:L$190,'E1a Fleet (roll)'!$A$7:$A$190,"Car",'E1a Fleet (roll)'!$C$7:$C$190,0)</f>
        <v/>
      </c>
      <c r="L19" s="276">
        <f>SUMIFS('E1a Fleet (roll)'!M$7:M$190,'E1a Fleet (roll)'!$A$7:$A$190,"Car",'E1a Fleet (roll)'!$C$7:$C$190,0)</f>
        <v/>
      </c>
      <c r="M19" s="276">
        <f>SUMIFS('E1a Fleet (roll)'!N$7:N$190,'E1a Fleet (roll)'!$A$7:$A$190,"Car",'E1a Fleet (roll)'!$C$7:$C$190,0)</f>
        <v/>
      </c>
    </row>
    <row r="20">
      <c r="B20" s="277" t="inlineStr">
        <is>
          <t>Car — 1–3 years</t>
        </is>
      </c>
      <c r="C20" s="256" t="inlineStr">
        <is>
          <t>000s</t>
        </is>
      </c>
      <c r="D20" s="276">
        <f>SUMIFS('E1a Fleet (roll)'!E$7:E$190,'E1a Fleet (roll)'!$A$7:$A$190,"Car",'E1a Fleet (roll)'!$C$7:$C$190,1)</f>
        <v/>
      </c>
      <c r="E20" s="276">
        <f>SUMIFS('E1a Fleet (roll)'!F$7:F$190,'E1a Fleet (roll)'!$A$7:$A$190,"Car",'E1a Fleet (roll)'!$C$7:$C$190,1)</f>
        <v/>
      </c>
      <c r="F20" s="276">
        <f>SUMIFS('E1a Fleet (roll)'!G$7:G$190,'E1a Fleet (roll)'!$A$7:$A$190,"Car",'E1a Fleet (roll)'!$C$7:$C$190,1)</f>
        <v/>
      </c>
      <c r="G20" s="276">
        <f>SUMIFS('E1a Fleet (roll)'!H$7:H$190,'E1a Fleet (roll)'!$A$7:$A$190,"Car",'E1a Fleet (roll)'!$C$7:$C$190,1)</f>
        <v/>
      </c>
      <c r="H20" s="276">
        <f>SUMIFS('E1a Fleet (roll)'!I$7:I$190,'E1a Fleet (roll)'!$A$7:$A$190,"Car",'E1a Fleet (roll)'!$C$7:$C$190,1)</f>
        <v/>
      </c>
      <c r="I20" s="276">
        <f>SUMIFS('E1a Fleet (roll)'!J$7:J$190,'E1a Fleet (roll)'!$A$7:$A$190,"Car",'E1a Fleet (roll)'!$C$7:$C$190,1)</f>
        <v/>
      </c>
      <c r="J20" s="276">
        <f>SUMIFS('E1a Fleet (roll)'!K$7:K$190,'E1a Fleet (roll)'!$A$7:$A$190,"Car",'E1a Fleet (roll)'!$C$7:$C$190,1)</f>
        <v/>
      </c>
      <c r="K20" s="276">
        <f>SUMIFS('E1a Fleet (roll)'!L$7:L$190,'E1a Fleet (roll)'!$A$7:$A$190,"Car",'E1a Fleet (roll)'!$C$7:$C$190,1)</f>
        <v/>
      </c>
      <c r="L20" s="276">
        <f>SUMIFS('E1a Fleet (roll)'!M$7:M$190,'E1a Fleet (roll)'!$A$7:$A$190,"Car",'E1a Fleet (roll)'!$C$7:$C$190,1)</f>
        <v/>
      </c>
      <c r="M20" s="276">
        <f>SUMIFS('E1a Fleet (roll)'!N$7:N$190,'E1a Fleet (roll)'!$A$7:$A$190,"Car",'E1a Fleet (roll)'!$C$7:$C$190,1)</f>
        <v/>
      </c>
    </row>
    <row r="21">
      <c r="B21" s="277" t="inlineStr">
        <is>
          <t>Car — 4–6 years</t>
        </is>
      </c>
      <c r="C21" s="256" t="inlineStr">
        <is>
          <t>000s</t>
        </is>
      </c>
      <c r="D21" s="276">
        <f>SUMIFS('E1a Fleet (roll)'!E$7:E$190,'E1a Fleet (roll)'!$A$7:$A$190,"Car",'E1a Fleet (roll)'!$C$7:$C$190,2)</f>
        <v/>
      </c>
      <c r="E21" s="276">
        <f>SUMIFS('E1a Fleet (roll)'!F$7:F$190,'E1a Fleet (roll)'!$A$7:$A$190,"Car",'E1a Fleet (roll)'!$C$7:$C$190,2)</f>
        <v/>
      </c>
      <c r="F21" s="276">
        <f>SUMIFS('E1a Fleet (roll)'!G$7:G$190,'E1a Fleet (roll)'!$A$7:$A$190,"Car",'E1a Fleet (roll)'!$C$7:$C$190,2)</f>
        <v/>
      </c>
      <c r="G21" s="276">
        <f>SUMIFS('E1a Fleet (roll)'!H$7:H$190,'E1a Fleet (roll)'!$A$7:$A$190,"Car",'E1a Fleet (roll)'!$C$7:$C$190,2)</f>
        <v/>
      </c>
      <c r="H21" s="276">
        <f>SUMIFS('E1a Fleet (roll)'!I$7:I$190,'E1a Fleet (roll)'!$A$7:$A$190,"Car",'E1a Fleet (roll)'!$C$7:$C$190,2)</f>
        <v/>
      </c>
      <c r="I21" s="276">
        <f>SUMIFS('E1a Fleet (roll)'!J$7:J$190,'E1a Fleet (roll)'!$A$7:$A$190,"Car",'E1a Fleet (roll)'!$C$7:$C$190,2)</f>
        <v/>
      </c>
      <c r="J21" s="276">
        <f>SUMIFS('E1a Fleet (roll)'!K$7:K$190,'E1a Fleet (roll)'!$A$7:$A$190,"Car",'E1a Fleet (roll)'!$C$7:$C$190,2)</f>
        <v/>
      </c>
      <c r="K21" s="276">
        <f>SUMIFS('E1a Fleet (roll)'!L$7:L$190,'E1a Fleet (roll)'!$A$7:$A$190,"Car",'E1a Fleet (roll)'!$C$7:$C$190,2)</f>
        <v/>
      </c>
      <c r="L21" s="276">
        <f>SUMIFS('E1a Fleet (roll)'!M$7:M$190,'E1a Fleet (roll)'!$A$7:$A$190,"Car",'E1a Fleet (roll)'!$C$7:$C$190,2)</f>
        <v/>
      </c>
      <c r="M21" s="276">
        <f>SUMIFS('E1a Fleet (roll)'!N$7:N$190,'E1a Fleet (roll)'!$A$7:$A$190,"Car",'E1a Fleet (roll)'!$C$7:$C$190,2)</f>
        <v/>
      </c>
    </row>
    <row r="22">
      <c r="B22" s="277" t="inlineStr">
        <is>
          <t>Car — 7+ years</t>
        </is>
      </c>
      <c r="C22" s="256" t="inlineStr">
        <is>
          <t>000s</t>
        </is>
      </c>
      <c r="D22" s="276">
        <f>SUMIFS('E1a Fleet (roll)'!E$7:E$190,'E1a Fleet (roll)'!$A$7:$A$190,"Car",'E1a Fleet (roll)'!$C$7:$C$190,3)</f>
        <v/>
      </c>
      <c r="E22" s="276">
        <f>SUMIFS('E1a Fleet (roll)'!F$7:F$190,'E1a Fleet (roll)'!$A$7:$A$190,"Car",'E1a Fleet (roll)'!$C$7:$C$190,3)</f>
        <v/>
      </c>
      <c r="F22" s="276">
        <f>SUMIFS('E1a Fleet (roll)'!G$7:G$190,'E1a Fleet (roll)'!$A$7:$A$190,"Car",'E1a Fleet (roll)'!$C$7:$C$190,3)</f>
        <v/>
      </c>
      <c r="G22" s="276">
        <f>SUMIFS('E1a Fleet (roll)'!H$7:H$190,'E1a Fleet (roll)'!$A$7:$A$190,"Car",'E1a Fleet (roll)'!$C$7:$C$190,3)</f>
        <v/>
      </c>
      <c r="H22" s="276">
        <f>SUMIFS('E1a Fleet (roll)'!I$7:I$190,'E1a Fleet (roll)'!$A$7:$A$190,"Car",'E1a Fleet (roll)'!$C$7:$C$190,3)</f>
        <v/>
      </c>
      <c r="I22" s="276">
        <f>SUMIFS('E1a Fleet (roll)'!J$7:J$190,'E1a Fleet (roll)'!$A$7:$A$190,"Car",'E1a Fleet (roll)'!$C$7:$C$190,3)</f>
        <v/>
      </c>
      <c r="J22" s="276">
        <f>SUMIFS('E1a Fleet (roll)'!K$7:K$190,'E1a Fleet (roll)'!$A$7:$A$190,"Car",'E1a Fleet (roll)'!$C$7:$C$190,3)</f>
        <v/>
      </c>
      <c r="K22" s="276">
        <f>SUMIFS('E1a Fleet (roll)'!L$7:L$190,'E1a Fleet (roll)'!$A$7:$A$190,"Car",'E1a Fleet (roll)'!$C$7:$C$190,3)</f>
        <v/>
      </c>
      <c r="L22" s="276">
        <f>SUMIFS('E1a Fleet (roll)'!M$7:M$190,'E1a Fleet (roll)'!$A$7:$A$190,"Car",'E1a Fleet (roll)'!$C$7:$C$190,3)</f>
        <v/>
      </c>
      <c r="M22" s="276">
        <f>SUMIFS('E1a Fleet (roll)'!N$7:N$190,'E1a Fleet (roll)'!$A$7:$A$190,"Car",'E1a Fleet (roll)'!$C$7:$C$190,3)</f>
        <v/>
      </c>
    </row>
    <row r="23">
      <c r="B23" s="238" t="inlineStr">
        <is>
          <t>Utility vehicle (SUV) — 0 (current or newer)</t>
        </is>
      </c>
      <c r="C23" s="256" t="inlineStr">
        <is>
          <t>000s</t>
        </is>
      </c>
      <c r="D23" s="276">
        <f>SUMIFS('E1a Fleet (roll)'!E$7:E$190,'E1a Fleet (roll)'!$A$7:$A$190,"SUV",'E1a Fleet (roll)'!$C$7:$C$190,0)</f>
        <v/>
      </c>
      <c r="E23" s="276">
        <f>SUMIFS('E1a Fleet (roll)'!F$7:F$190,'E1a Fleet (roll)'!$A$7:$A$190,"SUV",'E1a Fleet (roll)'!$C$7:$C$190,0)</f>
        <v/>
      </c>
      <c r="F23" s="276">
        <f>SUMIFS('E1a Fleet (roll)'!G$7:G$190,'E1a Fleet (roll)'!$A$7:$A$190,"SUV",'E1a Fleet (roll)'!$C$7:$C$190,0)</f>
        <v/>
      </c>
      <c r="G23" s="276">
        <f>SUMIFS('E1a Fleet (roll)'!H$7:H$190,'E1a Fleet (roll)'!$A$7:$A$190,"SUV",'E1a Fleet (roll)'!$C$7:$C$190,0)</f>
        <v/>
      </c>
      <c r="H23" s="276">
        <f>SUMIFS('E1a Fleet (roll)'!I$7:I$190,'E1a Fleet (roll)'!$A$7:$A$190,"SUV",'E1a Fleet (roll)'!$C$7:$C$190,0)</f>
        <v/>
      </c>
      <c r="I23" s="276">
        <f>SUMIFS('E1a Fleet (roll)'!J$7:J$190,'E1a Fleet (roll)'!$A$7:$A$190,"SUV",'E1a Fleet (roll)'!$C$7:$C$190,0)</f>
        <v/>
      </c>
      <c r="J23" s="276">
        <f>SUMIFS('E1a Fleet (roll)'!K$7:K$190,'E1a Fleet (roll)'!$A$7:$A$190,"SUV",'E1a Fleet (roll)'!$C$7:$C$190,0)</f>
        <v/>
      </c>
      <c r="K23" s="276">
        <f>SUMIFS('E1a Fleet (roll)'!L$7:L$190,'E1a Fleet (roll)'!$A$7:$A$190,"SUV",'E1a Fleet (roll)'!$C$7:$C$190,0)</f>
        <v/>
      </c>
      <c r="L23" s="276">
        <f>SUMIFS('E1a Fleet (roll)'!M$7:M$190,'E1a Fleet (roll)'!$A$7:$A$190,"SUV",'E1a Fleet (roll)'!$C$7:$C$190,0)</f>
        <v/>
      </c>
      <c r="M23" s="276">
        <f>SUMIFS('E1a Fleet (roll)'!N$7:N$190,'E1a Fleet (roll)'!$A$7:$A$190,"SUV",'E1a Fleet (roll)'!$C$7:$C$190,0)</f>
        <v/>
      </c>
    </row>
    <row r="24">
      <c r="B24" s="277" t="inlineStr">
        <is>
          <t>Utility vehicle (SUV) — 1–3 years</t>
        </is>
      </c>
      <c r="C24" s="256" t="inlineStr">
        <is>
          <t>000s</t>
        </is>
      </c>
      <c r="D24" s="276">
        <f>SUMIFS('E1a Fleet (roll)'!E$7:E$190,'E1a Fleet (roll)'!$A$7:$A$190,"SUV",'E1a Fleet (roll)'!$C$7:$C$190,1)</f>
        <v/>
      </c>
      <c r="E24" s="276">
        <f>SUMIFS('E1a Fleet (roll)'!F$7:F$190,'E1a Fleet (roll)'!$A$7:$A$190,"SUV",'E1a Fleet (roll)'!$C$7:$C$190,1)</f>
        <v/>
      </c>
      <c r="F24" s="276">
        <f>SUMIFS('E1a Fleet (roll)'!G$7:G$190,'E1a Fleet (roll)'!$A$7:$A$190,"SUV",'E1a Fleet (roll)'!$C$7:$C$190,1)</f>
        <v/>
      </c>
      <c r="G24" s="276">
        <f>SUMIFS('E1a Fleet (roll)'!H$7:H$190,'E1a Fleet (roll)'!$A$7:$A$190,"SUV",'E1a Fleet (roll)'!$C$7:$C$190,1)</f>
        <v/>
      </c>
      <c r="H24" s="276">
        <f>SUMIFS('E1a Fleet (roll)'!I$7:I$190,'E1a Fleet (roll)'!$A$7:$A$190,"SUV",'E1a Fleet (roll)'!$C$7:$C$190,1)</f>
        <v/>
      </c>
      <c r="I24" s="276">
        <f>SUMIFS('E1a Fleet (roll)'!J$7:J$190,'E1a Fleet (roll)'!$A$7:$A$190,"SUV",'E1a Fleet (roll)'!$C$7:$C$190,1)</f>
        <v/>
      </c>
      <c r="J24" s="276">
        <f>SUMIFS('E1a Fleet (roll)'!K$7:K$190,'E1a Fleet (roll)'!$A$7:$A$190,"SUV",'E1a Fleet (roll)'!$C$7:$C$190,1)</f>
        <v/>
      </c>
      <c r="K24" s="276">
        <f>SUMIFS('E1a Fleet (roll)'!L$7:L$190,'E1a Fleet (roll)'!$A$7:$A$190,"SUV",'E1a Fleet (roll)'!$C$7:$C$190,1)</f>
        <v/>
      </c>
      <c r="L24" s="276">
        <f>SUMIFS('E1a Fleet (roll)'!M$7:M$190,'E1a Fleet (roll)'!$A$7:$A$190,"SUV",'E1a Fleet (roll)'!$C$7:$C$190,1)</f>
        <v/>
      </c>
      <c r="M24" s="276">
        <f>SUMIFS('E1a Fleet (roll)'!N$7:N$190,'E1a Fleet (roll)'!$A$7:$A$190,"SUV",'E1a Fleet (roll)'!$C$7:$C$190,1)</f>
        <v/>
      </c>
    </row>
    <row r="25">
      <c r="B25" s="277" t="inlineStr">
        <is>
          <t>Utility vehicle (SUV) — 4–6 years</t>
        </is>
      </c>
      <c r="C25" s="256" t="inlineStr">
        <is>
          <t>000s</t>
        </is>
      </c>
      <c r="D25" s="276">
        <f>SUMIFS('E1a Fleet (roll)'!E$7:E$190,'E1a Fleet (roll)'!$A$7:$A$190,"SUV",'E1a Fleet (roll)'!$C$7:$C$190,2)</f>
        <v/>
      </c>
      <c r="E25" s="276">
        <f>SUMIFS('E1a Fleet (roll)'!F$7:F$190,'E1a Fleet (roll)'!$A$7:$A$190,"SUV",'E1a Fleet (roll)'!$C$7:$C$190,2)</f>
        <v/>
      </c>
      <c r="F25" s="276">
        <f>SUMIFS('E1a Fleet (roll)'!G$7:G$190,'E1a Fleet (roll)'!$A$7:$A$190,"SUV",'E1a Fleet (roll)'!$C$7:$C$190,2)</f>
        <v/>
      </c>
      <c r="G25" s="276">
        <f>SUMIFS('E1a Fleet (roll)'!H$7:H$190,'E1a Fleet (roll)'!$A$7:$A$190,"SUV",'E1a Fleet (roll)'!$C$7:$C$190,2)</f>
        <v/>
      </c>
      <c r="H25" s="276">
        <f>SUMIFS('E1a Fleet (roll)'!I$7:I$190,'E1a Fleet (roll)'!$A$7:$A$190,"SUV",'E1a Fleet (roll)'!$C$7:$C$190,2)</f>
        <v/>
      </c>
      <c r="I25" s="276">
        <f>SUMIFS('E1a Fleet (roll)'!J$7:J$190,'E1a Fleet (roll)'!$A$7:$A$190,"SUV",'E1a Fleet (roll)'!$C$7:$C$190,2)</f>
        <v/>
      </c>
      <c r="J25" s="276">
        <f>SUMIFS('E1a Fleet (roll)'!K$7:K$190,'E1a Fleet (roll)'!$A$7:$A$190,"SUV",'E1a Fleet (roll)'!$C$7:$C$190,2)</f>
        <v/>
      </c>
      <c r="K25" s="276">
        <f>SUMIFS('E1a Fleet (roll)'!L$7:L$190,'E1a Fleet (roll)'!$A$7:$A$190,"SUV",'E1a Fleet (roll)'!$C$7:$C$190,2)</f>
        <v/>
      </c>
      <c r="L25" s="276">
        <f>SUMIFS('E1a Fleet (roll)'!M$7:M$190,'E1a Fleet (roll)'!$A$7:$A$190,"SUV",'E1a Fleet (roll)'!$C$7:$C$190,2)</f>
        <v/>
      </c>
      <c r="M25" s="276">
        <f>SUMIFS('E1a Fleet (roll)'!N$7:N$190,'E1a Fleet (roll)'!$A$7:$A$190,"SUV",'E1a Fleet (roll)'!$C$7:$C$190,2)</f>
        <v/>
      </c>
    </row>
    <row r="26">
      <c r="B26" s="277" t="inlineStr">
        <is>
          <t>Utility vehicle (SUV) — 7+ years</t>
        </is>
      </c>
      <c r="C26" s="256" t="inlineStr">
        <is>
          <t>000s</t>
        </is>
      </c>
      <c r="D26" s="276">
        <f>SUMIFS('E1a Fleet (roll)'!E$7:E$190,'E1a Fleet (roll)'!$A$7:$A$190,"SUV",'E1a Fleet (roll)'!$C$7:$C$190,3)</f>
        <v/>
      </c>
      <c r="E26" s="276">
        <f>SUMIFS('E1a Fleet (roll)'!F$7:F$190,'E1a Fleet (roll)'!$A$7:$A$190,"SUV",'E1a Fleet (roll)'!$C$7:$C$190,3)</f>
        <v/>
      </c>
      <c r="F26" s="276">
        <f>SUMIFS('E1a Fleet (roll)'!G$7:G$190,'E1a Fleet (roll)'!$A$7:$A$190,"SUV",'E1a Fleet (roll)'!$C$7:$C$190,3)</f>
        <v/>
      </c>
      <c r="G26" s="276">
        <f>SUMIFS('E1a Fleet (roll)'!H$7:H$190,'E1a Fleet (roll)'!$A$7:$A$190,"SUV",'E1a Fleet (roll)'!$C$7:$C$190,3)</f>
        <v/>
      </c>
      <c r="H26" s="276">
        <f>SUMIFS('E1a Fleet (roll)'!I$7:I$190,'E1a Fleet (roll)'!$A$7:$A$190,"SUV",'E1a Fleet (roll)'!$C$7:$C$190,3)</f>
        <v/>
      </c>
      <c r="I26" s="276">
        <f>SUMIFS('E1a Fleet (roll)'!J$7:J$190,'E1a Fleet (roll)'!$A$7:$A$190,"SUV",'E1a Fleet (roll)'!$C$7:$C$190,3)</f>
        <v/>
      </c>
      <c r="J26" s="276">
        <f>SUMIFS('E1a Fleet (roll)'!K$7:K$190,'E1a Fleet (roll)'!$A$7:$A$190,"SUV",'E1a Fleet (roll)'!$C$7:$C$190,3)</f>
        <v/>
      </c>
      <c r="K26" s="276">
        <f>SUMIFS('E1a Fleet (roll)'!L$7:L$190,'E1a Fleet (roll)'!$A$7:$A$190,"SUV",'E1a Fleet (roll)'!$C$7:$C$190,3)</f>
        <v/>
      </c>
      <c r="L26" s="276">
        <f>SUMIFS('E1a Fleet (roll)'!M$7:M$190,'E1a Fleet (roll)'!$A$7:$A$190,"SUV",'E1a Fleet (roll)'!$C$7:$C$190,3)</f>
        <v/>
      </c>
      <c r="M26" s="276">
        <f>SUMIFS('E1a Fleet (roll)'!N$7:N$190,'E1a Fleet (roll)'!$A$7:$A$190,"SUV",'E1a Fleet (roll)'!$C$7:$C$190,3)</f>
        <v/>
      </c>
    </row>
    <row r="27">
      <c r="B27" s="238" t="inlineStr">
        <is>
          <t>Pickup — 0 (current or newer)</t>
        </is>
      </c>
      <c r="C27" s="256" t="inlineStr">
        <is>
          <t>000s</t>
        </is>
      </c>
      <c r="D27" s="276">
        <f>SUMIFS('E1a Fleet (roll)'!E$7:E$190,'E1a Fleet (roll)'!$A$7:$A$190,"Pickup",'E1a Fleet (roll)'!$C$7:$C$190,0)</f>
        <v/>
      </c>
      <c r="E27" s="276">
        <f>SUMIFS('E1a Fleet (roll)'!F$7:F$190,'E1a Fleet (roll)'!$A$7:$A$190,"Pickup",'E1a Fleet (roll)'!$C$7:$C$190,0)</f>
        <v/>
      </c>
      <c r="F27" s="276">
        <f>SUMIFS('E1a Fleet (roll)'!G$7:G$190,'E1a Fleet (roll)'!$A$7:$A$190,"Pickup",'E1a Fleet (roll)'!$C$7:$C$190,0)</f>
        <v/>
      </c>
      <c r="G27" s="276">
        <f>SUMIFS('E1a Fleet (roll)'!H$7:H$190,'E1a Fleet (roll)'!$A$7:$A$190,"Pickup",'E1a Fleet (roll)'!$C$7:$C$190,0)</f>
        <v/>
      </c>
      <c r="H27" s="276">
        <f>SUMIFS('E1a Fleet (roll)'!I$7:I$190,'E1a Fleet (roll)'!$A$7:$A$190,"Pickup",'E1a Fleet (roll)'!$C$7:$C$190,0)</f>
        <v/>
      </c>
      <c r="I27" s="276">
        <f>SUMIFS('E1a Fleet (roll)'!J$7:J$190,'E1a Fleet (roll)'!$A$7:$A$190,"Pickup",'E1a Fleet (roll)'!$C$7:$C$190,0)</f>
        <v/>
      </c>
      <c r="J27" s="276">
        <f>SUMIFS('E1a Fleet (roll)'!K$7:K$190,'E1a Fleet (roll)'!$A$7:$A$190,"Pickup",'E1a Fleet (roll)'!$C$7:$C$190,0)</f>
        <v/>
      </c>
      <c r="K27" s="276">
        <f>SUMIFS('E1a Fleet (roll)'!L$7:L$190,'E1a Fleet (roll)'!$A$7:$A$190,"Pickup",'E1a Fleet (roll)'!$C$7:$C$190,0)</f>
        <v/>
      </c>
      <c r="L27" s="276">
        <f>SUMIFS('E1a Fleet (roll)'!M$7:M$190,'E1a Fleet (roll)'!$A$7:$A$190,"Pickup",'E1a Fleet (roll)'!$C$7:$C$190,0)</f>
        <v/>
      </c>
      <c r="M27" s="276">
        <f>SUMIFS('E1a Fleet (roll)'!N$7:N$190,'E1a Fleet (roll)'!$A$7:$A$190,"Pickup",'E1a Fleet (roll)'!$C$7:$C$190,0)</f>
        <v/>
      </c>
    </row>
    <row r="28">
      <c r="B28" s="277" t="inlineStr">
        <is>
          <t>Pickup — 1–3 years</t>
        </is>
      </c>
      <c r="C28" s="256" t="inlineStr">
        <is>
          <t>000s</t>
        </is>
      </c>
      <c r="D28" s="276">
        <f>SUMIFS('E1a Fleet (roll)'!E$7:E$190,'E1a Fleet (roll)'!$A$7:$A$190,"Pickup",'E1a Fleet (roll)'!$C$7:$C$190,1)</f>
        <v/>
      </c>
      <c r="E28" s="276">
        <f>SUMIFS('E1a Fleet (roll)'!F$7:F$190,'E1a Fleet (roll)'!$A$7:$A$190,"Pickup",'E1a Fleet (roll)'!$C$7:$C$190,1)</f>
        <v/>
      </c>
      <c r="F28" s="276">
        <f>SUMIFS('E1a Fleet (roll)'!G$7:G$190,'E1a Fleet (roll)'!$A$7:$A$190,"Pickup",'E1a Fleet (roll)'!$C$7:$C$190,1)</f>
        <v/>
      </c>
      <c r="G28" s="276">
        <f>SUMIFS('E1a Fleet (roll)'!H$7:H$190,'E1a Fleet (roll)'!$A$7:$A$190,"Pickup",'E1a Fleet (roll)'!$C$7:$C$190,1)</f>
        <v/>
      </c>
      <c r="H28" s="276">
        <f>SUMIFS('E1a Fleet (roll)'!I$7:I$190,'E1a Fleet (roll)'!$A$7:$A$190,"Pickup",'E1a Fleet (roll)'!$C$7:$C$190,1)</f>
        <v/>
      </c>
      <c r="I28" s="276">
        <f>SUMIFS('E1a Fleet (roll)'!J$7:J$190,'E1a Fleet (roll)'!$A$7:$A$190,"Pickup",'E1a Fleet (roll)'!$C$7:$C$190,1)</f>
        <v/>
      </c>
      <c r="J28" s="276">
        <f>SUMIFS('E1a Fleet (roll)'!K$7:K$190,'E1a Fleet (roll)'!$A$7:$A$190,"Pickup",'E1a Fleet (roll)'!$C$7:$C$190,1)</f>
        <v/>
      </c>
      <c r="K28" s="276">
        <f>SUMIFS('E1a Fleet (roll)'!L$7:L$190,'E1a Fleet (roll)'!$A$7:$A$190,"Pickup",'E1a Fleet (roll)'!$C$7:$C$190,1)</f>
        <v/>
      </c>
      <c r="L28" s="276">
        <f>SUMIFS('E1a Fleet (roll)'!M$7:M$190,'E1a Fleet (roll)'!$A$7:$A$190,"Pickup",'E1a Fleet (roll)'!$C$7:$C$190,1)</f>
        <v/>
      </c>
      <c r="M28" s="276">
        <f>SUMIFS('E1a Fleet (roll)'!N$7:N$190,'E1a Fleet (roll)'!$A$7:$A$190,"Pickup",'E1a Fleet (roll)'!$C$7:$C$190,1)</f>
        <v/>
      </c>
    </row>
    <row r="29">
      <c r="B29" s="277" t="inlineStr">
        <is>
          <t>Pickup — 4–6 years</t>
        </is>
      </c>
      <c r="C29" s="256" t="inlineStr">
        <is>
          <t>000s</t>
        </is>
      </c>
      <c r="D29" s="276">
        <f>SUMIFS('E1a Fleet (roll)'!E$7:E$190,'E1a Fleet (roll)'!$A$7:$A$190,"Pickup",'E1a Fleet (roll)'!$C$7:$C$190,2)</f>
        <v/>
      </c>
      <c r="E29" s="276">
        <f>SUMIFS('E1a Fleet (roll)'!F$7:F$190,'E1a Fleet (roll)'!$A$7:$A$190,"Pickup",'E1a Fleet (roll)'!$C$7:$C$190,2)</f>
        <v/>
      </c>
      <c r="F29" s="276">
        <f>SUMIFS('E1a Fleet (roll)'!G$7:G$190,'E1a Fleet (roll)'!$A$7:$A$190,"Pickup",'E1a Fleet (roll)'!$C$7:$C$190,2)</f>
        <v/>
      </c>
      <c r="G29" s="276">
        <f>SUMIFS('E1a Fleet (roll)'!H$7:H$190,'E1a Fleet (roll)'!$A$7:$A$190,"Pickup",'E1a Fleet (roll)'!$C$7:$C$190,2)</f>
        <v/>
      </c>
      <c r="H29" s="276">
        <f>SUMIFS('E1a Fleet (roll)'!I$7:I$190,'E1a Fleet (roll)'!$A$7:$A$190,"Pickup",'E1a Fleet (roll)'!$C$7:$C$190,2)</f>
        <v/>
      </c>
      <c r="I29" s="276">
        <f>SUMIFS('E1a Fleet (roll)'!J$7:J$190,'E1a Fleet (roll)'!$A$7:$A$190,"Pickup",'E1a Fleet (roll)'!$C$7:$C$190,2)</f>
        <v/>
      </c>
      <c r="J29" s="276">
        <f>SUMIFS('E1a Fleet (roll)'!K$7:K$190,'E1a Fleet (roll)'!$A$7:$A$190,"Pickup",'E1a Fleet (roll)'!$C$7:$C$190,2)</f>
        <v/>
      </c>
      <c r="K29" s="276">
        <f>SUMIFS('E1a Fleet (roll)'!L$7:L$190,'E1a Fleet (roll)'!$A$7:$A$190,"Pickup",'E1a Fleet (roll)'!$C$7:$C$190,2)</f>
        <v/>
      </c>
      <c r="L29" s="276">
        <f>SUMIFS('E1a Fleet (roll)'!M$7:M$190,'E1a Fleet (roll)'!$A$7:$A$190,"Pickup",'E1a Fleet (roll)'!$C$7:$C$190,2)</f>
        <v/>
      </c>
      <c r="M29" s="276">
        <f>SUMIFS('E1a Fleet (roll)'!N$7:N$190,'E1a Fleet (roll)'!$A$7:$A$190,"Pickup",'E1a Fleet (roll)'!$C$7:$C$190,2)</f>
        <v/>
      </c>
    </row>
    <row r="30">
      <c r="B30" s="277" t="inlineStr">
        <is>
          <t>Pickup — 7+ years</t>
        </is>
      </c>
      <c r="C30" s="256" t="inlineStr">
        <is>
          <t>000s</t>
        </is>
      </c>
      <c r="D30" s="276">
        <f>SUMIFS('E1a Fleet (roll)'!E$7:E$190,'E1a Fleet (roll)'!$A$7:$A$190,"Pickup",'E1a Fleet (roll)'!$C$7:$C$190,3)</f>
        <v/>
      </c>
      <c r="E30" s="276">
        <f>SUMIFS('E1a Fleet (roll)'!F$7:F$190,'E1a Fleet (roll)'!$A$7:$A$190,"Pickup",'E1a Fleet (roll)'!$C$7:$C$190,3)</f>
        <v/>
      </c>
      <c r="F30" s="276">
        <f>SUMIFS('E1a Fleet (roll)'!G$7:G$190,'E1a Fleet (roll)'!$A$7:$A$190,"Pickup",'E1a Fleet (roll)'!$C$7:$C$190,3)</f>
        <v/>
      </c>
      <c r="G30" s="276">
        <f>SUMIFS('E1a Fleet (roll)'!H$7:H$190,'E1a Fleet (roll)'!$A$7:$A$190,"Pickup",'E1a Fleet (roll)'!$C$7:$C$190,3)</f>
        <v/>
      </c>
      <c r="H30" s="276">
        <f>SUMIFS('E1a Fleet (roll)'!I$7:I$190,'E1a Fleet (roll)'!$A$7:$A$190,"Pickup",'E1a Fleet (roll)'!$C$7:$C$190,3)</f>
        <v/>
      </c>
      <c r="I30" s="276">
        <f>SUMIFS('E1a Fleet (roll)'!J$7:J$190,'E1a Fleet (roll)'!$A$7:$A$190,"Pickup",'E1a Fleet (roll)'!$C$7:$C$190,3)</f>
        <v/>
      </c>
      <c r="J30" s="276">
        <f>SUMIFS('E1a Fleet (roll)'!K$7:K$190,'E1a Fleet (roll)'!$A$7:$A$190,"Pickup",'E1a Fleet (roll)'!$C$7:$C$190,3)</f>
        <v/>
      </c>
      <c r="K30" s="276">
        <f>SUMIFS('E1a Fleet (roll)'!L$7:L$190,'E1a Fleet (roll)'!$A$7:$A$190,"Pickup",'E1a Fleet (roll)'!$C$7:$C$190,3)</f>
        <v/>
      </c>
      <c r="L30" s="276">
        <f>SUMIFS('E1a Fleet (roll)'!M$7:M$190,'E1a Fleet (roll)'!$A$7:$A$190,"Pickup",'E1a Fleet (roll)'!$C$7:$C$190,3)</f>
        <v/>
      </c>
      <c r="M30" s="276">
        <f>SUMIFS('E1a Fleet (roll)'!N$7:N$190,'E1a Fleet (roll)'!$A$7:$A$190,"Pickup",'E1a Fleet (roll)'!$C$7:$C$190,3)</f>
        <v/>
      </c>
    </row>
    <row r="31">
      <c r="B31" s="238" t="inlineStr">
        <is>
          <t>Van / minivan — 0 (current or newer)</t>
        </is>
      </c>
      <c r="C31" s="256" t="inlineStr">
        <is>
          <t>000s</t>
        </is>
      </c>
      <c r="D31" s="276">
        <f>SUMIFS('E1a Fleet (roll)'!E$7:E$190,'E1a Fleet (roll)'!$A$7:$A$190,"Van",'E1a Fleet (roll)'!$C$7:$C$190,0)</f>
        <v/>
      </c>
      <c r="E31" s="276">
        <f>SUMIFS('E1a Fleet (roll)'!F$7:F$190,'E1a Fleet (roll)'!$A$7:$A$190,"Van",'E1a Fleet (roll)'!$C$7:$C$190,0)</f>
        <v/>
      </c>
      <c r="F31" s="276">
        <f>SUMIFS('E1a Fleet (roll)'!G$7:G$190,'E1a Fleet (roll)'!$A$7:$A$190,"Van",'E1a Fleet (roll)'!$C$7:$C$190,0)</f>
        <v/>
      </c>
      <c r="G31" s="276">
        <f>SUMIFS('E1a Fleet (roll)'!H$7:H$190,'E1a Fleet (roll)'!$A$7:$A$190,"Van",'E1a Fleet (roll)'!$C$7:$C$190,0)</f>
        <v/>
      </c>
      <c r="H31" s="276">
        <f>SUMIFS('E1a Fleet (roll)'!I$7:I$190,'E1a Fleet (roll)'!$A$7:$A$190,"Van",'E1a Fleet (roll)'!$C$7:$C$190,0)</f>
        <v/>
      </c>
      <c r="I31" s="276">
        <f>SUMIFS('E1a Fleet (roll)'!J$7:J$190,'E1a Fleet (roll)'!$A$7:$A$190,"Van",'E1a Fleet (roll)'!$C$7:$C$190,0)</f>
        <v/>
      </c>
      <c r="J31" s="276">
        <f>SUMIFS('E1a Fleet (roll)'!K$7:K$190,'E1a Fleet (roll)'!$A$7:$A$190,"Van",'E1a Fleet (roll)'!$C$7:$C$190,0)</f>
        <v/>
      </c>
      <c r="K31" s="276">
        <f>SUMIFS('E1a Fleet (roll)'!L$7:L$190,'E1a Fleet (roll)'!$A$7:$A$190,"Van",'E1a Fleet (roll)'!$C$7:$C$190,0)</f>
        <v/>
      </c>
      <c r="L31" s="276">
        <f>SUMIFS('E1a Fleet (roll)'!M$7:M$190,'E1a Fleet (roll)'!$A$7:$A$190,"Van",'E1a Fleet (roll)'!$C$7:$C$190,0)</f>
        <v/>
      </c>
      <c r="M31" s="276">
        <f>SUMIFS('E1a Fleet (roll)'!N$7:N$190,'E1a Fleet (roll)'!$A$7:$A$190,"Van",'E1a Fleet (roll)'!$C$7:$C$190,0)</f>
        <v/>
      </c>
    </row>
    <row r="32">
      <c r="B32" s="277" t="inlineStr">
        <is>
          <t>Van / minivan — 1–3 years</t>
        </is>
      </c>
      <c r="C32" s="256" t="inlineStr">
        <is>
          <t>000s</t>
        </is>
      </c>
      <c r="D32" s="276">
        <f>SUMIFS('E1a Fleet (roll)'!E$7:E$190,'E1a Fleet (roll)'!$A$7:$A$190,"Van",'E1a Fleet (roll)'!$C$7:$C$190,1)</f>
        <v/>
      </c>
      <c r="E32" s="276">
        <f>SUMIFS('E1a Fleet (roll)'!F$7:F$190,'E1a Fleet (roll)'!$A$7:$A$190,"Van",'E1a Fleet (roll)'!$C$7:$C$190,1)</f>
        <v/>
      </c>
      <c r="F32" s="276">
        <f>SUMIFS('E1a Fleet (roll)'!G$7:G$190,'E1a Fleet (roll)'!$A$7:$A$190,"Van",'E1a Fleet (roll)'!$C$7:$C$190,1)</f>
        <v/>
      </c>
      <c r="G32" s="276">
        <f>SUMIFS('E1a Fleet (roll)'!H$7:H$190,'E1a Fleet (roll)'!$A$7:$A$190,"Van",'E1a Fleet (roll)'!$C$7:$C$190,1)</f>
        <v/>
      </c>
      <c r="H32" s="276">
        <f>SUMIFS('E1a Fleet (roll)'!I$7:I$190,'E1a Fleet (roll)'!$A$7:$A$190,"Van",'E1a Fleet (roll)'!$C$7:$C$190,1)</f>
        <v/>
      </c>
      <c r="I32" s="276">
        <f>SUMIFS('E1a Fleet (roll)'!J$7:J$190,'E1a Fleet (roll)'!$A$7:$A$190,"Van",'E1a Fleet (roll)'!$C$7:$C$190,1)</f>
        <v/>
      </c>
      <c r="J32" s="276">
        <f>SUMIFS('E1a Fleet (roll)'!K$7:K$190,'E1a Fleet (roll)'!$A$7:$A$190,"Van",'E1a Fleet (roll)'!$C$7:$C$190,1)</f>
        <v/>
      </c>
      <c r="K32" s="276">
        <f>SUMIFS('E1a Fleet (roll)'!L$7:L$190,'E1a Fleet (roll)'!$A$7:$A$190,"Van",'E1a Fleet (roll)'!$C$7:$C$190,1)</f>
        <v/>
      </c>
      <c r="L32" s="276">
        <f>SUMIFS('E1a Fleet (roll)'!M$7:M$190,'E1a Fleet (roll)'!$A$7:$A$190,"Van",'E1a Fleet (roll)'!$C$7:$C$190,1)</f>
        <v/>
      </c>
      <c r="M32" s="276">
        <f>SUMIFS('E1a Fleet (roll)'!N$7:N$190,'E1a Fleet (roll)'!$A$7:$A$190,"Van",'E1a Fleet (roll)'!$C$7:$C$190,1)</f>
        <v/>
      </c>
    </row>
    <row r="33">
      <c r="B33" s="277" t="inlineStr">
        <is>
          <t>Van / minivan — 4–6 years</t>
        </is>
      </c>
      <c r="C33" s="256" t="inlineStr">
        <is>
          <t>000s</t>
        </is>
      </c>
      <c r="D33" s="276">
        <f>SUMIFS('E1a Fleet (roll)'!E$7:E$190,'E1a Fleet (roll)'!$A$7:$A$190,"Van",'E1a Fleet (roll)'!$C$7:$C$190,2)</f>
        <v/>
      </c>
      <c r="E33" s="276">
        <f>SUMIFS('E1a Fleet (roll)'!F$7:F$190,'E1a Fleet (roll)'!$A$7:$A$190,"Van",'E1a Fleet (roll)'!$C$7:$C$190,2)</f>
        <v/>
      </c>
      <c r="F33" s="276">
        <f>SUMIFS('E1a Fleet (roll)'!G$7:G$190,'E1a Fleet (roll)'!$A$7:$A$190,"Van",'E1a Fleet (roll)'!$C$7:$C$190,2)</f>
        <v/>
      </c>
      <c r="G33" s="276">
        <f>SUMIFS('E1a Fleet (roll)'!H$7:H$190,'E1a Fleet (roll)'!$A$7:$A$190,"Van",'E1a Fleet (roll)'!$C$7:$C$190,2)</f>
        <v/>
      </c>
      <c r="H33" s="276">
        <f>SUMIFS('E1a Fleet (roll)'!I$7:I$190,'E1a Fleet (roll)'!$A$7:$A$190,"Van",'E1a Fleet (roll)'!$C$7:$C$190,2)</f>
        <v/>
      </c>
      <c r="I33" s="276">
        <f>SUMIFS('E1a Fleet (roll)'!J$7:J$190,'E1a Fleet (roll)'!$A$7:$A$190,"Van",'E1a Fleet (roll)'!$C$7:$C$190,2)</f>
        <v/>
      </c>
      <c r="J33" s="276">
        <f>SUMIFS('E1a Fleet (roll)'!K$7:K$190,'E1a Fleet (roll)'!$A$7:$A$190,"Van",'E1a Fleet (roll)'!$C$7:$C$190,2)</f>
        <v/>
      </c>
      <c r="K33" s="276">
        <f>SUMIFS('E1a Fleet (roll)'!L$7:L$190,'E1a Fleet (roll)'!$A$7:$A$190,"Van",'E1a Fleet (roll)'!$C$7:$C$190,2)</f>
        <v/>
      </c>
      <c r="L33" s="276">
        <f>SUMIFS('E1a Fleet (roll)'!M$7:M$190,'E1a Fleet (roll)'!$A$7:$A$190,"Van",'E1a Fleet (roll)'!$C$7:$C$190,2)</f>
        <v/>
      </c>
      <c r="M33" s="276">
        <f>SUMIFS('E1a Fleet (roll)'!N$7:N$190,'E1a Fleet (roll)'!$A$7:$A$190,"Van",'E1a Fleet (roll)'!$C$7:$C$190,2)</f>
        <v/>
      </c>
    </row>
    <row r="34">
      <c r="B34" s="277" t="inlineStr">
        <is>
          <t>Van / minivan — 7+ years</t>
        </is>
      </c>
      <c r="C34" s="256" t="inlineStr">
        <is>
          <t>000s</t>
        </is>
      </c>
      <c r="D34" s="276">
        <f>SUMIFS('E1a Fleet (roll)'!E$7:E$190,'E1a Fleet (roll)'!$A$7:$A$190,"Van",'E1a Fleet (roll)'!$C$7:$C$190,3)</f>
        <v/>
      </c>
      <c r="E34" s="276">
        <f>SUMIFS('E1a Fleet (roll)'!F$7:F$190,'E1a Fleet (roll)'!$A$7:$A$190,"Van",'E1a Fleet (roll)'!$C$7:$C$190,3)</f>
        <v/>
      </c>
      <c r="F34" s="276">
        <f>SUMIFS('E1a Fleet (roll)'!G$7:G$190,'E1a Fleet (roll)'!$A$7:$A$190,"Van",'E1a Fleet (roll)'!$C$7:$C$190,3)</f>
        <v/>
      </c>
      <c r="G34" s="276">
        <f>SUMIFS('E1a Fleet (roll)'!H$7:H$190,'E1a Fleet (roll)'!$A$7:$A$190,"Van",'E1a Fleet (roll)'!$C$7:$C$190,3)</f>
        <v/>
      </c>
      <c r="H34" s="276">
        <f>SUMIFS('E1a Fleet (roll)'!I$7:I$190,'E1a Fleet (roll)'!$A$7:$A$190,"Van",'E1a Fleet (roll)'!$C$7:$C$190,3)</f>
        <v/>
      </c>
      <c r="I34" s="276">
        <f>SUMIFS('E1a Fleet (roll)'!J$7:J$190,'E1a Fleet (roll)'!$A$7:$A$190,"Van",'E1a Fleet (roll)'!$C$7:$C$190,3)</f>
        <v/>
      </c>
      <c r="J34" s="276">
        <f>SUMIFS('E1a Fleet (roll)'!K$7:K$190,'E1a Fleet (roll)'!$A$7:$A$190,"Van",'E1a Fleet (roll)'!$C$7:$C$190,3)</f>
        <v/>
      </c>
      <c r="K34" s="276">
        <f>SUMIFS('E1a Fleet (roll)'!L$7:L$190,'E1a Fleet (roll)'!$A$7:$A$190,"Van",'E1a Fleet (roll)'!$C$7:$C$190,3)</f>
        <v/>
      </c>
      <c r="L34" s="276">
        <f>SUMIFS('E1a Fleet (roll)'!M$7:M$190,'E1a Fleet (roll)'!$A$7:$A$190,"Van",'E1a Fleet (roll)'!$C$7:$C$190,3)</f>
        <v/>
      </c>
      <c r="M34" s="276">
        <f>SUMIFS('E1a Fleet (roll)'!N$7:N$190,'E1a Fleet (roll)'!$A$7:$A$190,"Van",'E1a Fleet (roll)'!$C$7:$C$190,3)</f>
        <v/>
      </c>
    </row>
    <row r="35">
      <c r="B35" s="242" t="inlineStr">
        <is>
          <t>Total vehicles on the road</t>
        </is>
      </c>
      <c r="C35" s="256" t="inlineStr">
        <is>
          <t>000s</t>
        </is>
      </c>
      <c r="D35" s="271">
        <f>SUM(D19:D34)</f>
        <v/>
      </c>
      <c r="E35" s="271">
        <f>SUM(E19:E34)</f>
        <v/>
      </c>
      <c r="F35" s="271">
        <f>SUM(F19:F34)</f>
        <v/>
      </c>
      <c r="G35" s="271">
        <f>SUM(G19:G34)</f>
        <v/>
      </c>
      <c r="H35" s="271">
        <f>SUM(H19:H34)</f>
        <v/>
      </c>
      <c r="I35" s="271">
        <f>SUM(I19:I34)</f>
        <v/>
      </c>
      <c r="J35" s="271">
        <f>SUM(J19:J34)</f>
        <v/>
      </c>
      <c r="K35" s="271">
        <f>SUM(K19:K34)</f>
        <v/>
      </c>
      <c r="L35" s="271">
        <f>SUM(L19:L34)</f>
        <v/>
      </c>
      <c r="M35" s="271">
        <f>SUM(M19:M34)</f>
        <v/>
      </c>
    </row>
    <row r="36">
      <c r="B36" s="272" t="inlineStr">
        <is>
          <t xml:space="preserve">   share aged 7+</t>
        </is>
      </c>
      <c r="C36" s="256" t="inlineStr">
        <is>
          <t>%</t>
        </is>
      </c>
      <c r="D36" s="273">
        <f>SUMIFS('E1a Fleet (roll)'!D$7:D$190,'E1a Fleet (roll)'!$C$7:$C$190,3)/D35</f>
        <v/>
      </c>
      <c r="E36" s="273">
        <f>SUMIFS('E1a Fleet (roll)'!E$7:E$190,'E1a Fleet (roll)'!$C$7:$C$190,3)/E35</f>
        <v/>
      </c>
      <c r="F36" s="273">
        <f>SUMIFS('E1a Fleet (roll)'!F$7:F$190,'E1a Fleet (roll)'!$C$7:$C$190,3)/F35</f>
        <v/>
      </c>
      <c r="G36" s="273">
        <f>SUMIFS('E1a Fleet (roll)'!G$7:G$190,'E1a Fleet (roll)'!$C$7:$C$190,3)/G35</f>
        <v/>
      </c>
      <c r="H36" s="273">
        <f>SUMIFS('E1a Fleet (roll)'!H$7:H$190,'E1a Fleet (roll)'!$C$7:$C$190,3)/H35</f>
        <v/>
      </c>
      <c r="I36" s="273">
        <f>SUMIFS('E1a Fleet (roll)'!I$7:I$190,'E1a Fleet (roll)'!$C$7:$C$190,3)/I35</f>
        <v/>
      </c>
      <c r="J36" s="273">
        <f>SUMIFS('E1a Fleet (roll)'!J$7:J$190,'E1a Fleet (roll)'!$C$7:$C$190,3)/J35</f>
        <v/>
      </c>
      <c r="K36" s="273">
        <f>SUMIFS('E1a Fleet (roll)'!K$7:K$190,'E1a Fleet (roll)'!$C$7:$C$190,3)/K35</f>
        <v/>
      </c>
      <c r="L36" s="273">
        <f>SUMIFS('E1a Fleet (roll)'!L$7:L$190,'E1a Fleet (roll)'!$C$7:$C$190,3)/L35</f>
        <v/>
      </c>
      <c r="M36" s="273">
        <f>SUMIFS('E1a Fleet (roll)'!M$7:M$190,'E1a Fleet (roll)'!$C$7:$C$190,3)/M35</f>
        <v/>
      </c>
    </row>
    <row r="37"/>
    <row r="38"/>
    <row r="39">
      <c r="B39" s="254" t="inlineStr">
        <is>
          <t>D. Claims-weighted composition: share of claims by body × age band  (model = fleet × R(age) × body factor; CCC-implied = TL mix ÷ TLF, normalised)</t>
        </is>
      </c>
      <c r="C39" s="274" t="n"/>
      <c r="D39" s="274" t="n"/>
      <c r="E39" s="274" t="n"/>
      <c r="F39" s="274" t="n"/>
      <c r="G39" s="274" t="n"/>
      <c r="H39" s="274" t="n"/>
      <c r="I39" s="274" t="n"/>
      <c r="J39" s="274" t="n"/>
      <c r="K39" s="274" t="n"/>
      <c r="L39" s="274" t="n"/>
      <c r="M39" s="274" t="n"/>
      <c r="N39" s="274" t="n"/>
      <c r="O39" s="274" t="n"/>
      <c r="P39" s="274" t="n"/>
      <c r="Q39" s="274" t="n"/>
      <c r="R39" s="274" t="n"/>
      <c r="S39" s="274" t="n"/>
    </row>
    <row r="40">
      <c r="B40" s="238" t="inlineStr">
        <is>
          <t>Model: Car — 0 (current or newer)</t>
        </is>
      </c>
      <c r="C40" s="256" t="inlineStr">
        <is>
          <t>%</t>
        </is>
      </c>
      <c r="D40" s="278">
        <f>SUMIFS('E1a Fleet (roll)'!P$7:P$190,'E1a Fleet (roll)'!$A$7:$A$190,"Car",'E1a Fleet (roll)'!$C$7:$C$190,0)/SUM('E1a Fleet (roll)'!P$7:P$190)</f>
        <v/>
      </c>
      <c r="E40" s="278">
        <f>SUMIFS('E1a Fleet (roll)'!Q$7:Q$190,'E1a Fleet (roll)'!$A$7:$A$190,"Car",'E1a Fleet (roll)'!$C$7:$C$190,0)/SUM('E1a Fleet (roll)'!Q$7:Q$190)</f>
        <v/>
      </c>
      <c r="F40" s="278">
        <f>SUMIFS('E1a Fleet (roll)'!R$7:R$190,'E1a Fleet (roll)'!$A$7:$A$190,"Car",'E1a Fleet (roll)'!$C$7:$C$190,0)/SUM('E1a Fleet (roll)'!R$7:R$190)</f>
        <v/>
      </c>
      <c r="G40" s="278">
        <f>SUMIFS('E1a Fleet (roll)'!S$7:S$190,'E1a Fleet (roll)'!$A$7:$A$190,"Car",'E1a Fleet (roll)'!$C$7:$C$190,0)/SUM('E1a Fleet (roll)'!S$7:S$190)</f>
        <v/>
      </c>
      <c r="H40" s="278">
        <f>SUMIFS('E1a Fleet (roll)'!T$7:T$190,'E1a Fleet (roll)'!$A$7:$A$190,"Car",'E1a Fleet (roll)'!$C$7:$C$190,0)/SUM('E1a Fleet (roll)'!T$7:T$190)</f>
        <v/>
      </c>
      <c r="I40" s="278">
        <f>SUMIFS('E1a Fleet (roll)'!U$7:U$190,'E1a Fleet (roll)'!$A$7:$A$190,"Car",'E1a Fleet (roll)'!$C$7:$C$190,0)/SUM('E1a Fleet (roll)'!U$7:U$190)</f>
        <v/>
      </c>
      <c r="J40" s="278">
        <f>SUMIFS('E1a Fleet (roll)'!V$7:V$190,'E1a Fleet (roll)'!$A$7:$A$190,"Car",'E1a Fleet (roll)'!$C$7:$C$190,0)/SUM('E1a Fleet (roll)'!V$7:V$190)</f>
        <v/>
      </c>
      <c r="K40" s="278">
        <f>SUMIFS('E1a Fleet (roll)'!W$7:W$190,'E1a Fleet (roll)'!$A$7:$A$190,"Car",'E1a Fleet (roll)'!$C$7:$C$190,0)/SUM('E1a Fleet (roll)'!W$7:W$190)</f>
        <v/>
      </c>
      <c r="L40" s="278">
        <f>SUMIFS('E1a Fleet (roll)'!X$7:X$190,'E1a Fleet (roll)'!$A$7:$A$190,"Car",'E1a Fleet (roll)'!$C$7:$C$190,0)/SUM('E1a Fleet (roll)'!X$7:X$190)</f>
        <v/>
      </c>
      <c r="M40" s="278">
        <f>SUMIFS('E1a Fleet (roll)'!Y$7:Y$190,'E1a Fleet (roll)'!$A$7:$A$190,"Car",'E1a Fleet (roll)'!$C$7:$C$190,0)/SUM('E1a Fleet (roll)'!Y$7:Y$190)</f>
        <v/>
      </c>
    </row>
    <row r="41">
      <c r="B41" s="277" t="inlineStr">
        <is>
          <t>Model: Car — 1–3 years</t>
        </is>
      </c>
      <c r="C41" s="256" t="inlineStr">
        <is>
          <t>%</t>
        </is>
      </c>
      <c r="D41" s="278">
        <f>SUMIFS('E1a Fleet (roll)'!P$7:P$190,'E1a Fleet (roll)'!$A$7:$A$190,"Car",'E1a Fleet (roll)'!$C$7:$C$190,1)/SUM('E1a Fleet (roll)'!P$7:P$190)</f>
        <v/>
      </c>
      <c r="E41" s="278">
        <f>SUMIFS('E1a Fleet (roll)'!Q$7:Q$190,'E1a Fleet (roll)'!$A$7:$A$190,"Car",'E1a Fleet (roll)'!$C$7:$C$190,1)/SUM('E1a Fleet (roll)'!Q$7:Q$190)</f>
        <v/>
      </c>
      <c r="F41" s="278">
        <f>SUMIFS('E1a Fleet (roll)'!R$7:R$190,'E1a Fleet (roll)'!$A$7:$A$190,"Car",'E1a Fleet (roll)'!$C$7:$C$190,1)/SUM('E1a Fleet (roll)'!R$7:R$190)</f>
        <v/>
      </c>
      <c r="G41" s="278">
        <f>SUMIFS('E1a Fleet (roll)'!S$7:S$190,'E1a Fleet (roll)'!$A$7:$A$190,"Car",'E1a Fleet (roll)'!$C$7:$C$190,1)/SUM('E1a Fleet (roll)'!S$7:S$190)</f>
        <v/>
      </c>
      <c r="H41" s="278">
        <f>SUMIFS('E1a Fleet (roll)'!T$7:T$190,'E1a Fleet (roll)'!$A$7:$A$190,"Car",'E1a Fleet (roll)'!$C$7:$C$190,1)/SUM('E1a Fleet (roll)'!T$7:T$190)</f>
        <v/>
      </c>
      <c r="I41" s="278">
        <f>SUMIFS('E1a Fleet (roll)'!U$7:U$190,'E1a Fleet (roll)'!$A$7:$A$190,"Car",'E1a Fleet (roll)'!$C$7:$C$190,1)/SUM('E1a Fleet (roll)'!U$7:U$190)</f>
        <v/>
      </c>
      <c r="J41" s="278">
        <f>SUMIFS('E1a Fleet (roll)'!V$7:V$190,'E1a Fleet (roll)'!$A$7:$A$190,"Car",'E1a Fleet (roll)'!$C$7:$C$190,1)/SUM('E1a Fleet (roll)'!V$7:V$190)</f>
        <v/>
      </c>
      <c r="K41" s="278">
        <f>SUMIFS('E1a Fleet (roll)'!W$7:W$190,'E1a Fleet (roll)'!$A$7:$A$190,"Car",'E1a Fleet (roll)'!$C$7:$C$190,1)/SUM('E1a Fleet (roll)'!W$7:W$190)</f>
        <v/>
      </c>
      <c r="L41" s="278">
        <f>SUMIFS('E1a Fleet (roll)'!X$7:X$190,'E1a Fleet (roll)'!$A$7:$A$190,"Car",'E1a Fleet (roll)'!$C$7:$C$190,1)/SUM('E1a Fleet (roll)'!X$7:X$190)</f>
        <v/>
      </c>
      <c r="M41" s="278">
        <f>SUMIFS('E1a Fleet (roll)'!Y$7:Y$190,'E1a Fleet (roll)'!$A$7:$A$190,"Car",'E1a Fleet (roll)'!$C$7:$C$190,1)/SUM('E1a Fleet (roll)'!Y$7:Y$190)</f>
        <v/>
      </c>
    </row>
    <row r="42">
      <c r="B42" s="277" t="inlineStr">
        <is>
          <t>Model: Car — 4–6 years</t>
        </is>
      </c>
      <c r="C42" s="256" t="inlineStr">
        <is>
          <t>%</t>
        </is>
      </c>
      <c r="D42" s="278">
        <f>SUMIFS('E1a Fleet (roll)'!P$7:P$190,'E1a Fleet (roll)'!$A$7:$A$190,"Car",'E1a Fleet (roll)'!$C$7:$C$190,2)/SUM('E1a Fleet (roll)'!P$7:P$190)</f>
        <v/>
      </c>
      <c r="E42" s="278">
        <f>SUMIFS('E1a Fleet (roll)'!Q$7:Q$190,'E1a Fleet (roll)'!$A$7:$A$190,"Car",'E1a Fleet (roll)'!$C$7:$C$190,2)/SUM('E1a Fleet (roll)'!Q$7:Q$190)</f>
        <v/>
      </c>
      <c r="F42" s="278">
        <f>SUMIFS('E1a Fleet (roll)'!R$7:R$190,'E1a Fleet (roll)'!$A$7:$A$190,"Car",'E1a Fleet (roll)'!$C$7:$C$190,2)/SUM('E1a Fleet (roll)'!R$7:R$190)</f>
        <v/>
      </c>
      <c r="G42" s="278">
        <f>SUMIFS('E1a Fleet (roll)'!S$7:S$190,'E1a Fleet (roll)'!$A$7:$A$190,"Car",'E1a Fleet (roll)'!$C$7:$C$190,2)/SUM('E1a Fleet (roll)'!S$7:S$190)</f>
        <v/>
      </c>
      <c r="H42" s="278">
        <f>SUMIFS('E1a Fleet (roll)'!T$7:T$190,'E1a Fleet (roll)'!$A$7:$A$190,"Car",'E1a Fleet (roll)'!$C$7:$C$190,2)/SUM('E1a Fleet (roll)'!T$7:T$190)</f>
        <v/>
      </c>
      <c r="I42" s="278">
        <f>SUMIFS('E1a Fleet (roll)'!U$7:U$190,'E1a Fleet (roll)'!$A$7:$A$190,"Car",'E1a Fleet (roll)'!$C$7:$C$190,2)/SUM('E1a Fleet (roll)'!U$7:U$190)</f>
        <v/>
      </c>
      <c r="J42" s="278">
        <f>SUMIFS('E1a Fleet (roll)'!V$7:V$190,'E1a Fleet (roll)'!$A$7:$A$190,"Car",'E1a Fleet (roll)'!$C$7:$C$190,2)/SUM('E1a Fleet (roll)'!V$7:V$190)</f>
        <v/>
      </c>
      <c r="K42" s="278">
        <f>SUMIFS('E1a Fleet (roll)'!W$7:W$190,'E1a Fleet (roll)'!$A$7:$A$190,"Car",'E1a Fleet (roll)'!$C$7:$C$190,2)/SUM('E1a Fleet (roll)'!W$7:W$190)</f>
        <v/>
      </c>
      <c r="L42" s="278">
        <f>SUMIFS('E1a Fleet (roll)'!X$7:X$190,'E1a Fleet (roll)'!$A$7:$A$190,"Car",'E1a Fleet (roll)'!$C$7:$C$190,2)/SUM('E1a Fleet (roll)'!X$7:X$190)</f>
        <v/>
      </c>
      <c r="M42" s="278">
        <f>SUMIFS('E1a Fleet (roll)'!Y$7:Y$190,'E1a Fleet (roll)'!$A$7:$A$190,"Car",'E1a Fleet (roll)'!$C$7:$C$190,2)/SUM('E1a Fleet (roll)'!Y$7:Y$190)</f>
        <v/>
      </c>
    </row>
    <row r="43">
      <c r="B43" s="277" t="inlineStr">
        <is>
          <t>Model: Car — 7+ years</t>
        </is>
      </c>
      <c r="C43" s="256" t="inlineStr">
        <is>
          <t>%</t>
        </is>
      </c>
      <c r="D43" s="278">
        <f>SUMIFS('E1a Fleet (roll)'!P$7:P$190,'E1a Fleet (roll)'!$A$7:$A$190,"Car",'E1a Fleet (roll)'!$C$7:$C$190,3)/SUM('E1a Fleet (roll)'!P$7:P$190)</f>
        <v/>
      </c>
      <c r="E43" s="278">
        <f>SUMIFS('E1a Fleet (roll)'!Q$7:Q$190,'E1a Fleet (roll)'!$A$7:$A$190,"Car",'E1a Fleet (roll)'!$C$7:$C$190,3)/SUM('E1a Fleet (roll)'!Q$7:Q$190)</f>
        <v/>
      </c>
      <c r="F43" s="278">
        <f>SUMIFS('E1a Fleet (roll)'!R$7:R$190,'E1a Fleet (roll)'!$A$7:$A$190,"Car",'E1a Fleet (roll)'!$C$7:$C$190,3)/SUM('E1a Fleet (roll)'!R$7:R$190)</f>
        <v/>
      </c>
      <c r="G43" s="278">
        <f>SUMIFS('E1a Fleet (roll)'!S$7:S$190,'E1a Fleet (roll)'!$A$7:$A$190,"Car",'E1a Fleet (roll)'!$C$7:$C$190,3)/SUM('E1a Fleet (roll)'!S$7:S$190)</f>
        <v/>
      </c>
      <c r="H43" s="278">
        <f>SUMIFS('E1a Fleet (roll)'!T$7:T$190,'E1a Fleet (roll)'!$A$7:$A$190,"Car",'E1a Fleet (roll)'!$C$7:$C$190,3)/SUM('E1a Fleet (roll)'!T$7:T$190)</f>
        <v/>
      </c>
      <c r="I43" s="278">
        <f>SUMIFS('E1a Fleet (roll)'!U$7:U$190,'E1a Fleet (roll)'!$A$7:$A$190,"Car",'E1a Fleet (roll)'!$C$7:$C$190,3)/SUM('E1a Fleet (roll)'!U$7:U$190)</f>
        <v/>
      </c>
      <c r="J43" s="278">
        <f>SUMIFS('E1a Fleet (roll)'!V$7:V$190,'E1a Fleet (roll)'!$A$7:$A$190,"Car",'E1a Fleet (roll)'!$C$7:$C$190,3)/SUM('E1a Fleet (roll)'!V$7:V$190)</f>
        <v/>
      </c>
      <c r="K43" s="278">
        <f>SUMIFS('E1a Fleet (roll)'!W$7:W$190,'E1a Fleet (roll)'!$A$7:$A$190,"Car",'E1a Fleet (roll)'!$C$7:$C$190,3)/SUM('E1a Fleet (roll)'!W$7:W$190)</f>
        <v/>
      </c>
      <c r="L43" s="278">
        <f>SUMIFS('E1a Fleet (roll)'!X$7:X$190,'E1a Fleet (roll)'!$A$7:$A$190,"Car",'E1a Fleet (roll)'!$C$7:$C$190,3)/SUM('E1a Fleet (roll)'!X$7:X$190)</f>
        <v/>
      </c>
      <c r="M43" s="278">
        <f>SUMIFS('E1a Fleet (roll)'!Y$7:Y$190,'E1a Fleet (roll)'!$A$7:$A$190,"Car",'E1a Fleet (roll)'!$C$7:$C$190,3)/SUM('E1a Fleet (roll)'!Y$7:Y$190)</f>
        <v/>
      </c>
    </row>
    <row r="44">
      <c r="B44" s="238" t="inlineStr">
        <is>
          <t>Model: Utility vehicle (SUV) — 0 (current or newer)</t>
        </is>
      </c>
      <c r="C44" s="256" t="inlineStr">
        <is>
          <t>%</t>
        </is>
      </c>
      <c r="D44" s="278">
        <f>SUMIFS('E1a Fleet (roll)'!P$7:P$190,'E1a Fleet (roll)'!$A$7:$A$190,"SUV",'E1a Fleet (roll)'!$C$7:$C$190,0)/SUM('E1a Fleet (roll)'!P$7:P$190)</f>
        <v/>
      </c>
      <c r="E44" s="278">
        <f>SUMIFS('E1a Fleet (roll)'!Q$7:Q$190,'E1a Fleet (roll)'!$A$7:$A$190,"SUV",'E1a Fleet (roll)'!$C$7:$C$190,0)/SUM('E1a Fleet (roll)'!Q$7:Q$190)</f>
        <v/>
      </c>
      <c r="F44" s="278">
        <f>SUMIFS('E1a Fleet (roll)'!R$7:R$190,'E1a Fleet (roll)'!$A$7:$A$190,"SUV",'E1a Fleet (roll)'!$C$7:$C$190,0)/SUM('E1a Fleet (roll)'!R$7:R$190)</f>
        <v/>
      </c>
      <c r="G44" s="278">
        <f>SUMIFS('E1a Fleet (roll)'!S$7:S$190,'E1a Fleet (roll)'!$A$7:$A$190,"SUV",'E1a Fleet (roll)'!$C$7:$C$190,0)/SUM('E1a Fleet (roll)'!S$7:S$190)</f>
        <v/>
      </c>
      <c r="H44" s="278">
        <f>SUMIFS('E1a Fleet (roll)'!T$7:T$190,'E1a Fleet (roll)'!$A$7:$A$190,"SUV",'E1a Fleet (roll)'!$C$7:$C$190,0)/SUM('E1a Fleet (roll)'!T$7:T$190)</f>
        <v/>
      </c>
      <c r="I44" s="278">
        <f>SUMIFS('E1a Fleet (roll)'!U$7:U$190,'E1a Fleet (roll)'!$A$7:$A$190,"SUV",'E1a Fleet (roll)'!$C$7:$C$190,0)/SUM('E1a Fleet (roll)'!U$7:U$190)</f>
        <v/>
      </c>
      <c r="J44" s="278">
        <f>SUMIFS('E1a Fleet (roll)'!V$7:V$190,'E1a Fleet (roll)'!$A$7:$A$190,"SUV",'E1a Fleet (roll)'!$C$7:$C$190,0)/SUM('E1a Fleet (roll)'!V$7:V$190)</f>
        <v/>
      </c>
      <c r="K44" s="278">
        <f>SUMIFS('E1a Fleet (roll)'!W$7:W$190,'E1a Fleet (roll)'!$A$7:$A$190,"SUV",'E1a Fleet (roll)'!$C$7:$C$190,0)/SUM('E1a Fleet (roll)'!W$7:W$190)</f>
        <v/>
      </c>
      <c r="L44" s="278">
        <f>SUMIFS('E1a Fleet (roll)'!X$7:X$190,'E1a Fleet (roll)'!$A$7:$A$190,"SUV",'E1a Fleet (roll)'!$C$7:$C$190,0)/SUM('E1a Fleet (roll)'!X$7:X$190)</f>
        <v/>
      </c>
      <c r="M44" s="278">
        <f>SUMIFS('E1a Fleet (roll)'!Y$7:Y$190,'E1a Fleet (roll)'!$A$7:$A$190,"SUV",'E1a Fleet (roll)'!$C$7:$C$190,0)/SUM('E1a Fleet (roll)'!Y$7:Y$190)</f>
        <v/>
      </c>
    </row>
    <row r="45">
      <c r="B45" s="277" t="inlineStr">
        <is>
          <t>Model: Utility vehicle (SUV) — 1–3 years</t>
        </is>
      </c>
      <c r="C45" s="256" t="inlineStr">
        <is>
          <t>%</t>
        </is>
      </c>
      <c r="D45" s="278">
        <f>SUMIFS('E1a Fleet (roll)'!P$7:P$190,'E1a Fleet (roll)'!$A$7:$A$190,"SUV",'E1a Fleet (roll)'!$C$7:$C$190,1)/SUM('E1a Fleet (roll)'!P$7:P$190)</f>
        <v/>
      </c>
      <c r="E45" s="278">
        <f>SUMIFS('E1a Fleet (roll)'!Q$7:Q$190,'E1a Fleet (roll)'!$A$7:$A$190,"SUV",'E1a Fleet (roll)'!$C$7:$C$190,1)/SUM('E1a Fleet (roll)'!Q$7:Q$190)</f>
        <v/>
      </c>
      <c r="F45" s="278">
        <f>SUMIFS('E1a Fleet (roll)'!R$7:R$190,'E1a Fleet (roll)'!$A$7:$A$190,"SUV",'E1a Fleet (roll)'!$C$7:$C$190,1)/SUM('E1a Fleet (roll)'!R$7:R$190)</f>
        <v/>
      </c>
      <c r="G45" s="278">
        <f>SUMIFS('E1a Fleet (roll)'!S$7:S$190,'E1a Fleet (roll)'!$A$7:$A$190,"SUV",'E1a Fleet (roll)'!$C$7:$C$190,1)/SUM('E1a Fleet (roll)'!S$7:S$190)</f>
        <v/>
      </c>
      <c r="H45" s="278">
        <f>SUMIFS('E1a Fleet (roll)'!T$7:T$190,'E1a Fleet (roll)'!$A$7:$A$190,"SUV",'E1a Fleet (roll)'!$C$7:$C$190,1)/SUM('E1a Fleet (roll)'!T$7:T$190)</f>
        <v/>
      </c>
      <c r="I45" s="278">
        <f>SUMIFS('E1a Fleet (roll)'!U$7:U$190,'E1a Fleet (roll)'!$A$7:$A$190,"SUV",'E1a Fleet (roll)'!$C$7:$C$190,1)/SUM('E1a Fleet (roll)'!U$7:U$190)</f>
        <v/>
      </c>
      <c r="J45" s="278">
        <f>SUMIFS('E1a Fleet (roll)'!V$7:V$190,'E1a Fleet (roll)'!$A$7:$A$190,"SUV",'E1a Fleet (roll)'!$C$7:$C$190,1)/SUM('E1a Fleet (roll)'!V$7:V$190)</f>
        <v/>
      </c>
      <c r="K45" s="278">
        <f>SUMIFS('E1a Fleet (roll)'!W$7:W$190,'E1a Fleet (roll)'!$A$7:$A$190,"SUV",'E1a Fleet (roll)'!$C$7:$C$190,1)/SUM('E1a Fleet (roll)'!W$7:W$190)</f>
        <v/>
      </c>
      <c r="L45" s="278">
        <f>SUMIFS('E1a Fleet (roll)'!X$7:X$190,'E1a Fleet (roll)'!$A$7:$A$190,"SUV",'E1a Fleet (roll)'!$C$7:$C$190,1)/SUM('E1a Fleet (roll)'!X$7:X$190)</f>
        <v/>
      </c>
      <c r="M45" s="278">
        <f>SUMIFS('E1a Fleet (roll)'!Y$7:Y$190,'E1a Fleet (roll)'!$A$7:$A$190,"SUV",'E1a Fleet (roll)'!$C$7:$C$190,1)/SUM('E1a Fleet (roll)'!Y$7:Y$190)</f>
        <v/>
      </c>
    </row>
    <row r="46">
      <c r="B46" s="277" t="inlineStr">
        <is>
          <t>Model: Utility vehicle (SUV) — 4–6 years</t>
        </is>
      </c>
      <c r="C46" s="256" t="inlineStr">
        <is>
          <t>%</t>
        </is>
      </c>
      <c r="D46" s="278">
        <f>SUMIFS('E1a Fleet (roll)'!P$7:P$190,'E1a Fleet (roll)'!$A$7:$A$190,"SUV",'E1a Fleet (roll)'!$C$7:$C$190,2)/SUM('E1a Fleet (roll)'!P$7:P$190)</f>
        <v/>
      </c>
      <c r="E46" s="278">
        <f>SUMIFS('E1a Fleet (roll)'!Q$7:Q$190,'E1a Fleet (roll)'!$A$7:$A$190,"SUV",'E1a Fleet (roll)'!$C$7:$C$190,2)/SUM('E1a Fleet (roll)'!Q$7:Q$190)</f>
        <v/>
      </c>
      <c r="F46" s="278">
        <f>SUMIFS('E1a Fleet (roll)'!R$7:R$190,'E1a Fleet (roll)'!$A$7:$A$190,"SUV",'E1a Fleet (roll)'!$C$7:$C$190,2)/SUM('E1a Fleet (roll)'!R$7:R$190)</f>
        <v/>
      </c>
      <c r="G46" s="278">
        <f>SUMIFS('E1a Fleet (roll)'!S$7:S$190,'E1a Fleet (roll)'!$A$7:$A$190,"SUV",'E1a Fleet (roll)'!$C$7:$C$190,2)/SUM('E1a Fleet (roll)'!S$7:S$190)</f>
        <v/>
      </c>
      <c r="H46" s="278">
        <f>SUMIFS('E1a Fleet (roll)'!T$7:T$190,'E1a Fleet (roll)'!$A$7:$A$190,"SUV",'E1a Fleet (roll)'!$C$7:$C$190,2)/SUM('E1a Fleet (roll)'!T$7:T$190)</f>
        <v/>
      </c>
      <c r="I46" s="278">
        <f>SUMIFS('E1a Fleet (roll)'!U$7:U$190,'E1a Fleet (roll)'!$A$7:$A$190,"SUV",'E1a Fleet (roll)'!$C$7:$C$190,2)/SUM('E1a Fleet (roll)'!U$7:U$190)</f>
        <v/>
      </c>
      <c r="J46" s="278">
        <f>SUMIFS('E1a Fleet (roll)'!V$7:V$190,'E1a Fleet (roll)'!$A$7:$A$190,"SUV",'E1a Fleet (roll)'!$C$7:$C$190,2)/SUM('E1a Fleet (roll)'!V$7:V$190)</f>
        <v/>
      </c>
      <c r="K46" s="278">
        <f>SUMIFS('E1a Fleet (roll)'!W$7:W$190,'E1a Fleet (roll)'!$A$7:$A$190,"SUV",'E1a Fleet (roll)'!$C$7:$C$190,2)/SUM('E1a Fleet (roll)'!W$7:W$190)</f>
        <v/>
      </c>
      <c r="L46" s="278">
        <f>SUMIFS('E1a Fleet (roll)'!X$7:X$190,'E1a Fleet (roll)'!$A$7:$A$190,"SUV",'E1a Fleet (roll)'!$C$7:$C$190,2)/SUM('E1a Fleet (roll)'!X$7:X$190)</f>
        <v/>
      </c>
      <c r="M46" s="278">
        <f>SUMIFS('E1a Fleet (roll)'!Y$7:Y$190,'E1a Fleet (roll)'!$A$7:$A$190,"SUV",'E1a Fleet (roll)'!$C$7:$C$190,2)/SUM('E1a Fleet (roll)'!Y$7:Y$190)</f>
        <v/>
      </c>
    </row>
    <row r="47">
      <c r="B47" s="277" t="inlineStr">
        <is>
          <t>Model: Utility vehicle (SUV) — 7+ years</t>
        </is>
      </c>
      <c r="C47" s="256" t="inlineStr">
        <is>
          <t>%</t>
        </is>
      </c>
      <c r="D47" s="278">
        <f>SUMIFS('E1a Fleet (roll)'!P$7:P$190,'E1a Fleet (roll)'!$A$7:$A$190,"SUV",'E1a Fleet (roll)'!$C$7:$C$190,3)/SUM('E1a Fleet (roll)'!P$7:P$190)</f>
        <v/>
      </c>
      <c r="E47" s="278">
        <f>SUMIFS('E1a Fleet (roll)'!Q$7:Q$190,'E1a Fleet (roll)'!$A$7:$A$190,"SUV",'E1a Fleet (roll)'!$C$7:$C$190,3)/SUM('E1a Fleet (roll)'!Q$7:Q$190)</f>
        <v/>
      </c>
      <c r="F47" s="278">
        <f>SUMIFS('E1a Fleet (roll)'!R$7:R$190,'E1a Fleet (roll)'!$A$7:$A$190,"SUV",'E1a Fleet (roll)'!$C$7:$C$190,3)/SUM('E1a Fleet (roll)'!R$7:R$190)</f>
        <v/>
      </c>
      <c r="G47" s="278">
        <f>SUMIFS('E1a Fleet (roll)'!S$7:S$190,'E1a Fleet (roll)'!$A$7:$A$190,"SUV",'E1a Fleet (roll)'!$C$7:$C$190,3)/SUM('E1a Fleet (roll)'!S$7:S$190)</f>
        <v/>
      </c>
      <c r="H47" s="278">
        <f>SUMIFS('E1a Fleet (roll)'!T$7:T$190,'E1a Fleet (roll)'!$A$7:$A$190,"SUV",'E1a Fleet (roll)'!$C$7:$C$190,3)/SUM('E1a Fleet (roll)'!T$7:T$190)</f>
        <v/>
      </c>
      <c r="I47" s="278">
        <f>SUMIFS('E1a Fleet (roll)'!U$7:U$190,'E1a Fleet (roll)'!$A$7:$A$190,"SUV",'E1a Fleet (roll)'!$C$7:$C$190,3)/SUM('E1a Fleet (roll)'!U$7:U$190)</f>
        <v/>
      </c>
      <c r="J47" s="278">
        <f>SUMIFS('E1a Fleet (roll)'!V$7:V$190,'E1a Fleet (roll)'!$A$7:$A$190,"SUV",'E1a Fleet (roll)'!$C$7:$C$190,3)/SUM('E1a Fleet (roll)'!V$7:V$190)</f>
        <v/>
      </c>
      <c r="K47" s="278">
        <f>SUMIFS('E1a Fleet (roll)'!W$7:W$190,'E1a Fleet (roll)'!$A$7:$A$190,"SUV",'E1a Fleet (roll)'!$C$7:$C$190,3)/SUM('E1a Fleet (roll)'!W$7:W$190)</f>
        <v/>
      </c>
      <c r="L47" s="278">
        <f>SUMIFS('E1a Fleet (roll)'!X$7:X$190,'E1a Fleet (roll)'!$A$7:$A$190,"SUV",'E1a Fleet (roll)'!$C$7:$C$190,3)/SUM('E1a Fleet (roll)'!X$7:X$190)</f>
        <v/>
      </c>
      <c r="M47" s="278">
        <f>SUMIFS('E1a Fleet (roll)'!Y$7:Y$190,'E1a Fleet (roll)'!$A$7:$A$190,"SUV",'E1a Fleet (roll)'!$C$7:$C$190,3)/SUM('E1a Fleet (roll)'!Y$7:Y$190)</f>
        <v/>
      </c>
    </row>
    <row r="48">
      <c r="B48" s="238" t="inlineStr">
        <is>
          <t>Model: Pickup — 0 (current or newer)</t>
        </is>
      </c>
      <c r="C48" s="256" t="inlineStr">
        <is>
          <t>%</t>
        </is>
      </c>
      <c r="D48" s="278">
        <f>SUMIFS('E1a Fleet (roll)'!P$7:P$190,'E1a Fleet (roll)'!$A$7:$A$190,"Pickup",'E1a Fleet (roll)'!$C$7:$C$190,0)/SUM('E1a Fleet (roll)'!P$7:P$190)</f>
        <v/>
      </c>
      <c r="E48" s="278">
        <f>SUMIFS('E1a Fleet (roll)'!Q$7:Q$190,'E1a Fleet (roll)'!$A$7:$A$190,"Pickup",'E1a Fleet (roll)'!$C$7:$C$190,0)/SUM('E1a Fleet (roll)'!Q$7:Q$190)</f>
        <v/>
      </c>
      <c r="F48" s="278">
        <f>SUMIFS('E1a Fleet (roll)'!R$7:R$190,'E1a Fleet (roll)'!$A$7:$A$190,"Pickup",'E1a Fleet (roll)'!$C$7:$C$190,0)/SUM('E1a Fleet (roll)'!R$7:R$190)</f>
        <v/>
      </c>
      <c r="G48" s="278">
        <f>SUMIFS('E1a Fleet (roll)'!S$7:S$190,'E1a Fleet (roll)'!$A$7:$A$190,"Pickup",'E1a Fleet (roll)'!$C$7:$C$190,0)/SUM('E1a Fleet (roll)'!S$7:S$190)</f>
        <v/>
      </c>
      <c r="H48" s="278">
        <f>SUMIFS('E1a Fleet (roll)'!T$7:T$190,'E1a Fleet (roll)'!$A$7:$A$190,"Pickup",'E1a Fleet (roll)'!$C$7:$C$190,0)/SUM('E1a Fleet (roll)'!T$7:T$190)</f>
        <v/>
      </c>
      <c r="I48" s="278">
        <f>SUMIFS('E1a Fleet (roll)'!U$7:U$190,'E1a Fleet (roll)'!$A$7:$A$190,"Pickup",'E1a Fleet (roll)'!$C$7:$C$190,0)/SUM('E1a Fleet (roll)'!U$7:U$190)</f>
        <v/>
      </c>
      <c r="J48" s="278">
        <f>SUMIFS('E1a Fleet (roll)'!V$7:V$190,'E1a Fleet (roll)'!$A$7:$A$190,"Pickup",'E1a Fleet (roll)'!$C$7:$C$190,0)/SUM('E1a Fleet (roll)'!V$7:V$190)</f>
        <v/>
      </c>
      <c r="K48" s="278">
        <f>SUMIFS('E1a Fleet (roll)'!W$7:W$190,'E1a Fleet (roll)'!$A$7:$A$190,"Pickup",'E1a Fleet (roll)'!$C$7:$C$190,0)/SUM('E1a Fleet (roll)'!W$7:W$190)</f>
        <v/>
      </c>
      <c r="L48" s="278">
        <f>SUMIFS('E1a Fleet (roll)'!X$7:X$190,'E1a Fleet (roll)'!$A$7:$A$190,"Pickup",'E1a Fleet (roll)'!$C$7:$C$190,0)/SUM('E1a Fleet (roll)'!X$7:X$190)</f>
        <v/>
      </c>
      <c r="M48" s="278">
        <f>SUMIFS('E1a Fleet (roll)'!Y$7:Y$190,'E1a Fleet (roll)'!$A$7:$A$190,"Pickup",'E1a Fleet (roll)'!$C$7:$C$190,0)/SUM('E1a Fleet (roll)'!Y$7:Y$190)</f>
        <v/>
      </c>
    </row>
    <row r="49">
      <c r="B49" s="277" t="inlineStr">
        <is>
          <t>Model: Pickup — 1–3 years</t>
        </is>
      </c>
      <c r="C49" s="256" t="inlineStr">
        <is>
          <t>%</t>
        </is>
      </c>
      <c r="D49" s="278">
        <f>SUMIFS('E1a Fleet (roll)'!P$7:P$190,'E1a Fleet (roll)'!$A$7:$A$190,"Pickup",'E1a Fleet (roll)'!$C$7:$C$190,1)/SUM('E1a Fleet (roll)'!P$7:P$190)</f>
        <v/>
      </c>
      <c r="E49" s="278">
        <f>SUMIFS('E1a Fleet (roll)'!Q$7:Q$190,'E1a Fleet (roll)'!$A$7:$A$190,"Pickup",'E1a Fleet (roll)'!$C$7:$C$190,1)/SUM('E1a Fleet (roll)'!Q$7:Q$190)</f>
        <v/>
      </c>
      <c r="F49" s="278">
        <f>SUMIFS('E1a Fleet (roll)'!R$7:R$190,'E1a Fleet (roll)'!$A$7:$A$190,"Pickup",'E1a Fleet (roll)'!$C$7:$C$190,1)/SUM('E1a Fleet (roll)'!R$7:R$190)</f>
        <v/>
      </c>
      <c r="G49" s="278">
        <f>SUMIFS('E1a Fleet (roll)'!S$7:S$190,'E1a Fleet (roll)'!$A$7:$A$190,"Pickup",'E1a Fleet (roll)'!$C$7:$C$190,1)/SUM('E1a Fleet (roll)'!S$7:S$190)</f>
        <v/>
      </c>
      <c r="H49" s="278">
        <f>SUMIFS('E1a Fleet (roll)'!T$7:T$190,'E1a Fleet (roll)'!$A$7:$A$190,"Pickup",'E1a Fleet (roll)'!$C$7:$C$190,1)/SUM('E1a Fleet (roll)'!T$7:T$190)</f>
        <v/>
      </c>
      <c r="I49" s="278">
        <f>SUMIFS('E1a Fleet (roll)'!U$7:U$190,'E1a Fleet (roll)'!$A$7:$A$190,"Pickup",'E1a Fleet (roll)'!$C$7:$C$190,1)/SUM('E1a Fleet (roll)'!U$7:U$190)</f>
        <v/>
      </c>
      <c r="J49" s="278">
        <f>SUMIFS('E1a Fleet (roll)'!V$7:V$190,'E1a Fleet (roll)'!$A$7:$A$190,"Pickup",'E1a Fleet (roll)'!$C$7:$C$190,1)/SUM('E1a Fleet (roll)'!V$7:V$190)</f>
        <v/>
      </c>
      <c r="K49" s="278">
        <f>SUMIFS('E1a Fleet (roll)'!W$7:W$190,'E1a Fleet (roll)'!$A$7:$A$190,"Pickup",'E1a Fleet (roll)'!$C$7:$C$190,1)/SUM('E1a Fleet (roll)'!W$7:W$190)</f>
        <v/>
      </c>
      <c r="L49" s="278">
        <f>SUMIFS('E1a Fleet (roll)'!X$7:X$190,'E1a Fleet (roll)'!$A$7:$A$190,"Pickup",'E1a Fleet (roll)'!$C$7:$C$190,1)/SUM('E1a Fleet (roll)'!X$7:X$190)</f>
        <v/>
      </c>
      <c r="M49" s="278">
        <f>SUMIFS('E1a Fleet (roll)'!Y$7:Y$190,'E1a Fleet (roll)'!$A$7:$A$190,"Pickup",'E1a Fleet (roll)'!$C$7:$C$190,1)/SUM('E1a Fleet (roll)'!Y$7:Y$190)</f>
        <v/>
      </c>
    </row>
    <row r="50">
      <c r="B50" s="277" t="inlineStr">
        <is>
          <t>Model: Pickup — 4–6 years</t>
        </is>
      </c>
      <c r="C50" s="256" t="inlineStr">
        <is>
          <t>%</t>
        </is>
      </c>
      <c r="D50" s="278">
        <f>SUMIFS('E1a Fleet (roll)'!P$7:P$190,'E1a Fleet (roll)'!$A$7:$A$190,"Pickup",'E1a Fleet (roll)'!$C$7:$C$190,2)/SUM('E1a Fleet (roll)'!P$7:P$190)</f>
        <v/>
      </c>
      <c r="E50" s="278">
        <f>SUMIFS('E1a Fleet (roll)'!Q$7:Q$190,'E1a Fleet (roll)'!$A$7:$A$190,"Pickup",'E1a Fleet (roll)'!$C$7:$C$190,2)/SUM('E1a Fleet (roll)'!Q$7:Q$190)</f>
        <v/>
      </c>
      <c r="F50" s="278">
        <f>SUMIFS('E1a Fleet (roll)'!R$7:R$190,'E1a Fleet (roll)'!$A$7:$A$190,"Pickup",'E1a Fleet (roll)'!$C$7:$C$190,2)/SUM('E1a Fleet (roll)'!R$7:R$190)</f>
        <v/>
      </c>
      <c r="G50" s="278">
        <f>SUMIFS('E1a Fleet (roll)'!S$7:S$190,'E1a Fleet (roll)'!$A$7:$A$190,"Pickup",'E1a Fleet (roll)'!$C$7:$C$190,2)/SUM('E1a Fleet (roll)'!S$7:S$190)</f>
        <v/>
      </c>
      <c r="H50" s="278">
        <f>SUMIFS('E1a Fleet (roll)'!T$7:T$190,'E1a Fleet (roll)'!$A$7:$A$190,"Pickup",'E1a Fleet (roll)'!$C$7:$C$190,2)/SUM('E1a Fleet (roll)'!T$7:T$190)</f>
        <v/>
      </c>
      <c r="I50" s="278">
        <f>SUMIFS('E1a Fleet (roll)'!U$7:U$190,'E1a Fleet (roll)'!$A$7:$A$190,"Pickup",'E1a Fleet (roll)'!$C$7:$C$190,2)/SUM('E1a Fleet (roll)'!U$7:U$190)</f>
        <v/>
      </c>
      <c r="J50" s="278">
        <f>SUMIFS('E1a Fleet (roll)'!V$7:V$190,'E1a Fleet (roll)'!$A$7:$A$190,"Pickup",'E1a Fleet (roll)'!$C$7:$C$190,2)/SUM('E1a Fleet (roll)'!V$7:V$190)</f>
        <v/>
      </c>
      <c r="K50" s="278">
        <f>SUMIFS('E1a Fleet (roll)'!W$7:W$190,'E1a Fleet (roll)'!$A$7:$A$190,"Pickup",'E1a Fleet (roll)'!$C$7:$C$190,2)/SUM('E1a Fleet (roll)'!W$7:W$190)</f>
        <v/>
      </c>
      <c r="L50" s="278">
        <f>SUMIFS('E1a Fleet (roll)'!X$7:X$190,'E1a Fleet (roll)'!$A$7:$A$190,"Pickup",'E1a Fleet (roll)'!$C$7:$C$190,2)/SUM('E1a Fleet (roll)'!X$7:X$190)</f>
        <v/>
      </c>
      <c r="M50" s="278">
        <f>SUMIFS('E1a Fleet (roll)'!Y$7:Y$190,'E1a Fleet (roll)'!$A$7:$A$190,"Pickup",'E1a Fleet (roll)'!$C$7:$C$190,2)/SUM('E1a Fleet (roll)'!Y$7:Y$190)</f>
        <v/>
      </c>
    </row>
    <row r="51">
      <c r="B51" s="277" t="inlineStr">
        <is>
          <t>Model: Pickup — 7+ years</t>
        </is>
      </c>
      <c r="C51" s="256" t="inlineStr">
        <is>
          <t>%</t>
        </is>
      </c>
      <c r="D51" s="278">
        <f>SUMIFS('E1a Fleet (roll)'!P$7:P$190,'E1a Fleet (roll)'!$A$7:$A$190,"Pickup",'E1a Fleet (roll)'!$C$7:$C$190,3)/SUM('E1a Fleet (roll)'!P$7:P$190)</f>
        <v/>
      </c>
      <c r="E51" s="278">
        <f>SUMIFS('E1a Fleet (roll)'!Q$7:Q$190,'E1a Fleet (roll)'!$A$7:$A$190,"Pickup",'E1a Fleet (roll)'!$C$7:$C$190,3)/SUM('E1a Fleet (roll)'!Q$7:Q$190)</f>
        <v/>
      </c>
      <c r="F51" s="278">
        <f>SUMIFS('E1a Fleet (roll)'!R$7:R$190,'E1a Fleet (roll)'!$A$7:$A$190,"Pickup",'E1a Fleet (roll)'!$C$7:$C$190,3)/SUM('E1a Fleet (roll)'!R$7:R$190)</f>
        <v/>
      </c>
      <c r="G51" s="278">
        <f>SUMIFS('E1a Fleet (roll)'!S$7:S$190,'E1a Fleet (roll)'!$A$7:$A$190,"Pickup",'E1a Fleet (roll)'!$C$7:$C$190,3)/SUM('E1a Fleet (roll)'!S$7:S$190)</f>
        <v/>
      </c>
      <c r="H51" s="278">
        <f>SUMIFS('E1a Fleet (roll)'!T$7:T$190,'E1a Fleet (roll)'!$A$7:$A$190,"Pickup",'E1a Fleet (roll)'!$C$7:$C$190,3)/SUM('E1a Fleet (roll)'!T$7:T$190)</f>
        <v/>
      </c>
      <c r="I51" s="278">
        <f>SUMIFS('E1a Fleet (roll)'!U$7:U$190,'E1a Fleet (roll)'!$A$7:$A$190,"Pickup",'E1a Fleet (roll)'!$C$7:$C$190,3)/SUM('E1a Fleet (roll)'!U$7:U$190)</f>
        <v/>
      </c>
      <c r="J51" s="278">
        <f>SUMIFS('E1a Fleet (roll)'!V$7:V$190,'E1a Fleet (roll)'!$A$7:$A$190,"Pickup",'E1a Fleet (roll)'!$C$7:$C$190,3)/SUM('E1a Fleet (roll)'!V$7:V$190)</f>
        <v/>
      </c>
      <c r="K51" s="278">
        <f>SUMIFS('E1a Fleet (roll)'!W$7:W$190,'E1a Fleet (roll)'!$A$7:$A$190,"Pickup",'E1a Fleet (roll)'!$C$7:$C$190,3)/SUM('E1a Fleet (roll)'!W$7:W$190)</f>
        <v/>
      </c>
      <c r="L51" s="278">
        <f>SUMIFS('E1a Fleet (roll)'!X$7:X$190,'E1a Fleet (roll)'!$A$7:$A$190,"Pickup",'E1a Fleet (roll)'!$C$7:$C$190,3)/SUM('E1a Fleet (roll)'!X$7:X$190)</f>
        <v/>
      </c>
      <c r="M51" s="278">
        <f>SUMIFS('E1a Fleet (roll)'!Y$7:Y$190,'E1a Fleet (roll)'!$A$7:$A$190,"Pickup",'E1a Fleet (roll)'!$C$7:$C$190,3)/SUM('E1a Fleet (roll)'!Y$7:Y$190)</f>
        <v/>
      </c>
    </row>
    <row r="52">
      <c r="B52" s="238" t="inlineStr">
        <is>
          <t>Model: Van / minivan — 0 (current or newer)</t>
        </is>
      </c>
      <c r="C52" s="256" t="inlineStr">
        <is>
          <t>%</t>
        </is>
      </c>
      <c r="D52" s="278">
        <f>SUMIFS('E1a Fleet (roll)'!P$7:P$190,'E1a Fleet (roll)'!$A$7:$A$190,"Van",'E1a Fleet (roll)'!$C$7:$C$190,0)/SUM('E1a Fleet (roll)'!P$7:P$190)</f>
        <v/>
      </c>
      <c r="E52" s="278">
        <f>SUMIFS('E1a Fleet (roll)'!Q$7:Q$190,'E1a Fleet (roll)'!$A$7:$A$190,"Van",'E1a Fleet (roll)'!$C$7:$C$190,0)/SUM('E1a Fleet (roll)'!Q$7:Q$190)</f>
        <v/>
      </c>
      <c r="F52" s="278">
        <f>SUMIFS('E1a Fleet (roll)'!R$7:R$190,'E1a Fleet (roll)'!$A$7:$A$190,"Van",'E1a Fleet (roll)'!$C$7:$C$190,0)/SUM('E1a Fleet (roll)'!R$7:R$190)</f>
        <v/>
      </c>
      <c r="G52" s="278">
        <f>SUMIFS('E1a Fleet (roll)'!S$7:S$190,'E1a Fleet (roll)'!$A$7:$A$190,"Van",'E1a Fleet (roll)'!$C$7:$C$190,0)/SUM('E1a Fleet (roll)'!S$7:S$190)</f>
        <v/>
      </c>
      <c r="H52" s="278">
        <f>SUMIFS('E1a Fleet (roll)'!T$7:T$190,'E1a Fleet (roll)'!$A$7:$A$190,"Van",'E1a Fleet (roll)'!$C$7:$C$190,0)/SUM('E1a Fleet (roll)'!T$7:T$190)</f>
        <v/>
      </c>
      <c r="I52" s="278">
        <f>SUMIFS('E1a Fleet (roll)'!U$7:U$190,'E1a Fleet (roll)'!$A$7:$A$190,"Van",'E1a Fleet (roll)'!$C$7:$C$190,0)/SUM('E1a Fleet (roll)'!U$7:U$190)</f>
        <v/>
      </c>
      <c r="J52" s="278">
        <f>SUMIFS('E1a Fleet (roll)'!V$7:V$190,'E1a Fleet (roll)'!$A$7:$A$190,"Van",'E1a Fleet (roll)'!$C$7:$C$190,0)/SUM('E1a Fleet (roll)'!V$7:V$190)</f>
        <v/>
      </c>
      <c r="K52" s="278">
        <f>SUMIFS('E1a Fleet (roll)'!W$7:W$190,'E1a Fleet (roll)'!$A$7:$A$190,"Van",'E1a Fleet (roll)'!$C$7:$C$190,0)/SUM('E1a Fleet (roll)'!W$7:W$190)</f>
        <v/>
      </c>
      <c r="L52" s="278">
        <f>SUMIFS('E1a Fleet (roll)'!X$7:X$190,'E1a Fleet (roll)'!$A$7:$A$190,"Van",'E1a Fleet (roll)'!$C$7:$C$190,0)/SUM('E1a Fleet (roll)'!X$7:X$190)</f>
        <v/>
      </c>
      <c r="M52" s="278">
        <f>SUMIFS('E1a Fleet (roll)'!Y$7:Y$190,'E1a Fleet (roll)'!$A$7:$A$190,"Van",'E1a Fleet (roll)'!$C$7:$C$190,0)/SUM('E1a Fleet (roll)'!Y$7:Y$190)</f>
        <v/>
      </c>
    </row>
    <row r="53">
      <c r="B53" s="277" t="inlineStr">
        <is>
          <t>Model: Van / minivan — 1–3 years</t>
        </is>
      </c>
      <c r="C53" s="256" t="inlineStr">
        <is>
          <t>%</t>
        </is>
      </c>
      <c r="D53" s="278">
        <f>SUMIFS('E1a Fleet (roll)'!P$7:P$190,'E1a Fleet (roll)'!$A$7:$A$190,"Van",'E1a Fleet (roll)'!$C$7:$C$190,1)/SUM('E1a Fleet (roll)'!P$7:P$190)</f>
        <v/>
      </c>
      <c r="E53" s="278">
        <f>SUMIFS('E1a Fleet (roll)'!Q$7:Q$190,'E1a Fleet (roll)'!$A$7:$A$190,"Van",'E1a Fleet (roll)'!$C$7:$C$190,1)/SUM('E1a Fleet (roll)'!Q$7:Q$190)</f>
        <v/>
      </c>
      <c r="F53" s="278">
        <f>SUMIFS('E1a Fleet (roll)'!R$7:R$190,'E1a Fleet (roll)'!$A$7:$A$190,"Van",'E1a Fleet (roll)'!$C$7:$C$190,1)/SUM('E1a Fleet (roll)'!R$7:R$190)</f>
        <v/>
      </c>
      <c r="G53" s="278">
        <f>SUMIFS('E1a Fleet (roll)'!S$7:S$190,'E1a Fleet (roll)'!$A$7:$A$190,"Van",'E1a Fleet (roll)'!$C$7:$C$190,1)/SUM('E1a Fleet (roll)'!S$7:S$190)</f>
        <v/>
      </c>
      <c r="H53" s="278">
        <f>SUMIFS('E1a Fleet (roll)'!T$7:T$190,'E1a Fleet (roll)'!$A$7:$A$190,"Van",'E1a Fleet (roll)'!$C$7:$C$190,1)/SUM('E1a Fleet (roll)'!T$7:T$190)</f>
        <v/>
      </c>
      <c r="I53" s="278">
        <f>SUMIFS('E1a Fleet (roll)'!U$7:U$190,'E1a Fleet (roll)'!$A$7:$A$190,"Van",'E1a Fleet (roll)'!$C$7:$C$190,1)/SUM('E1a Fleet (roll)'!U$7:U$190)</f>
        <v/>
      </c>
      <c r="J53" s="278">
        <f>SUMIFS('E1a Fleet (roll)'!V$7:V$190,'E1a Fleet (roll)'!$A$7:$A$190,"Van",'E1a Fleet (roll)'!$C$7:$C$190,1)/SUM('E1a Fleet (roll)'!V$7:V$190)</f>
        <v/>
      </c>
      <c r="K53" s="278">
        <f>SUMIFS('E1a Fleet (roll)'!W$7:W$190,'E1a Fleet (roll)'!$A$7:$A$190,"Van",'E1a Fleet (roll)'!$C$7:$C$190,1)/SUM('E1a Fleet (roll)'!W$7:W$190)</f>
        <v/>
      </c>
      <c r="L53" s="278">
        <f>SUMIFS('E1a Fleet (roll)'!X$7:X$190,'E1a Fleet (roll)'!$A$7:$A$190,"Van",'E1a Fleet (roll)'!$C$7:$C$190,1)/SUM('E1a Fleet (roll)'!X$7:X$190)</f>
        <v/>
      </c>
      <c r="M53" s="278">
        <f>SUMIFS('E1a Fleet (roll)'!Y$7:Y$190,'E1a Fleet (roll)'!$A$7:$A$190,"Van",'E1a Fleet (roll)'!$C$7:$C$190,1)/SUM('E1a Fleet (roll)'!Y$7:Y$190)</f>
        <v/>
      </c>
    </row>
    <row r="54">
      <c r="B54" s="277" t="inlineStr">
        <is>
          <t>Model: Van / minivan — 4–6 years</t>
        </is>
      </c>
      <c r="C54" s="256" t="inlineStr">
        <is>
          <t>%</t>
        </is>
      </c>
      <c r="D54" s="278">
        <f>SUMIFS('E1a Fleet (roll)'!P$7:P$190,'E1a Fleet (roll)'!$A$7:$A$190,"Van",'E1a Fleet (roll)'!$C$7:$C$190,2)/SUM('E1a Fleet (roll)'!P$7:P$190)</f>
        <v/>
      </c>
      <c r="E54" s="278">
        <f>SUMIFS('E1a Fleet (roll)'!Q$7:Q$190,'E1a Fleet (roll)'!$A$7:$A$190,"Van",'E1a Fleet (roll)'!$C$7:$C$190,2)/SUM('E1a Fleet (roll)'!Q$7:Q$190)</f>
        <v/>
      </c>
      <c r="F54" s="278">
        <f>SUMIFS('E1a Fleet (roll)'!R$7:R$190,'E1a Fleet (roll)'!$A$7:$A$190,"Van",'E1a Fleet (roll)'!$C$7:$C$190,2)/SUM('E1a Fleet (roll)'!R$7:R$190)</f>
        <v/>
      </c>
      <c r="G54" s="278">
        <f>SUMIFS('E1a Fleet (roll)'!S$7:S$190,'E1a Fleet (roll)'!$A$7:$A$190,"Van",'E1a Fleet (roll)'!$C$7:$C$190,2)/SUM('E1a Fleet (roll)'!S$7:S$190)</f>
        <v/>
      </c>
      <c r="H54" s="278">
        <f>SUMIFS('E1a Fleet (roll)'!T$7:T$190,'E1a Fleet (roll)'!$A$7:$A$190,"Van",'E1a Fleet (roll)'!$C$7:$C$190,2)/SUM('E1a Fleet (roll)'!T$7:T$190)</f>
        <v/>
      </c>
      <c r="I54" s="278">
        <f>SUMIFS('E1a Fleet (roll)'!U$7:U$190,'E1a Fleet (roll)'!$A$7:$A$190,"Van",'E1a Fleet (roll)'!$C$7:$C$190,2)/SUM('E1a Fleet (roll)'!U$7:U$190)</f>
        <v/>
      </c>
      <c r="J54" s="278">
        <f>SUMIFS('E1a Fleet (roll)'!V$7:V$190,'E1a Fleet (roll)'!$A$7:$A$190,"Van",'E1a Fleet (roll)'!$C$7:$C$190,2)/SUM('E1a Fleet (roll)'!V$7:V$190)</f>
        <v/>
      </c>
      <c r="K54" s="278">
        <f>SUMIFS('E1a Fleet (roll)'!W$7:W$190,'E1a Fleet (roll)'!$A$7:$A$190,"Van",'E1a Fleet (roll)'!$C$7:$C$190,2)/SUM('E1a Fleet (roll)'!W$7:W$190)</f>
        <v/>
      </c>
      <c r="L54" s="278">
        <f>SUMIFS('E1a Fleet (roll)'!X$7:X$190,'E1a Fleet (roll)'!$A$7:$A$190,"Van",'E1a Fleet (roll)'!$C$7:$C$190,2)/SUM('E1a Fleet (roll)'!X$7:X$190)</f>
        <v/>
      </c>
      <c r="M54" s="278">
        <f>SUMIFS('E1a Fleet (roll)'!Y$7:Y$190,'E1a Fleet (roll)'!$A$7:$A$190,"Van",'E1a Fleet (roll)'!$C$7:$C$190,2)/SUM('E1a Fleet (roll)'!Y$7:Y$190)</f>
        <v/>
      </c>
    </row>
    <row r="55">
      <c r="B55" s="277" t="inlineStr">
        <is>
          <t>Model: Van / minivan — 7+ years</t>
        </is>
      </c>
      <c r="C55" s="256" t="inlineStr">
        <is>
          <t>%</t>
        </is>
      </c>
      <c r="D55" s="278">
        <f>SUMIFS('E1a Fleet (roll)'!P$7:P$190,'E1a Fleet (roll)'!$A$7:$A$190,"Van",'E1a Fleet (roll)'!$C$7:$C$190,3)/SUM('E1a Fleet (roll)'!P$7:P$190)</f>
        <v/>
      </c>
      <c r="E55" s="278">
        <f>SUMIFS('E1a Fleet (roll)'!Q$7:Q$190,'E1a Fleet (roll)'!$A$7:$A$190,"Van",'E1a Fleet (roll)'!$C$7:$C$190,3)/SUM('E1a Fleet (roll)'!Q$7:Q$190)</f>
        <v/>
      </c>
      <c r="F55" s="278">
        <f>SUMIFS('E1a Fleet (roll)'!R$7:R$190,'E1a Fleet (roll)'!$A$7:$A$190,"Van",'E1a Fleet (roll)'!$C$7:$C$190,3)/SUM('E1a Fleet (roll)'!R$7:R$190)</f>
        <v/>
      </c>
      <c r="G55" s="278">
        <f>SUMIFS('E1a Fleet (roll)'!S$7:S$190,'E1a Fleet (roll)'!$A$7:$A$190,"Van",'E1a Fleet (roll)'!$C$7:$C$190,3)/SUM('E1a Fleet (roll)'!S$7:S$190)</f>
        <v/>
      </c>
      <c r="H55" s="278">
        <f>SUMIFS('E1a Fleet (roll)'!T$7:T$190,'E1a Fleet (roll)'!$A$7:$A$190,"Van",'E1a Fleet (roll)'!$C$7:$C$190,3)/SUM('E1a Fleet (roll)'!T$7:T$190)</f>
        <v/>
      </c>
      <c r="I55" s="278">
        <f>SUMIFS('E1a Fleet (roll)'!U$7:U$190,'E1a Fleet (roll)'!$A$7:$A$190,"Van",'E1a Fleet (roll)'!$C$7:$C$190,3)/SUM('E1a Fleet (roll)'!U$7:U$190)</f>
        <v/>
      </c>
      <c r="J55" s="278">
        <f>SUMIFS('E1a Fleet (roll)'!V$7:V$190,'E1a Fleet (roll)'!$A$7:$A$190,"Van",'E1a Fleet (roll)'!$C$7:$C$190,3)/SUM('E1a Fleet (roll)'!V$7:V$190)</f>
        <v/>
      </c>
      <c r="K55" s="278">
        <f>SUMIFS('E1a Fleet (roll)'!W$7:W$190,'E1a Fleet (roll)'!$A$7:$A$190,"Van",'E1a Fleet (roll)'!$C$7:$C$190,3)/SUM('E1a Fleet (roll)'!W$7:W$190)</f>
        <v/>
      </c>
      <c r="L55" s="278">
        <f>SUMIFS('E1a Fleet (roll)'!X$7:X$190,'E1a Fleet (roll)'!$A$7:$A$190,"Van",'E1a Fleet (roll)'!$C$7:$C$190,3)/SUM('E1a Fleet (roll)'!X$7:X$190)</f>
        <v/>
      </c>
      <c r="M55" s="278">
        <f>SUMIFS('E1a Fleet (roll)'!Y$7:Y$190,'E1a Fleet (roll)'!$A$7:$A$190,"Van",'E1a Fleet (roll)'!$C$7:$C$190,3)/SUM('E1a Fleet (roll)'!Y$7:Y$190)</f>
        <v/>
      </c>
    </row>
    <row r="56">
      <c r="B56" s="238" t="inlineStr">
        <is>
          <t>CCC-implied: Car — 0 (current or newer)</t>
        </is>
      </c>
      <c r="C56" s="256" t="inlineStr">
        <is>
          <t>%</t>
        </is>
      </c>
      <c r="E56" s="279">
        <f>SUMIFS('D CCC'!$K$5:$K$100,'D CCC'!$B$5:$B$100,E$3,'D CCC'!$C$5:$C$100,"Car",'D CCC'!$D$5:$D$100,0)</f>
        <v/>
      </c>
      <c r="F56" s="279">
        <f>SUMIFS('D CCC'!$K$5:$K$100,'D CCC'!$B$5:$B$100,F$3,'D CCC'!$C$5:$C$100,"Car",'D CCC'!$D$5:$D$100,0)</f>
        <v/>
      </c>
      <c r="G56" s="279">
        <f>SUMIFS('D CCC'!$K$5:$K$100,'D CCC'!$B$5:$B$100,G$3,'D CCC'!$C$5:$C$100,"Car",'D CCC'!$D$5:$D$100,0)</f>
        <v/>
      </c>
      <c r="H56" s="279">
        <f>SUMIFS('D CCC'!$K$5:$K$100,'D CCC'!$B$5:$B$100,H$3,'D CCC'!$C$5:$C$100,"Car",'D CCC'!$D$5:$D$100,0)</f>
        <v/>
      </c>
      <c r="I56" s="279">
        <f>SUMIFS('D CCC'!$K$5:$K$100,'D CCC'!$B$5:$B$100,I$3,'D CCC'!$C$5:$C$100,"Car",'D CCC'!$D$5:$D$100,0)</f>
        <v/>
      </c>
      <c r="J56" s="279">
        <f>SUMIFS('D CCC'!$K$5:$K$100,'D CCC'!$B$5:$B$100,J$3,'D CCC'!$C$5:$C$100,"Car",'D CCC'!$D$5:$D$100,0)</f>
        <v/>
      </c>
      <c r="P56" s="234" t="inlineStr">
        <is>
          <t>D CCC column K (VERIFIED cells, derived ratio); 2020–2025 only</t>
        </is>
      </c>
    </row>
    <row r="57">
      <c r="B57" s="277" t="inlineStr">
        <is>
          <t>CCC-implied: Car — 1–3 years</t>
        </is>
      </c>
      <c r="C57" s="256" t="inlineStr">
        <is>
          <t>%</t>
        </is>
      </c>
      <c r="E57" s="279">
        <f>SUMIFS('D CCC'!$K$5:$K$100,'D CCC'!$B$5:$B$100,E$3,'D CCC'!$C$5:$C$100,"Car",'D CCC'!$D$5:$D$100,1)</f>
        <v/>
      </c>
      <c r="F57" s="279">
        <f>SUMIFS('D CCC'!$K$5:$K$100,'D CCC'!$B$5:$B$100,F$3,'D CCC'!$C$5:$C$100,"Car",'D CCC'!$D$5:$D$100,1)</f>
        <v/>
      </c>
      <c r="G57" s="279">
        <f>SUMIFS('D CCC'!$K$5:$K$100,'D CCC'!$B$5:$B$100,G$3,'D CCC'!$C$5:$C$100,"Car",'D CCC'!$D$5:$D$100,1)</f>
        <v/>
      </c>
      <c r="H57" s="279">
        <f>SUMIFS('D CCC'!$K$5:$K$100,'D CCC'!$B$5:$B$100,H$3,'D CCC'!$C$5:$C$100,"Car",'D CCC'!$D$5:$D$100,1)</f>
        <v/>
      </c>
      <c r="I57" s="279">
        <f>SUMIFS('D CCC'!$K$5:$K$100,'D CCC'!$B$5:$B$100,I$3,'D CCC'!$C$5:$C$100,"Car",'D CCC'!$D$5:$D$100,1)</f>
        <v/>
      </c>
      <c r="J57" s="279">
        <f>SUMIFS('D CCC'!$K$5:$K$100,'D CCC'!$B$5:$B$100,J$3,'D CCC'!$C$5:$C$100,"Car",'D CCC'!$D$5:$D$100,1)</f>
        <v/>
      </c>
    </row>
    <row r="58">
      <c r="B58" s="277" t="inlineStr">
        <is>
          <t>CCC-implied: Car — 4–6 years</t>
        </is>
      </c>
      <c r="C58" s="256" t="inlineStr">
        <is>
          <t>%</t>
        </is>
      </c>
      <c r="E58" s="279">
        <f>SUMIFS('D CCC'!$K$5:$K$100,'D CCC'!$B$5:$B$100,E$3,'D CCC'!$C$5:$C$100,"Car",'D CCC'!$D$5:$D$100,2)</f>
        <v/>
      </c>
      <c r="F58" s="279">
        <f>SUMIFS('D CCC'!$K$5:$K$100,'D CCC'!$B$5:$B$100,F$3,'D CCC'!$C$5:$C$100,"Car",'D CCC'!$D$5:$D$100,2)</f>
        <v/>
      </c>
      <c r="G58" s="279">
        <f>SUMIFS('D CCC'!$K$5:$K$100,'D CCC'!$B$5:$B$100,G$3,'D CCC'!$C$5:$C$100,"Car",'D CCC'!$D$5:$D$100,2)</f>
        <v/>
      </c>
      <c r="H58" s="279">
        <f>SUMIFS('D CCC'!$K$5:$K$100,'D CCC'!$B$5:$B$100,H$3,'D CCC'!$C$5:$C$100,"Car",'D CCC'!$D$5:$D$100,2)</f>
        <v/>
      </c>
      <c r="I58" s="279">
        <f>SUMIFS('D CCC'!$K$5:$K$100,'D CCC'!$B$5:$B$100,I$3,'D CCC'!$C$5:$C$100,"Car",'D CCC'!$D$5:$D$100,2)</f>
        <v/>
      </c>
      <c r="J58" s="279">
        <f>SUMIFS('D CCC'!$K$5:$K$100,'D CCC'!$B$5:$B$100,J$3,'D CCC'!$C$5:$C$100,"Car",'D CCC'!$D$5:$D$100,2)</f>
        <v/>
      </c>
    </row>
    <row r="59">
      <c r="B59" s="277" t="inlineStr">
        <is>
          <t>CCC-implied: Car — 7+ years</t>
        </is>
      </c>
      <c r="C59" s="256" t="inlineStr">
        <is>
          <t>%</t>
        </is>
      </c>
      <c r="E59" s="279">
        <f>SUMIFS('D CCC'!$K$5:$K$100,'D CCC'!$B$5:$B$100,E$3,'D CCC'!$C$5:$C$100,"Car",'D CCC'!$D$5:$D$100,3)</f>
        <v/>
      </c>
      <c r="F59" s="279">
        <f>SUMIFS('D CCC'!$K$5:$K$100,'D CCC'!$B$5:$B$100,F$3,'D CCC'!$C$5:$C$100,"Car",'D CCC'!$D$5:$D$100,3)</f>
        <v/>
      </c>
      <c r="G59" s="279">
        <f>SUMIFS('D CCC'!$K$5:$K$100,'D CCC'!$B$5:$B$100,G$3,'D CCC'!$C$5:$C$100,"Car",'D CCC'!$D$5:$D$100,3)</f>
        <v/>
      </c>
      <c r="H59" s="279">
        <f>SUMIFS('D CCC'!$K$5:$K$100,'D CCC'!$B$5:$B$100,H$3,'D CCC'!$C$5:$C$100,"Car",'D CCC'!$D$5:$D$100,3)</f>
        <v/>
      </c>
      <c r="I59" s="279">
        <f>SUMIFS('D CCC'!$K$5:$K$100,'D CCC'!$B$5:$B$100,I$3,'D CCC'!$C$5:$C$100,"Car",'D CCC'!$D$5:$D$100,3)</f>
        <v/>
      </c>
      <c r="J59" s="279">
        <f>SUMIFS('D CCC'!$K$5:$K$100,'D CCC'!$B$5:$B$100,J$3,'D CCC'!$C$5:$C$100,"Car",'D CCC'!$D$5:$D$100,3)</f>
        <v/>
      </c>
    </row>
    <row r="60">
      <c r="B60" s="238" t="inlineStr">
        <is>
          <t>CCC-implied: Utility vehicle (SUV) — 0 (current or newer)</t>
        </is>
      </c>
      <c r="C60" s="256" t="inlineStr">
        <is>
          <t>%</t>
        </is>
      </c>
      <c r="E60" s="279">
        <f>SUMIFS('D CCC'!$K$5:$K$100,'D CCC'!$B$5:$B$100,E$3,'D CCC'!$C$5:$C$100,"Utility Vehicle",'D CCC'!$D$5:$D$100,0)</f>
        <v/>
      </c>
      <c r="F60" s="279">
        <f>SUMIFS('D CCC'!$K$5:$K$100,'D CCC'!$B$5:$B$100,F$3,'D CCC'!$C$5:$C$100,"Utility Vehicle",'D CCC'!$D$5:$D$100,0)</f>
        <v/>
      </c>
      <c r="G60" s="279">
        <f>SUMIFS('D CCC'!$K$5:$K$100,'D CCC'!$B$5:$B$100,G$3,'D CCC'!$C$5:$C$100,"Utility Vehicle",'D CCC'!$D$5:$D$100,0)</f>
        <v/>
      </c>
      <c r="H60" s="279">
        <f>SUMIFS('D CCC'!$K$5:$K$100,'D CCC'!$B$5:$B$100,H$3,'D CCC'!$C$5:$C$100,"Utility Vehicle",'D CCC'!$D$5:$D$100,0)</f>
        <v/>
      </c>
      <c r="I60" s="279">
        <f>SUMIFS('D CCC'!$K$5:$K$100,'D CCC'!$B$5:$B$100,I$3,'D CCC'!$C$5:$C$100,"Utility Vehicle",'D CCC'!$D$5:$D$100,0)</f>
        <v/>
      </c>
      <c r="J60" s="279">
        <f>SUMIFS('D CCC'!$K$5:$K$100,'D CCC'!$B$5:$B$100,J$3,'D CCC'!$C$5:$C$100,"Utility Vehicle",'D CCC'!$D$5:$D$100,0)</f>
        <v/>
      </c>
    </row>
    <row r="61">
      <c r="B61" s="277" t="inlineStr">
        <is>
          <t>CCC-implied: Utility vehicle (SUV) — 1–3 years</t>
        </is>
      </c>
      <c r="C61" s="256" t="inlineStr">
        <is>
          <t>%</t>
        </is>
      </c>
      <c r="E61" s="279">
        <f>SUMIFS('D CCC'!$K$5:$K$100,'D CCC'!$B$5:$B$100,E$3,'D CCC'!$C$5:$C$100,"Utility Vehicle",'D CCC'!$D$5:$D$100,1)</f>
        <v/>
      </c>
      <c r="F61" s="279">
        <f>SUMIFS('D CCC'!$K$5:$K$100,'D CCC'!$B$5:$B$100,F$3,'D CCC'!$C$5:$C$100,"Utility Vehicle",'D CCC'!$D$5:$D$100,1)</f>
        <v/>
      </c>
      <c r="G61" s="279">
        <f>SUMIFS('D CCC'!$K$5:$K$100,'D CCC'!$B$5:$B$100,G$3,'D CCC'!$C$5:$C$100,"Utility Vehicle",'D CCC'!$D$5:$D$100,1)</f>
        <v/>
      </c>
      <c r="H61" s="279">
        <f>SUMIFS('D CCC'!$K$5:$K$100,'D CCC'!$B$5:$B$100,H$3,'D CCC'!$C$5:$C$100,"Utility Vehicle",'D CCC'!$D$5:$D$100,1)</f>
        <v/>
      </c>
      <c r="I61" s="279">
        <f>SUMIFS('D CCC'!$K$5:$K$100,'D CCC'!$B$5:$B$100,I$3,'D CCC'!$C$5:$C$100,"Utility Vehicle",'D CCC'!$D$5:$D$100,1)</f>
        <v/>
      </c>
      <c r="J61" s="279">
        <f>SUMIFS('D CCC'!$K$5:$K$100,'D CCC'!$B$5:$B$100,J$3,'D CCC'!$C$5:$C$100,"Utility Vehicle",'D CCC'!$D$5:$D$100,1)</f>
        <v/>
      </c>
    </row>
    <row r="62">
      <c r="B62" s="277" t="inlineStr">
        <is>
          <t>CCC-implied: Utility vehicle (SUV) — 4–6 years</t>
        </is>
      </c>
      <c r="C62" s="256" t="inlineStr">
        <is>
          <t>%</t>
        </is>
      </c>
      <c r="E62" s="279">
        <f>SUMIFS('D CCC'!$K$5:$K$100,'D CCC'!$B$5:$B$100,E$3,'D CCC'!$C$5:$C$100,"Utility Vehicle",'D CCC'!$D$5:$D$100,2)</f>
        <v/>
      </c>
      <c r="F62" s="279">
        <f>SUMIFS('D CCC'!$K$5:$K$100,'D CCC'!$B$5:$B$100,F$3,'D CCC'!$C$5:$C$100,"Utility Vehicle",'D CCC'!$D$5:$D$100,2)</f>
        <v/>
      </c>
      <c r="G62" s="279">
        <f>SUMIFS('D CCC'!$K$5:$K$100,'D CCC'!$B$5:$B$100,G$3,'D CCC'!$C$5:$C$100,"Utility Vehicle",'D CCC'!$D$5:$D$100,2)</f>
        <v/>
      </c>
      <c r="H62" s="279">
        <f>SUMIFS('D CCC'!$K$5:$K$100,'D CCC'!$B$5:$B$100,H$3,'D CCC'!$C$5:$C$100,"Utility Vehicle",'D CCC'!$D$5:$D$100,2)</f>
        <v/>
      </c>
      <c r="I62" s="279">
        <f>SUMIFS('D CCC'!$K$5:$K$100,'D CCC'!$B$5:$B$100,I$3,'D CCC'!$C$5:$C$100,"Utility Vehicle",'D CCC'!$D$5:$D$100,2)</f>
        <v/>
      </c>
      <c r="J62" s="279">
        <f>SUMIFS('D CCC'!$K$5:$K$100,'D CCC'!$B$5:$B$100,J$3,'D CCC'!$C$5:$C$100,"Utility Vehicle",'D CCC'!$D$5:$D$100,2)</f>
        <v/>
      </c>
    </row>
    <row r="63">
      <c r="B63" s="277" t="inlineStr">
        <is>
          <t>CCC-implied: Utility vehicle (SUV) — 7+ years</t>
        </is>
      </c>
      <c r="C63" s="256" t="inlineStr">
        <is>
          <t>%</t>
        </is>
      </c>
      <c r="E63" s="279">
        <f>SUMIFS('D CCC'!$K$5:$K$100,'D CCC'!$B$5:$B$100,E$3,'D CCC'!$C$5:$C$100,"Utility Vehicle",'D CCC'!$D$5:$D$100,3)</f>
        <v/>
      </c>
      <c r="F63" s="279">
        <f>SUMIFS('D CCC'!$K$5:$K$100,'D CCC'!$B$5:$B$100,F$3,'D CCC'!$C$5:$C$100,"Utility Vehicle",'D CCC'!$D$5:$D$100,3)</f>
        <v/>
      </c>
      <c r="G63" s="279">
        <f>SUMIFS('D CCC'!$K$5:$K$100,'D CCC'!$B$5:$B$100,G$3,'D CCC'!$C$5:$C$100,"Utility Vehicle",'D CCC'!$D$5:$D$100,3)</f>
        <v/>
      </c>
      <c r="H63" s="279">
        <f>SUMIFS('D CCC'!$K$5:$K$100,'D CCC'!$B$5:$B$100,H$3,'D CCC'!$C$5:$C$100,"Utility Vehicle",'D CCC'!$D$5:$D$100,3)</f>
        <v/>
      </c>
      <c r="I63" s="279">
        <f>SUMIFS('D CCC'!$K$5:$K$100,'D CCC'!$B$5:$B$100,I$3,'D CCC'!$C$5:$C$100,"Utility Vehicle",'D CCC'!$D$5:$D$100,3)</f>
        <v/>
      </c>
      <c r="J63" s="279">
        <f>SUMIFS('D CCC'!$K$5:$K$100,'D CCC'!$B$5:$B$100,J$3,'D CCC'!$C$5:$C$100,"Utility Vehicle",'D CCC'!$D$5:$D$100,3)</f>
        <v/>
      </c>
    </row>
    <row r="64">
      <c r="B64" s="238" t="inlineStr">
        <is>
          <t>CCC-implied: Pickup — 0 (current or newer)</t>
        </is>
      </c>
      <c r="C64" s="256" t="inlineStr">
        <is>
          <t>%</t>
        </is>
      </c>
      <c r="E64" s="279">
        <f>SUMIFS('D CCC'!$K$5:$K$100,'D CCC'!$B$5:$B$100,E$3,'D CCC'!$C$5:$C$100,"Pickup",'D CCC'!$D$5:$D$100,0)</f>
        <v/>
      </c>
      <c r="F64" s="279">
        <f>SUMIFS('D CCC'!$K$5:$K$100,'D CCC'!$B$5:$B$100,F$3,'D CCC'!$C$5:$C$100,"Pickup",'D CCC'!$D$5:$D$100,0)</f>
        <v/>
      </c>
      <c r="G64" s="279">
        <f>SUMIFS('D CCC'!$K$5:$K$100,'D CCC'!$B$5:$B$100,G$3,'D CCC'!$C$5:$C$100,"Pickup",'D CCC'!$D$5:$D$100,0)</f>
        <v/>
      </c>
      <c r="H64" s="279">
        <f>SUMIFS('D CCC'!$K$5:$K$100,'D CCC'!$B$5:$B$100,H$3,'D CCC'!$C$5:$C$100,"Pickup",'D CCC'!$D$5:$D$100,0)</f>
        <v/>
      </c>
      <c r="I64" s="279">
        <f>SUMIFS('D CCC'!$K$5:$K$100,'D CCC'!$B$5:$B$100,I$3,'D CCC'!$C$5:$C$100,"Pickup",'D CCC'!$D$5:$D$100,0)</f>
        <v/>
      </c>
      <c r="J64" s="279">
        <f>SUMIFS('D CCC'!$K$5:$K$100,'D CCC'!$B$5:$B$100,J$3,'D CCC'!$C$5:$C$100,"Pickup",'D CCC'!$D$5:$D$100,0)</f>
        <v/>
      </c>
    </row>
    <row r="65">
      <c r="B65" s="277" t="inlineStr">
        <is>
          <t>CCC-implied: Pickup — 1–3 years</t>
        </is>
      </c>
      <c r="C65" s="256" t="inlineStr">
        <is>
          <t>%</t>
        </is>
      </c>
      <c r="E65" s="279">
        <f>SUMIFS('D CCC'!$K$5:$K$100,'D CCC'!$B$5:$B$100,E$3,'D CCC'!$C$5:$C$100,"Pickup",'D CCC'!$D$5:$D$100,1)</f>
        <v/>
      </c>
      <c r="F65" s="279">
        <f>SUMIFS('D CCC'!$K$5:$K$100,'D CCC'!$B$5:$B$100,F$3,'D CCC'!$C$5:$C$100,"Pickup",'D CCC'!$D$5:$D$100,1)</f>
        <v/>
      </c>
      <c r="G65" s="279">
        <f>SUMIFS('D CCC'!$K$5:$K$100,'D CCC'!$B$5:$B$100,G$3,'D CCC'!$C$5:$C$100,"Pickup",'D CCC'!$D$5:$D$100,1)</f>
        <v/>
      </c>
      <c r="H65" s="279">
        <f>SUMIFS('D CCC'!$K$5:$K$100,'D CCC'!$B$5:$B$100,H$3,'D CCC'!$C$5:$C$100,"Pickup",'D CCC'!$D$5:$D$100,1)</f>
        <v/>
      </c>
      <c r="I65" s="279">
        <f>SUMIFS('D CCC'!$K$5:$K$100,'D CCC'!$B$5:$B$100,I$3,'D CCC'!$C$5:$C$100,"Pickup",'D CCC'!$D$5:$D$100,1)</f>
        <v/>
      </c>
      <c r="J65" s="279">
        <f>SUMIFS('D CCC'!$K$5:$K$100,'D CCC'!$B$5:$B$100,J$3,'D CCC'!$C$5:$C$100,"Pickup",'D CCC'!$D$5:$D$100,1)</f>
        <v/>
      </c>
    </row>
    <row r="66">
      <c r="B66" s="277" t="inlineStr">
        <is>
          <t>CCC-implied: Pickup — 4–6 years</t>
        </is>
      </c>
      <c r="C66" s="256" t="inlineStr">
        <is>
          <t>%</t>
        </is>
      </c>
      <c r="E66" s="279">
        <f>SUMIFS('D CCC'!$K$5:$K$100,'D CCC'!$B$5:$B$100,E$3,'D CCC'!$C$5:$C$100,"Pickup",'D CCC'!$D$5:$D$100,2)</f>
        <v/>
      </c>
      <c r="F66" s="279">
        <f>SUMIFS('D CCC'!$K$5:$K$100,'D CCC'!$B$5:$B$100,F$3,'D CCC'!$C$5:$C$100,"Pickup",'D CCC'!$D$5:$D$100,2)</f>
        <v/>
      </c>
      <c r="G66" s="279">
        <f>SUMIFS('D CCC'!$K$5:$K$100,'D CCC'!$B$5:$B$100,G$3,'D CCC'!$C$5:$C$100,"Pickup",'D CCC'!$D$5:$D$100,2)</f>
        <v/>
      </c>
      <c r="H66" s="279">
        <f>SUMIFS('D CCC'!$K$5:$K$100,'D CCC'!$B$5:$B$100,H$3,'D CCC'!$C$5:$C$100,"Pickup",'D CCC'!$D$5:$D$100,2)</f>
        <v/>
      </c>
      <c r="I66" s="279">
        <f>SUMIFS('D CCC'!$K$5:$K$100,'D CCC'!$B$5:$B$100,I$3,'D CCC'!$C$5:$C$100,"Pickup",'D CCC'!$D$5:$D$100,2)</f>
        <v/>
      </c>
      <c r="J66" s="279">
        <f>SUMIFS('D CCC'!$K$5:$K$100,'D CCC'!$B$5:$B$100,J$3,'D CCC'!$C$5:$C$100,"Pickup",'D CCC'!$D$5:$D$100,2)</f>
        <v/>
      </c>
    </row>
    <row r="67">
      <c r="B67" s="277" t="inlineStr">
        <is>
          <t>CCC-implied: Pickup — 7+ years</t>
        </is>
      </c>
      <c r="C67" s="256" t="inlineStr">
        <is>
          <t>%</t>
        </is>
      </c>
      <c r="E67" s="279">
        <f>SUMIFS('D CCC'!$K$5:$K$100,'D CCC'!$B$5:$B$100,E$3,'D CCC'!$C$5:$C$100,"Pickup",'D CCC'!$D$5:$D$100,3)</f>
        <v/>
      </c>
      <c r="F67" s="279">
        <f>SUMIFS('D CCC'!$K$5:$K$100,'D CCC'!$B$5:$B$100,F$3,'D CCC'!$C$5:$C$100,"Pickup",'D CCC'!$D$5:$D$100,3)</f>
        <v/>
      </c>
      <c r="G67" s="279">
        <f>SUMIFS('D CCC'!$K$5:$K$100,'D CCC'!$B$5:$B$100,G$3,'D CCC'!$C$5:$C$100,"Pickup",'D CCC'!$D$5:$D$100,3)</f>
        <v/>
      </c>
      <c r="H67" s="279">
        <f>SUMIFS('D CCC'!$K$5:$K$100,'D CCC'!$B$5:$B$100,H$3,'D CCC'!$C$5:$C$100,"Pickup",'D CCC'!$D$5:$D$100,3)</f>
        <v/>
      </c>
      <c r="I67" s="279">
        <f>SUMIFS('D CCC'!$K$5:$K$100,'D CCC'!$B$5:$B$100,I$3,'D CCC'!$C$5:$C$100,"Pickup",'D CCC'!$D$5:$D$100,3)</f>
        <v/>
      </c>
      <c r="J67" s="279">
        <f>SUMIFS('D CCC'!$K$5:$K$100,'D CCC'!$B$5:$B$100,J$3,'D CCC'!$C$5:$C$100,"Pickup",'D CCC'!$D$5:$D$100,3)</f>
        <v/>
      </c>
    </row>
    <row r="68">
      <c r="B68" s="238" t="inlineStr">
        <is>
          <t>CCC-implied: Van / minivan — 0 (current or newer)</t>
        </is>
      </c>
      <c r="C68" s="256" t="inlineStr">
        <is>
          <t>%</t>
        </is>
      </c>
      <c r="E68" s="279">
        <f>SUMIFS('D CCC'!$K$5:$K$100,'D CCC'!$B$5:$B$100,E$3,'D CCC'!$C$5:$C$100,"Van",'D CCC'!$D$5:$D$100,0)</f>
        <v/>
      </c>
      <c r="F68" s="279">
        <f>SUMIFS('D CCC'!$K$5:$K$100,'D CCC'!$B$5:$B$100,F$3,'D CCC'!$C$5:$C$100,"Van",'D CCC'!$D$5:$D$100,0)</f>
        <v/>
      </c>
      <c r="G68" s="279">
        <f>SUMIFS('D CCC'!$K$5:$K$100,'D CCC'!$B$5:$B$100,G$3,'D CCC'!$C$5:$C$100,"Van",'D CCC'!$D$5:$D$100,0)</f>
        <v/>
      </c>
      <c r="H68" s="279">
        <f>SUMIFS('D CCC'!$K$5:$K$100,'D CCC'!$B$5:$B$100,H$3,'D CCC'!$C$5:$C$100,"Van",'D CCC'!$D$5:$D$100,0)</f>
        <v/>
      </c>
      <c r="I68" s="279">
        <f>SUMIFS('D CCC'!$K$5:$K$100,'D CCC'!$B$5:$B$100,I$3,'D CCC'!$C$5:$C$100,"Van",'D CCC'!$D$5:$D$100,0)</f>
        <v/>
      </c>
      <c r="J68" s="279">
        <f>SUMIFS('D CCC'!$K$5:$K$100,'D CCC'!$B$5:$B$100,J$3,'D CCC'!$C$5:$C$100,"Van",'D CCC'!$D$5:$D$100,0)</f>
        <v/>
      </c>
    </row>
    <row r="69">
      <c r="B69" s="277" t="inlineStr">
        <is>
          <t>CCC-implied: Van / minivan — 1–3 years</t>
        </is>
      </c>
      <c r="C69" s="256" t="inlineStr">
        <is>
          <t>%</t>
        </is>
      </c>
      <c r="E69" s="279">
        <f>SUMIFS('D CCC'!$K$5:$K$100,'D CCC'!$B$5:$B$100,E$3,'D CCC'!$C$5:$C$100,"Van",'D CCC'!$D$5:$D$100,1)</f>
        <v/>
      </c>
      <c r="F69" s="279">
        <f>SUMIFS('D CCC'!$K$5:$K$100,'D CCC'!$B$5:$B$100,F$3,'D CCC'!$C$5:$C$100,"Van",'D CCC'!$D$5:$D$100,1)</f>
        <v/>
      </c>
      <c r="G69" s="279">
        <f>SUMIFS('D CCC'!$K$5:$K$100,'D CCC'!$B$5:$B$100,G$3,'D CCC'!$C$5:$C$100,"Van",'D CCC'!$D$5:$D$100,1)</f>
        <v/>
      </c>
      <c r="H69" s="279">
        <f>SUMIFS('D CCC'!$K$5:$K$100,'D CCC'!$B$5:$B$100,H$3,'D CCC'!$C$5:$C$100,"Van",'D CCC'!$D$5:$D$100,1)</f>
        <v/>
      </c>
      <c r="I69" s="279">
        <f>SUMIFS('D CCC'!$K$5:$K$100,'D CCC'!$B$5:$B$100,I$3,'D CCC'!$C$5:$C$100,"Van",'D CCC'!$D$5:$D$100,1)</f>
        <v/>
      </c>
      <c r="J69" s="279">
        <f>SUMIFS('D CCC'!$K$5:$K$100,'D CCC'!$B$5:$B$100,J$3,'D CCC'!$C$5:$C$100,"Van",'D CCC'!$D$5:$D$100,1)</f>
        <v/>
      </c>
    </row>
    <row r="70">
      <c r="B70" s="277" t="inlineStr">
        <is>
          <t>CCC-implied: Van / minivan — 4–6 years</t>
        </is>
      </c>
      <c r="C70" s="256" t="inlineStr">
        <is>
          <t>%</t>
        </is>
      </c>
      <c r="E70" s="279">
        <f>SUMIFS('D CCC'!$K$5:$K$100,'D CCC'!$B$5:$B$100,E$3,'D CCC'!$C$5:$C$100,"Van",'D CCC'!$D$5:$D$100,2)</f>
        <v/>
      </c>
      <c r="F70" s="279">
        <f>SUMIFS('D CCC'!$K$5:$K$100,'D CCC'!$B$5:$B$100,F$3,'D CCC'!$C$5:$C$100,"Van",'D CCC'!$D$5:$D$100,2)</f>
        <v/>
      </c>
      <c r="G70" s="279">
        <f>SUMIFS('D CCC'!$K$5:$K$100,'D CCC'!$B$5:$B$100,G$3,'D CCC'!$C$5:$C$100,"Van",'D CCC'!$D$5:$D$100,2)</f>
        <v/>
      </c>
      <c r="H70" s="279">
        <f>SUMIFS('D CCC'!$K$5:$K$100,'D CCC'!$B$5:$B$100,H$3,'D CCC'!$C$5:$C$100,"Van",'D CCC'!$D$5:$D$100,2)</f>
        <v/>
      </c>
      <c r="I70" s="279">
        <f>SUMIFS('D CCC'!$K$5:$K$100,'D CCC'!$B$5:$B$100,I$3,'D CCC'!$C$5:$C$100,"Van",'D CCC'!$D$5:$D$100,2)</f>
        <v/>
      </c>
      <c r="J70" s="279">
        <f>SUMIFS('D CCC'!$K$5:$K$100,'D CCC'!$B$5:$B$100,J$3,'D CCC'!$C$5:$C$100,"Van",'D CCC'!$D$5:$D$100,2)</f>
        <v/>
      </c>
    </row>
    <row r="71">
      <c r="B71" s="277" t="inlineStr">
        <is>
          <t>CCC-implied: Van / minivan — 7+ years</t>
        </is>
      </c>
      <c r="C71" s="256" t="inlineStr">
        <is>
          <t>%</t>
        </is>
      </c>
      <c r="E71" s="279">
        <f>SUMIFS('D CCC'!$K$5:$K$100,'D CCC'!$B$5:$B$100,E$3,'D CCC'!$C$5:$C$100,"Van",'D CCC'!$D$5:$D$100,3)</f>
        <v/>
      </c>
      <c r="F71" s="279">
        <f>SUMIFS('D CCC'!$K$5:$K$100,'D CCC'!$B$5:$B$100,F$3,'D CCC'!$C$5:$C$100,"Van",'D CCC'!$D$5:$D$100,3)</f>
        <v/>
      </c>
      <c r="G71" s="279">
        <f>SUMIFS('D CCC'!$K$5:$K$100,'D CCC'!$B$5:$B$100,G$3,'D CCC'!$C$5:$C$100,"Van",'D CCC'!$D$5:$D$100,3)</f>
        <v/>
      </c>
      <c r="H71" s="279">
        <f>SUMIFS('D CCC'!$K$5:$K$100,'D CCC'!$B$5:$B$100,H$3,'D CCC'!$C$5:$C$100,"Van",'D CCC'!$D$5:$D$100,3)</f>
        <v/>
      </c>
      <c r="I71" s="279">
        <f>SUMIFS('D CCC'!$K$5:$K$100,'D CCC'!$B$5:$B$100,I$3,'D CCC'!$C$5:$C$100,"Van",'D CCC'!$D$5:$D$100,3)</f>
        <v/>
      </c>
      <c r="J71" s="279">
        <f>SUMIFS('D CCC'!$K$5:$K$100,'D CCC'!$B$5:$B$100,J$3,'D CCC'!$C$5:$C$100,"Van",'D CCC'!$D$5:$D$100,3)</f>
        <v/>
      </c>
    </row>
    <row r="72"/>
    <row r="73">
      <c r="B73" s="272" t="inlineStr">
        <is>
          <t>Gap, body total: Car (model − CCC)</t>
        </is>
      </c>
      <c r="C73" s="256" t="inlineStr">
        <is>
          <t>pp</t>
        </is>
      </c>
      <c r="E73" s="273">
        <f>SUM(E40:E43)-SUM(E56:E59)</f>
        <v/>
      </c>
      <c r="F73" s="273">
        <f>SUM(F40:F43)-SUM(F56:F59)</f>
        <v/>
      </c>
      <c r="G73" s="273">
        <f>SUM(G40:G43)-SUM(G56:G59)</f>
        <v/>
      </c>
      <c r="H73" s="273">
        <f>SUM(H40:H43)-SUM(H56:H59)</f>
        <v/>
      </c>
      <c r="I73" s="273">
        <f>SUM(I40:I43)-SUM(I56:I59)</f>
        <v/>
      </c>
      <c r="J73" s="273">
        <f>SUM(J40:J43)-SUM(J56:J59)</f>
        <v/>
      </c>
    </row>
    <row r="74">
      <c r="B74" s="272" t="inlineStr">
        <is>
          <t>Gap, body total: Utility vehicle (SUV) (model − CCC)</t>
        </is>
      </c>
      <c r="C74" s="256" t="inlineStr">
        <is>
          <t>pp</t>
        </is>
      </c>
      <c r="E74" s="273">
        <f>SUM(E44:E47)-SUM(E60:E63)</f>
        <v/>
      </c>
      <c r="F74" s="273">
        <f>SUM(F44:F47)-SUM(F60:F63)</f>
        <v/>
      </c>
      <c r="G74" s="273">
        <f>SUM(G44:G47)-SUM(G60:G63)</f>
        <v/>
      </c>
      <c r="H74" s="273">
        <f>SUM(H44:H47)-SUM(H60:H63)</f>
        <v/>
      </c>
      <c r="I74" s="273">
        <f>SUM(I44:I47)-SUM(I60:I63)</f>
        <v/>
      </c>
      <c r="J74" s="273">
        <f>SUM(J44:J47)-SUM(J60:J63)</f>
        <v/>
      </c>
    </row>
    <row r="75">
      <c r="B75" s="272" t="inlineStr">
        <is>
          <t>Gap, body total: Pickup (model − CCC)</t>
        </is>
      </c>
      <c r="C75" s="256" t="inlineStr">
        <is>
          <t>pp</t>
        </is>
      </c>
      <c r="E75" s="273">
        <f>SUM(E48:E51)-SUM(E64:E67)</f>
        <v/>
      </c>
      <c r="F75" s="273">
        <f>SUM(F48:F51)-SUM(F64:F67)</f>
        <v/>
      </c>
      <c r="G75" s="273">
        <f>SUM(G48:G51)-SUM(G64:G67)</f>
        <v/>
      </c>
      <c r="H75" s="273">
        <f>SUM(H48:H51)-SUM(H64:H67)</f>
        <v/>
      </c>
      <c r="I75" s="273">
        <f>SUM(I48:I51)-SUM(I64:I67)</f>
        <v/>
      </c>
      <c r="J75" s="273">
        <f>SUM(J48:J51)-SUM(J64:J67)</f>
        <v/>
      </c>
    </row>
    <row r="76">
      <c r="B76" s="272" t="inlineStr">
        <is>
          <t>Gap, body total: Van / minivan (model − CCC)</t>
        </is>
      </c>
      <c r="C76" s="256" t="inlineStr">
        <is>
          <t>pp</t>
        </is>
      </c>
      <c r="E76" s="273">
        <f>SUM(E52:E55)-SUM(E68:E71)</f>
        <v/>
      </c>
      <c r="F76" s="273">
        <f>SUM(F52:F55)-SUM(F68:F71)</f>
        <v/>
      </c>
      <c r="G76" s="273">
        <f>SUM(G52:G55)-SUM(G68:G71)</f>
        <v/>
      </c>
      <c r="H76" s="273">
        <f>SUM(H52:H55)-SUM(H68:H71)</f>
        <v/>
      </c>
      <c r="I76" s="273">
        <f>SUM(I52:I55)-SUM(I68:I71)</f>
        <v/>
      </c>
      <c r="J76" s="273">
        <f>SUM(J52:J55)-SUM(J68:J71)</f>
        <v/>
      </c>
    </row>
    <row r="77">
      <c r="B77" s="242" t="inlineStr">
        <is>
          <t>Largest single-cell gap, |model − CCC|</t>
        </is>
      </c>
      <c r="C77" s="256" t="inlineStr">
        <is>
          <t>pp</t>
        </is>
      </c>
      <c r="E77" s="261">
        <f>SUMPRODUCT(MAX(ABS(E40:E55-E56:E71)))</f>
        <v/>
      </c>
      <c r="F77" s="261">
        <f>SUMPRODUCT(MAX(ABS(F40:F55-F56:F71)))</f>
        <v/>
      </c>
      <c r="G77" s="261">
        <f>SUMPRODUCT(MAX(ABS(G40:G55-G56:G71)))</f>
        <v/>
      </c>
      <c r="H77" s="261">
        <f>SUMPRODUCT(MAX(ABS(H40:H55-H56:H71)))</f>
        <v/>
      </c>
      <c r="I77" s="261">
        <f>SUMPRODUCT(MAX(ABS(I40:I55-I56:I71)))</f>
        <v/>
      </c>
      <c r="J77" s="261">
        <f>SUMPRODUCT(MAX(ABS(J40:J55-J56:J71)))</f>
        <v/>
      </c>
    </row>
    <row r="78"/>
    <row r="79"/>
    <row r="80">
      <c r="B80" s="254" t="inlineStr">
        <is>
          <t>E. Checks</t>
        </is>
      </c>
      <c r="C80" s="274" t="n"/>
      <c r="D80" s="274" t="n"/>
      <c r="E80" s="274" t="n"/>
      <c r="F80" s="274" t="n"/>
      <c r="G80" s="274" t="n"/>
      <c r="H80" s="274" t="n"/>
      <c r="I80" s="274" t="n"/>
      <c r="J80" s="274" t="n"/>
      <c r="K80" s="274" t="n"/>
      <c r="L80" s="274" t="n"/>
      <c r="M80" s="274" t="n"/>
      <c r="N80" s="274" t="n"/>
      <c r="O80" s="274" t="n"/>
      <c r="P80" s="274" t="n"/>
      <c r="Q80" s="274" t="n"/>
      <c r="R80" s="274" t="n"/>
      <c r="S80" s="274" t="n"/>
    </row>
    <row r="81">
      <c r="B81" s="238" t="inlineStr">
        <is>
          <t>Total vehicles on the road, 2024 vs Experian anchor</t>
        </is>
      </c>
      <c r="C81" s="256" t="inlineStr">
        <is>
          <t>000s</t>
        </is>
      </c>
      <c r="D81" s="276">
        <f>I35</f>
        <v/>
      </c>
      <c r="E81" s="270">
        <f>$D$95</f>
        <v/>
      </c>
      <c r="F81" s="278">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278">
        <f>I36</f>
        <v/>
      </c>
      <c r="E82" s="279">
        <f>$D$96</f>
        <v/>
      </c>
      <c r="F82" s="278">
        <f>D82-E82</f>
        <v/>
      </c>
      <c r="G82" s="242">
        <f>IF(ABS(F82)&lt;0.02,"PASS","FAIL")</f>
        <v/>
      </c>
    </row>
    <row r="83">
      <c r="B83" s="238" t="inlineStr">
        <is>
          <t>Largest cell gap vs CCC claim mix, 2020–2025 (out of sample except body factors at 2025)</t>
        </is>
      </c>
      <c r="C83" s="256" t="inlineStr">
        <is>
          <t>pp</t>
        </is>
      </c>
      <c r="D83" s="278">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8">
        <f>SUMPRODUCT(MAX(ABS(E73:I76)))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9" t="inlineStr">
        <is>
          <t>Value</t>
        </is>
      </c>
      <c r="E88" s="269"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80" t="n">
        <v>1.064</v>
      </c>
      <c r="E89" s="234" t="inlineStr">
        <is>
          <t>FITTED</t>
        </is>
      </c>
      <c r="P89" s="234" t="inlineStr">
        <is>
          <t>docs/AGE_CURVES.md §2.3 — reproduces IHS 2013 census of cars by age (ORNL Table 3.11)</t>
        </is>
      </c>
    </row>
    <row r="90">
      <c r="B90" s="238" t="inlineStr">
        <is>
          <t>k_cars(2013)</t>
        </is>
      </c>
      <c r="D90" s="280" t="n">
        <v>1.064</v>
      </c>
      <c r="E90" s="234" t="inlineStr">
        <is>
          <t>FITTED</t>
        </is>
      </c>
      <c r="P90" s="234" t="inlineStr">
        <is>
          <t>same (duplicate row kept for formula anchoring)</t>
        </is>
      </c>
    </row>
    <row r="91">
      <c r="B91" s="238" t="inlineStr">
        <is>
          <t>k_light trucks(2013)</t>
        </is>
      </c>
      <c r="D91" s="280" t="n">
        <v>0.921</v>
      </c>
      <c r="E91" s="234" t="inlineStr">
        <is>
          <t>FITTED</t>
        </is>
      </c>
      <c r="P91" s="234" t="inlineStr">
        <is>
          <t>docs/AGE_CURVES.md §2.3 — IHS 2013 census of trucks (ORNL Table 3.12)</t>
        </is>
      </c>
    </row>
    <row r="92">
      <c r="B92" s="238" t="inlineStr">
        <is>
          <t>m(2024): drift multiplier</t>
        </is>
      </c>
      <c r="D92" s="280"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280" t="n">
        <v>0.5</v>
      </c>
      <c r="E93" s="234" t="inlineStr">
        <is>
          <t>ASSUMED</t>
        </is>
      </c>
      <c r="P93" s="234" t="inlineStr">
        <is>
          <t>data/csv/age_curves.csv header; looks low versus CCC age-0 claim share (5.5% vs 4.0%)</t>
        </is>
      </c>
    </row>
    <row r="94">
      <c r="B94" s="238" t="inlineStr">
        <is>
          <t>Claims decay per year beyond age 6 (R(a) = exposure × e^(−decay·max(a−6,0)))</t>
        </is>
      </c>
      <c r="D94" s="280" t="n">
        <v>0.09027</v>
      </c>
      <c r="E94" s="234" t="inlineStr">
        <is>
          <t>FITTED</t>
        </is>
      </c>
      <c r="P94" s="234" t="inlineStr">
        <is>
          <t>scripts/age_curves.py — fitted jointly with P(a) to eight CCC 2024 statistics</t>
        </is>
      </c>
    </row>
    <row r="95">
      <c r="B95" s="238" t="inlineStr">
        <is>
          <t>Vehicles in operation, 2024 (thousands)</t>
        </is>
      </c>
      <c r="D95" s="281" t="n">
        <v>292000</v>
      </c>
      <c r="E95" s="234" t="inlineStr">
        <is>
          <t>UNVERIFIED</t>
        </is>
      </c>
      <c r="P95" s="234" t="inlineStr">
        <is>
          <t>Experian figure on disk per PROVENANCE (file to be cited); the recalled S&amp;P 289M is retired</t>
        </is>
      </c>
    </row>
    <row r="96">
      <c r="B96" s="238" t="inlineStr">
        <is>
          <t>Share aged 7+, 2024</t>
        </is>
      </c>
      <c r="D96" s="280" t="n">
        <v>0.66</v>
      </c>
      <c r="E96" s="234" t="inlineStr">
        <is>
          <t>UNVERIFIED</t>
        </is>
      </c>
      <c r="P96" s="234" t="inlineStr">
        <is>
          <t>recalled S&amp;P Global Mobility release; not on disk</t>
        </is>
      </c>
    </row>
    <row r="97">
      <c r="B97" s="238" t="inlineStr">
        <is>
          <t>Body factor: Car (claims per vehicle vs common curve)</t>
        </is>
      </c>
      <c r="D97" s="280" t="n">
        <v>1.11</v>
      </c>
      <c r="E97" s="234" t="inlineStr">
        <is>
          <t>CALIBRATED</t>
        </is>
      </c>
      <c r="P97" s="234" t="inlineStr">
        <is>
          <t>scripts/fleet_vs_ccc_backtest.py — fitted to 2025 CCC cells only; 2020–24 are the test</t>
        </is>
      </c>
    </row>
    <row r="98">
      <c r="B98" s="238" t="inlineStr">
        <is>
          <t>Body factor: Utility vehicle (SUV)</t>
        </is>
      </c>
      <c r="D98" s="280" t="n">
        <v>0.917</v>
      </c>
      <c r="E98" s="234" t="inlineStr">
        <is>
          <t>CALIBRATED</t>
        </is>
      </c>
      <c r="P98" s="234" t="inlineStr">
        <is>
          <t>same</t>
        </is>
      </c>
    </row>
    <row r="99">
      <c r="B99" s="238" t="inlineStr">
        <is>
          <t>Body factor: Pickup</t>
        </is>
      </c>
      <c r="D99" s="280" t="n">
        <v>1.028</v>
      </c>
      <c r="E99" s="234" t="inlineStr">
        <is>
          <t>CALIBRATED</t>
        </is>
      </c>
      <c r="P99" s="234" t="inlineStr">
        <is>
          <t>same</t>
        </is>
      </c>
    </row>
    <row r="100">
      <c r="B100" s="238" t="inlineStr">
        <is>
          <t>Body factor: Van / minivan</t>
        </is>
      </c>
      <c r="D100" s="280" t="n">
        <v>0.923</v>
      </c>
      <c r="E100" s="234" t="inlineStr">
        <is>
          <t>CALIBRATED</t>
        </is>
      </c>
      <c r="P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82">
        <f>'E1 Fleet'!D15</f>
        <v/>
      </c>
      <c r="F4" s="282">
        <f>'E1 Fleet'!E15</f>
        <v/>
      </c>
      <c r="G4" s="282">
        <f>'E1 Fleet'!F15</f>
        <v/>
      </c>
      <c r="H4" s="282">
        <f>'E1 Fleet'!G15</f>
        <v/>
      </c>
      <c r="I4" s="282">
        <f>'E1 Fleet'!H15</f>
        <v/>
      </c>
      <c r="J4" s="282">
        <f>'E1 Fleet'!I15</f>
        <v/>
      </c>
      <c r="K4" s="282">
        <f>'E1 Fleet'!J15</f>
        <v/>
      </c>
      <c r="L4" s="282">
        <f>'E1 Fleet'!K15</f>
        <v/>
      </c>
      <c r="M4" s="282">
        <f>'E1 Fleet'!L15</f>
        <v/>
      </c>
      <c r="N4" s="282">
        <f>'E1 Fleet'!M15</f>
        <v/>
      </c>
    </row>
    <row r="5">
      <c r="D5" s="234" t="inlineStr">
        <is>
          <t>k light trucks</t>
        </is>
      </c>
      <c r="E5" s="282">
        <f>'E1 Fleet'!D16</f>
        <v/>
      </c>
      <c r="F5" s="282">
        <f>'E1 Fleet'!E16</f>
        <v/>
      </c>
      <c r="G5" s="282">
        <f>'E1 Fleet'!F16</f>
        <v/>
      </c>
      <c r="H5" s="282">
        <f>'E1 Fleet'!G16</f>
        <v/>
      </c>
      <c r="I5" s="282">
        <f>'E1 Fleet'!H16</f>
        <v/>
      </c>
      <c r="J5" s="282">
        <f>'E1 Fleet'!I16</f>
        <v/>
      </c>
      <c r="K5" s="282">
        <f>'E1 Fleet'!J16</f>
        <v/>
      </c>
      <c r="L5" s="282">
        <f>'E1 Fleet'!K16</f>
        <v/>
      </c>
      <c r="M5" s="282">
        <f>'E1 Fleet'!L16</f>
        <v/>
      </c>
      <c r="N5" s="282">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75">
        <f>IF($B7=0,'E1 Fleet'!$D$93,1)*EXP(-'E1 Fleet'!$D$94*MAX($B7-6,0))</f>
        <v/>
      </c>
      <c r="E7" s="276">
        <f>IFERROR(INDEX('D Fleet'!$C$5:$C$62,MATCH(E$3-$B7,'D Fleet'!$B$5:$B$62,0)),0)*IFERROR(INDEX('D Fleet'!$J$5:$J$36,INT(($B7/E$4))+1)+(($B7/E$4)-INT(($B7/E$4)))*(INDEX('D Fleet'!$J$5:$J$36,INT(($B7/E$4))+2)-INDEX('D Fleet'!$J$5:$J$36,INT(($B7/E$4))+1)),0)</f>
        <v/>
      </c>
      <c r="F7" s="276">
        <f>IFERROR(INDEX('D Fleet'!$C$5:$C$62,MATCH(F$3-$B7,'D Fleet'!$B$5:$B$62,0)),0)*IFERROR(INDEX('D Fleet'!$J$5:$J$36,INT(($B7/F$4))+1)+(($B7/F$4)-INT(($B7/F$4)))*(INDEX('D Fleet'!$J$5:$J$36,INT(($B7/F$4))+2)-INDEX('D Fleet'!$J$5:$J$36,INT(($B7/F$4))+1)),0)</f>
        <v/>
      </c>
      <c r="G7" s="276">
        <f>IFERROR(INDEX('D Fleet'!$C$5:$C$62,MATCH(G$3-$B7,'D Fleet'!$B$5:$B$62,0)),0)*IFERROR(INDEX('D Fleet'!$J$5:$J$36,INT(($B7/G$4))+1)+(($B7/G$4)-INT(($B7/G$4)))*(INDEX('D Fleet'!$J$5:$J$36,INT(($B7/G$4))+2)-INDEX('D Fleet'!$J$5:$J$36,INT(($B7/G$4))+1)),0)</f>
        <v/>
      </c>
      <c r="H7" s="276">
        <f>IFERROR(INDEX('D Fleet'!$C$5:$C$62,MATCH(H$3-$B7,'D Fleet'!$B$5:$B$62,0)),0)*IFERROR(INDEX('D Fleet'!$J$5:$J$36,INT(($B7/H$4))+1)+(($B7/H$4)-INT(($B7/H$4)))*(INDEX('D Fleet'!$J$5:$J$36,INT(($B7/H$4))+2)-INDEX('D Fleet'!$J$5:$J$36,INT(($B7/H$4))+1)),0)</f>
        <v/>
      </c>
      <c r="I7" s="276">
        <f>IFERROR(INDEX('D Fleet'!$C$5:$C$62,MATCH(I$3-$B7,'D Fleet'!$B$5:$B$62,0)),0)*IFERROR(INDEX('D Fleet'!$J$5:$J$36,INT(($B7/I$4))+1)+(($B7/I$4)-INT(($B7/I$4)))*(INDEX('D Fleet'!$J$5:$J$36,INT(($B7/I$4))+2)-INDEX('D Fleet'!$J$5:$J$36,INT(($B7/I$4))+1)),0)</f>
        <v/>
      </c>
      <c r="J7" s="276">
        <f>IFERROR(INDEX('D Fleet'!$C$5:$C$62,MATCH(J$3-$B7,'D Fleet'!$B$5:$B$62,0)),0)*IFERROR(INDEX('D Fleet'!$J$5:$J$36,INT(($B7/J$4))+1)+(($B7/J$4)-INT(($B7/J$4)))*(INDEX('D Fleet'!$J$5:$J$36,INT(($B7/J$4))+2)-INDEX('D Fleet'!$J$5:$J$36,INT(($B7/J$4))+1)),0)</f>
        <v/>
      </c>
      <c r="K7" s="276">
        <f>IFERROR(INDEX('D Fleet'!$C$5:$C$62,MATCH(K$3-$B7,'D Fleet'!$B$5:$B$62,0)),0)*IFERROR(INDEX('D Fleet'!$J$5:$J$36,INT(($B7/K$4))+1)+(($B7/K$4)-INT(($B7/K$4)))*(INDEX('D Fleet'!$J$5:$J$36,INT(($B7/K$4))+2)-INDEX('D Fleet'!$J$5:$J$36,INT(($B7/K$4))+1)),0)</f>
        <v/>
      </c>
      <c r="L7" s="276">
        <f>IFERROR(INDEX('D Fleet'!$C$5:$C$62,MATCH(L$3-$B7,'D Fleet'!$B$5:$B$62,0)),0)*IFERROR(INDEX('D Fleet'!$J$5:$J$36,INT(($B7/L$4))+1)+(($B7/L$4)-INT(($B7/L$4)))*(INDEX('D Fleet'!$J$5:$J$36,INT(($B7/L$4))+2)-INDEX('D Fleet'!$J$5:$J$36,INT(($B7/L$4))+1)),0)</f>
        <v/>
      </c>
      <c r="M7" s="276">
        <f>IFERROR(INDEX('D Fleet'!$C$5:$C$62,MATCH(M$3-$B7,'D Fleet'!$B$5:$B$62,0)),0)*IFERROR(INDEX('D Fleet'!$J$5:$J$36,INT(($B7/M$4))+1)+(($B7/M$4)-INT(($B7/M$4)))*(INDEX('D Fleet'!$J$5:$J$36,INT(($B7/M$4))+2)-INDEX('D Fleet'!$J$5:$J$36,INT(($B7/M$4))+1)),0)</f>
        <v/>
      </c>
      <c r="N7" s="276">
        <f>IFERROR(INDEX('D Fleet'!$C$5:$C$62,MATCH(N$3-$B7,'D Fleet'!$B$5:$B$62,0)),0)*IFERROR(INDEX('D Fleet'!$J$5:$J$36,INT(($B7/N$4))+1)+(($B7/N$4)-INT(($B7/N$4)))*(INDEX('D Fleet'!$J$5:$J$36,INT(($B7/N$4))+2)-INDEX('D Fleet'!$J$5:$J$36,INT(($B7/N$4))+1)),0)</f>
        <v/>
      </c>
      <c r="P7" s="276">
        <f>E7*$D7*'E1 Fleet'!$D$97</f>
        <v/>
      </c>
      <c r="Q7" s="276">
        <f>F7*$D7*'E1 Fleet'!$D$97</f>
        <v/>
      </c>
      <c r="R7" s="276">
        <f>G7*$D7*'E1 Fleet'!$D$97</f>
        <v/>
      </c>
      <c r="S7" s="276">
        <f>H7*$D7*'E1 Fleet'!$D$97</f>
        <v/>
      </c>
      <c r="T7" s="276">
        <f>I7*$D7*'E1 Fleet'!$D$97</f>
        <v/>
      </c>
      <c r="U7" s="276">
        <f>J7*$D7*'E1 Fleet'!$D$97</f>
        <v/>
      </c>
      <c r="V7" s="276">
        <f>K7*$D7*'E1 Fleet'!$D$97</f>
        <v/>
      </c>
      <c r="W7" s="276">
        <f>L7*$D7*'E1 Fleet'!$D$97</f>
        <v/>
      </c>
      <c r="X7" s="276">
        <f>M7*$D7*'E1 Fleet'!$D$97</f>
        <v/>
      </c>
      <c r="Y7" s="276">
        <f>N7*$D7*'E1 Fleet'!$D$97</f>
        <v/>
      </c>
    </row>
    <row r="8">
      <c r="A8" t="inlineStr">
        <is>
          <t>Car</t>
        </is>
      </c>
      <c r="B8" t="n">
        <v>1</v>
      </c>
      <c r="C8" t="n">
        <v>1</v>
      </c>
      <c r="D8" s="275">
        <f>IF($B8=0,'E1 Fleet'!$D$93,1)*EXP(-'E1 Fleet'!$D$94*MAX($B8-6,0))</f>
        <v/>
      </c>
      <c r="E8" s="276">
        <f>IFERROR(INDEX('D Fleet'!$C$5:$C$62,MATCH(E$3-$B8,'D Fleet'!$B$5:$B$62,0)),0)*IFERROR(INDEX('D Fleet'!$J$5:$J$36,INT(($B8/E$4))+1)+(($B8/E$4)-INT(($B8/E$4)))*(INDEX('D Fleet'!$J$5:$J$36,INT(($B8/E$4))+2)-INDEX('D Fleet'!$J$5:$J$36,INT(($B8/E$4))+1)),0)</f>
        <v/>
      </c>
      <c r="F8" s="276">
        <f>IFERROR(INDEX('D Fleet'!$C$5:$C$62,MATCH(F$3-$B8,'D Fleet'!$B$5:$B$62,0)),0)*IFERROR(INDEX('D Fleet'!$J$5:$J$36,INT(($B8/F$4))+1)+(($B8/F$4)-INT(($B8/F$4)))*(INDEX('D Fleet'!$J$5:$J$36,INT(($B8/F$4))+2)-INDEX('D Fleet'!$J$5:$J$36,INT(($B8/F$4))+1)),0)</f>
        <v/>
      </c>
      <c r="G8" s="276">
        <f>IFERROR(INDEX('D Fleet'!$C$5:$C$62,MATCH(G$3-$B8,'D Fleet'!$B$5:$B$62,0)),0)*IFERROR(INDEX('D Fleet'!$J$5:$J$36,INT(($B8/G$4))+1)+(($B8/G$4)-INT(($B8/G$4)))*(INDEX('D Fleet'!$J$5:$J$36,INT(($B8/G$4))+2)-INDEX('D Fleet'!$J$5:$J$36,INT(($B8/G$4))+1)),0)</f>
        <v/>
      </c>
      <c r="H8" s="276">
        <f>IFERROR(INDEX('D Fleet'!$C$5:$C$62,MATCH(H$3-$B8,'D Fleet'!$B$5:$B$62,0)),0)*IFERROR(INDEX('D Fleet'!$J$5:$J$36,INT(($B8/H$4))+1)+(($B8/H$4)-INT(($B8/H$4)))*(INDEX('D Fleet'!$J$5:$J$36,INT(($B8/H$4))+2)-INDEX('D Fleet'!$J$5:$J$36,INT(($B8/H$4))+1)),0)</f>
        <v/>
      </c>
      <c r="I8" s="276">
        <f>IFERROR(INDEX('D Fleet'!$C$5:$C$62,MATCH(I$3-$B8,'D Fleet'!$B$5:$B$62,0)),0)*IFERROR(INDEX('D Fleet'!$J$5:$J$36,INT(($B8/I$4))+1)+(($B8/I$4)-INT(($B8/I$4)))*(INDEX('D Fleet'!$J$5:$J$36,INT(($B8/I$4))+2)-INDEX('D Fleet'!$J$5:$J$36,INT(($B8/I$4))+1)),0)</f>
        <v/>
      </c>
      <c r="J8" s="276">
        <f>IFERROR(INDEX('D Fleet'!$C$5:$C$62,MATCH(J$3-$B8,'D Fleet'!$B$5:$B$62,0)),0)*IFERROR(INDEX('D Fleet'!$J$5:$J$36,INT(($B8/J$4))+1)+(($B8/J$4)-INT(($B8/J$4)))*(INDEX('D Fleet'!$J$5:$J$36,INT(($B8/J$4))+2)-INDEX('D Fleet'!$J$5:$J$36,INT(($B8/J$4))+1)),0)</f>
        <v/>
      </c>
      <c r="K8" s="276">
        <f>IFERROR(INDEX('D Fleet'!$C$5:$C$62,MATCH(K$3-$B8,'D Fleet'!$B$5:$B$62,0)),0)*IFERROR(INDEX('D Fleet'!$J$5:$J$36,INT(($B8/K$4))+1)+(($B8/K$4)-INT(($B8/K$4)))*(INDEX('D Fleet'!$J$5:$J$36,INT(($B8/K$4))+2)-INDEX('D Fleet'!$J$5:$J$36,INT(($B8/K$4))+1)),0)</f>
        <v/>
      </c>
      <c r="L8" s="276">
        <f>IFERROR(INDEX('D Fleet'!$C$5:$C$62,MATCH(L$3-$B8,'D Fleet'!$B$5:$B$62,0)),0)*IFERROR(INDEX('D Fleet'!$J$5:$J$36,INT(($B8/L$4))+1)+(($B8/L$4)-INT(($B8/L$4)))*(INDEX('D Fleet'!$J$5:$J$36,INT(($B8/L$4))+2)-INDEX('D Fleet'!$J$5:$J$36,INT(($B8/L$4))+1)),0)</f>
        <v/>
      </c>
      <c r="M8" s="276">
        <f>IFERROR(INDEX('D Fleet'!$C$5:$C$62,MATCH(M$3-$B8,'D Fleet'!$B$5:$B$62,0)),0)*IFERROR(INDEX('D Fleet'!$J$5:$J$36,INT(($B8/M$4))+1)+(($B8/M$4)-INT(($B8/M$4)))*(INDEX('D Fleet'!$J$5:$J$36,INT(($B8/M$4))+2)-INDEX('D Fleet'!$J$5:$J$36,INT(($B8/M$4))+1)),0)</f>
        <v/>
      </c>
      <c r="N8" s="276">
        <f>IFERROR(INDEX('D Fleet'!$C$5:$C$62,MATCH(N$3-$B8,'D Fleet'!$B$5:$B$62,0)),0)*IFERROR(INDEX('D Fleet'!$J$5:$J$36,INT(($B8/N$4))+1)+(($B8/N$4)-INT(($B8/N$4)))*(INDEX('D Fleet'!$J$5:$J$36,INT(($B8/N$4))+2)-INDEX('D Fleet'!$J$5:$J$36,INT(($B8/N$4))+1)),0)</f>
        <v/>
      </c>
      <c r="P8" s="276">
        <f>E8*$D8*'E1 Fleet'!$D$97</f>
        <v/>
      </c>
      <c r="Q8" s="276">
        <f>F8*$D8*'E1 Fleet'!$D$97</f>
        <v/>
      </c>
      <c r="R8" s="276">
        <f>G8*$D8*'E1 Fleet'!$D$97</f>
        <v/>
      </c>
      <c r="S8" s="276">
        <f>H8*$D8*'E1 Fleet'!$D$97</f>
        <v/>
      </c>
      <c r="T8" s="276">
        <f>I8*$D8*'E1 Fleet'!$D$97</f>
        <v/>
      </c>
      <c r="U8" s="276">
        <f>J8*$D8*'E1 Fleet'!$D$97</f>
        <v/>
      </c>
      <c r="V8" s="276">
        <f>K8*$D8*'E1 Fleet'!$D$97</f>
        <v/>
      </c>
      <c r="W8" s="276">
        <f>L8*$D8*'E1 Fleet'!$D$97</f>
        <v/>
      </c>
      <c r="X8" s="276">
        <f>M8*$D8*'E1 Fleet'!$D$97</f>
        <v/>
      </c>
      <c r="Y8" s="276">
        <f>N8*$D8*'E1 Fleet'!$D$97</f>
        <v/>
      </c>
    </row>
    <row r="9">
      <c r="A9" t="inlineStr">
        <is>
          <t>Car</t>
        </is>
      </c>
      <c r="B9" t="n">
        <v>2</v>
      </c>
      <c r="C9" t="n">
        <v>1</v>
      </c>
      <c r="D9" s="275">
        <f>IF($B9=0,'E1 Fleet'!$D$93,1)*EXP(-'E1 Fleet'!$D$94*MAX($B9-6,0))</f>
        <v/>
      </c>
      <c r="E9" s="276">
        <f>IFERROR(INDEX('D Fleet'!$C$5:$C$62,MATCH(E$3-$B9,'D Fleet'!$B$5:$B$62,0)),0)*IFERROR(INDEX('D Fleet'!$J$5:$J$36,INT(($B9/E$4))+1)+(($B9/E$4)-INT(($B9/E$4)))*(INDEX('D Fleet'!$J$5:$J$36,INT(($B9/E$4))+2)-INDEX('D Fleet'!$J$5:$J$36,INT(($B9/E$4))+1)),0)</f>
        <v/>
      </c>
      <c r="F9" s="276">
        <f>IFERROR(INDEX('D Fleet'!$C$5:$C$62,MATCH(F$3-$B9,'D Fleet'!$B$5:$B$62,0)),0)*IFERROR(INDEX('D Fleet'!$J$5:$J$36,INT(($B9/F$4))+1)+(($B9/F$4)-INT(($B9/F$4)))*(INDEX('D Fleet'!$J$5:$J$36,INT(($B9/F$4))+2)-INDEX('D Fleet'!$J$5:$J$36,INT(($B9/F$4))+1)),0)</f>
        <v/>
      </c>
      <c r="G9" s="276">
        <f>IFERROR(INDEX('D Fleet'!$C$5:$C$62,MATCH(G$3-$B9,'D Fleet'!$B$5:$B$62,0)),0)*IFERROR(INDEX('D Fleet'!$J$5:$J$36,INT(($B9/G$4))+1)+(($B9/G$4)-INT(($B9/G$4)))*(INDEX('D Fleet'!$J$5:$J$36,INT(($B9/G$4))+2)-INDEX('D Fleet'!$J$5:$J$36,INT(($B9/G$4))+1)),0)</f>
        <v/>
      </c>
      <c r="H9" s="276">
        <f>IFERROR(INDEX('D Fleet'!$C$5:$C$62,MATCH(H$3-$B9,'D Fleet'!$B$5:$B$62,0)),0)*IFERROR(INDEX('D Fleet'!$J$5:$J$36,INT(($B9/H$4))+1)+(($B9/H$4)-INT(($B9/H$4)))*(INDEX('D Fleet'!$J$5:$J$36,INT(($B9/H$4))+2)-INDEX('D Fleet'!$J$5:$J$36,INT(($B9/H$4))+1)),0)</f>
        <v/>
      </c>
      <c r="I9" s="276">
        <f>IFERROR(INDEX('D Fleet'!$C$5:$C$62,MATCH(I$3-$B9,'D Fleet'!$B$5:$B$62,0)),0)*IFERROR(INDEX('D Fleet'!$J$5:$J$36,INT(($B9/I$4))+1)+(($B9/I$4)-INT(($B9/I$4)))*(INDEX('D Fleet'!$J$5:$J$36,INT(($B9/I$4))+2)-INDEX('D Fleet'!$J$5:$J$36,INT(($B9/I$4))+1)),0)</f>
        <v/>
      </c>
      <c r="J9" s="276">
        <f>IFERROR(INDEX('D Fleet'!$C$5:$C$62,MATCH(J$3-$B9,'D Fleet'!$B$5:$B$62,0)),0)*IFERROR(INDEX('D Fleet'!$J$5:$J$36,INT(($B9/J$4))+1)+(($B9/J$4)-INT(($B9/J$4)))*(INDEX('D Fleet'!$J$5:$J$36,INT(($B9/J$4))+2)-INDEX('D Fleet'!$J$5:$J$36,INT(($B9/J$4))+1)),0)</f>
        <v/>
      </c>
      <c r="K9" s="276">
        <f>IFERROR(INDEX('D Fleet'!$C$5:$C$62,MATCH(K$3-$B9,'D Fleet'!$B$5:$B$62,0)),0)*IFERROR(INDEX('D Fleet'!$J$5:$J$36,INT(($B9/K$4))+1)+(($B9/K$4)-INT(($B9/K$4)))*(INDEX('D Fleet'!$J$5:$J$36,INT(($B9/K$4))+2)-INDEX('D Fleet'!$J$5:$J$36,INT(($B9/K$4))+1)),0)</f>
        <v/>
      </c>
      <c r="L9" s="276">
        <f>IFERROR(INDEX('D Fleet'!$C$5:$C$62,MATCH(L$3-$B9,'D Fleet'!$B$5:$B$62,0)),0)*IFERROR(INDEX('D Fleet'!$J$5:$J$36,INT(($B9/L$4))+1)+(($B9/L$4)-INT(($B9/L$4)))*(INDEX('D Fleet'!$J$5:$J$36,INT(($B9/L$4))+2)-INDEX('D Fleet'!$J$5:$J$36,INT(($B9/L$4))+1)),0)</f>
        <v/>
      </c>
      <c r="M9" s="276">
        <f>IFERROR(INDEX('D Fleet'!$C$5:$C$62,MATCH(M$3-$B9,'D Fleet'!$B$5:$B$62,0)),0)*IFERROR(INDEX('D Fleet'!$J$5:$J$36,INT(($B9/M$4))+1)+(($B9/M$4)-INT(($B9/M$4)))*(INDEX('D Fleet'!$J$5:$J$36,INT(($B9/M$4))+2)-INDEX('D Fleet'!$J$5:$J$36,INT(($B9/M$4))+1)),0)</f>
        <v/>
      </c>
      <c r="N9" s="276">
        <f>IFERROR(INDEX('D Fleet'!$C$5:$C$62,MATCH(N$3-$B9,'D Fleet'!$B$5:$B$62,0)),0)*IFERROR(INDEX('D Fleet'!$J$5:$J$36,INT(($B9/N$4))+1)+(($B9/N$4)-INT(($B9/N$4)))*(INDEX('D Fleet'!$J$5:$J$36,INT(($B9/N$4))+2)-INDEX('D Fleet'!$J$5:$J$36,INT(($B9/N$4))+1)),0)</f>
        <v/>
      </c>
      <c r="P9" s="276">
        <f>E9*$D9*'E1 Fleet'!$D$97</f>
        <v/>
      </c>
      <c r="Q9" s="276">
        <f>F9*$D9*'E1 Fleet'!$D$97</f>
        <v/>
      </c>
      <c r="R9" s="276">
        <f>G9*$D9*'E1 Fleet'!$D$97</f>
        <v/>
      </c>
      <c r="S9" s="276">
        <f>H9*$D9*'E1 Fleet'!$D$97</f>
        <v/>
      </c>
      <c r="T9" s="276">
        <f>I9*$D9*'E1 Fleet'!$D$97</f>
        <v/>
      </c>
      <c r="U9" s="276">
        <f>J9*$D9*'E1 Fleet'!$D$97</f>
        <v/>
      </c>
      <c r="V9" s="276">
        <f>K9*$D9*'E1 Fleet'!$D$97</f>
        <v/>
      </c>
      <c r="W9" s="276">
        <f>L9*$D9*'E1 Fleet'!$D$97</f>
        <v/>
      </c>
      <c r="X9" s="276">
        <f>M9*$D9*'E1 Fleet'!$D$97</f>
        <v/>
      </c>
      <c r="Y9" s="276">
        <f>N9*$D9*'E1 Fleet'!$D$97</f>
        <v/>
      </c>
    </row>
    <row r="10">
      <c r="A10" t="inlineStr">
        <is>
          <t>Car</t>
        </is>
      </c>
      <c r="B10" t="n">
        <v>3</v>
      </c>
      <c r="C10" t="n">
        <v>1</v>
      </c>
      <c r="D10" s="275">
        <f>IF($B10=0,'E1 Fleet'!$D$93,1)*EXP(-'E1 Fleet'!$D$94*MAX($B10-6,0))</f>
        <v/>
      </c>
      <c r="E10" s="276">
        <f>IFERROR(INDEX('D Fleet'!$C$5:$C$62,MATCH(E$3-$B10,'D Fleet'!$B$5:$B$62,0)),0)*IFERROR(INDEX('D Fleet'!$J$5:$J$36,INT(($B10/E$4))+1)+(($B10/E$4)-INT(($B10/E$4)))*(INDEX('D Fleet'!$J$5:$J$36,INT(($B10/E$4))+2)-INDEX('D Fleet'!$J$5:$J$36,INT(($B10/E$4))+1)),0)</f>
        <v/>
      </c>
      <c r="F10" s="276">
        <f>IFERROR(INDEX('D Fleet'!$C$5:$C$62,MATCH(F$3-$B10,'D Fleet'!$B$5:$B$62,0)),0)*IFERROR(INDEX('D Fleet'!$J$5:$J$36,INT(($B10/F$4))+1)+(($B10/F$4)-INT(($B10/F$4)))*(INDEX('D Fleet'!$J$5:$J$36,INT(($B10/F$4))+2)-INDEX('D Fleet'!$J$5:$J$36,INT(($B10/F$4))+1)),0)</f>
        <v/>
      </c>
      <c r="G10" s="276">
        <f>IFERROR(INDEX('D Fleet'!$C$5:$C$62,MATCH(G$3-$B10,'D Fleet'!$B$5:$B$62,0)),0)*IFERROR(INDEX('D Fleet'!$J$5:$J$36,INT(($B10/G$4))+1)+(($B10/G$4)-INT(($B10/G$4)))*(INDEX('D Fleet'!$J$5:$J$36,INT(($B10/G$4))+2)-INDEX('D Fleet'!$J$5:$J$36,INT(($B10/G$4))+1)),0)</f>
        <v/>
      </c>
      <c r="H10" s="276">
        <f>IFERROR(INDEX('D Fleet'!$C$5:$C$62,MATCH(H$3-$B10,'D Fleet'!$B$5:$B$62,0)),0)*IFERROR(INDEX('D Fleet'!$J$5:$J$36,INT(($B10/H$4))+1)+(($B10/H$4)-INT(($B10/H$4)))*(INDEX('D Fleet'!$J$5:$J$36,INT(($B10/H$4))+2)-INDEX('D Fleet'!$J$5:$J$36,INT(($B10/H$4))+1)),0)</f>
        <v/>
      </c>
      <c r="I10" s="276">
        <f>IFERROR(INDEX('D Fleet'!$C$5:$C$62,MATCH(I$3-$B10,'D Fleet'!$B$5:$B$62,0)),0)*IFERROR(INDEX('D Fleet'!$J$5:$J$36,INT(($B10/I$4))+1)+(($B10/I$4)-INT(($B10/I$4)))*(INDEX('D Fleet'!$J$5:$J$36,INT(($B10/I$4))+2)-INDEX('D Fleet'!$J$5:$J$36,INT(($B10/I$4))+1)),0)</f>
        <v/>
      </c>
      <c r="J10" s="276">
        <f>IFERROR(INDEX('D Fleet'!$C$5:$C$62,MATCH(J$3-$B10,'D Fleet'!$B$5:$B$62,0)),0)*IFERROR(INDEX('D Fleet'!$J$5:$J$36,INT(($B10/J$4))+1)+(($B10/J$4)-INT(($B10/J$4)))*(INDEX('D Fleet'!$J$5:$J$36,INT(($B10/J$4))+2)-INDEX('D Fleet'!$J$5:$J$36,INT(($B10/J$4))+1)),0)</f>
        <v/>
      </c>
      <c r="K10" s="276">
        <f>IFERROR(INDEX('D Fleet'!$C$5:$C$62,MATCH(K$3-$B10,'D Fleet'!$B$5:$B$62,0)),0)*IFERROR(INDEX('D Fleet'!$J$5:$J$36,INT(($B10/K$4))+1)+(($B10/K$4)-INT(($B10/K$4)))*(INDEX('D Fleet'!$J$5:$J$36,INT(($B10/K$4))+2)-INDEX('D Fleet'!$J$5:$J$36,INT(($B10/K$4))+1)),0)</f>
        <v/>
      </c>
      <c r="L10" s="276">
        <f>IFERROR(INDEX('D Fleet'!$C$5:$C$62,MATCH(L$3-$B10,'D Fleet'!$B$5:$B$62,0)),0)*IFERROR(INDEX('D Fleet'!$J$5:$J$36,INT(($B10/L$4))+1)+(($B10/L$4)-INT(($B10/L$4)))*(INDEX('D Fleet'!$J$5:$J$36,INT(($B10/L$4))+2)-INDEX('D Fleet'!$J$5:$J$36,INT(($B10/L$4))+1)),0)</f>
        <v/>
      </c>
      <c r="M10" s="276">
        <f>IFERROR(INDEX('D Fleet'!$C$5:$C$62,MATCH(M$3-$B10,'D Fleet'!$B$5:$B$62,0)),0)*IFERROR(INDEX('D Fleet'!$J$5:$J$36,INT(($B10/M$4))+1)+(($B10/M$4)-INT(($B10/M$4)))*(INDEX('D Fleet'!$J$5:$J$36,INT(($B10/M$4))+2)-INDEX('D Fleet'!$J$5:$J$36,INT(($B10/M$4))+1)),0)</f>
        <v/>
      </c>
      <c r="N10" s="276">
        <f>IFERROR(INDEX('D Fleet'!$C$5:$C$62,MATCH(N$3-$B10,'D Fleet'!$B$5:$B$62,0)),0)*IFERROR(INDEX('D Fleet'!$J$5:$J$36,INT(($B10/N$4))+1)+(($B10/N$4)-INT(($B10/N$4)))*(INDEX('D Fleet'!$J$5:$J$36,INT(($B10/N$4))+2)-INDEX('D Fleet'!$J$5:$J$36,INT(($B10/N$4))+1)),0)</f>
        <v/>
      </c>
      <c r="P10" s="276">
        <f>E10*$D10*'E1 Fleet'!$D$97</f>
        <v/>
      </c>
      <c r="Q10" s="276">
        <f>F10*$D10*'E1 Fleet'!$D$97</f>
        <v/>
      </c>
      <c r="R10" s="276">
        <f>G10*$D10*'E1 Fleet'!$D$97</f>
        <v/>
      </c>
      <c r="S10" s="276">
        <f>H10*$D10*'E1 Fleet'!$D$97</f>
        <v/>
      </c>
      <c r="T10" s="276">
        <f>I10*$D10*'E1 Fleet'!$D$97</f>
        <v/>
      </c>
      <c r="U10" s="276">
        <f>J10*$D10*'E1 Fleet'!$D$97</f>
        <v/>
      </c>
      <c r="V10" s="276">
        <f>K10*$D10*'E1 Fleet'!$D$97</f>
        <v/>
      </c>
      <c r="W10" s="276">
        <f>L10*$D10*'E1 Fleet'!$D$97</f>
        <v/>
      </c>
      <c r="X10" s="276">
        <f>M10*$D10*'E1 Fleet'!$D$97</f>
        <v/>
      </c>
      <c r="Y10" s="276">
        <f>N10*$D10*'E1 Fleet'!$D$97</f>
        <v/>
      </c>
    </row>
    <row r="11">
      <c r="A11" t="inlineStr">
        <is>
          <t>Car</t>
        </is>
      </c>
      <c r="B11" t="n">
        <v>4</v>
      </c>
      <c r="C11" t="n">
        <v>2</v>
      </c>
      <c r="D11" s="275">
        <f>IF($B11=0,'E1 Fleet'!$D$93,1)*EXP(-'E1 Fleet'!$D$94*MAX($B11-6,0))</f>
        <v/>
      </c>
      <c r="E11" s="276">
        <f>IFERROR(INDEX('D Fleet'!$C$5:$C$62,MATCH(E$3-$B11,'D Fleet'!$B$5:$B$62,0)),0)*IFERROR(INDEX('D Fleet'!$J$5:$J$36,INT(($B11/E$4))+1)+(($B11/E$4)-INT(($B11/E$4)))*(INDEX('D Fleet'!$J$5:$J$36,INT(($B11/E$4))+2)-INDEX('D Fleet'!$J$5:$J$36,INT(($B11/E$4))+1)),0)</f>
        <v/>
      </c>
      <c r="F11" s="276">
        <f>IFERROR(INDEX('D Fleet'!$C$5:$C$62,MATCH(F$3-$B11,'D Fleet'!$B$5:$B$62,0)),0)*IFERROR(INDEX('D Fleet'!$J$5:$J$36,INT(($B11/F$4))+1)+(($B11/F$4)-INT(($B11/F$4)))*(INDEX('D Fleet'!$J$5:$J$36,INT(($B11/F$4))+2)-INDEX('D Fleet'!$J$5:$J$36,INT(($B11/F$4))+1)),0)</f>
        <v/>
      </c>
      <c r="G11" s="276">
        <f>IFERROR(INDEX('D Fleet'!$C$5:$C$62,MATCH(G$3-$B11,'D Fleet'!$B$5:$B$62,0)),0)*IFERROR(INDEX('D Fleet'!$J$5:$J$36,INT(($B11/G$4))+1)+(($B11/G$4)-INT(($B11/G$4)))*(INDEX('D Fleet'!$J$5:$J$36,INT(($B11/G$4))+2)-INDEX('D Fleet'!$J$5:$J$36,INT(($B11/G$4))+1)),0)</f>
        <v/>
      </c>
      <c r="H11" s="276">
        <f>IFERROR(INDEX('D Fleet'!$C$5:$C$62,MATCH(H$3-$B11,'D Fleet'!$B$5:$B$62,0)),0)*IFERROR(INDEX('D Fleet'!$J$5:$J$36,INT(($B11/H$4))+1)+(($B11/H$4)-INT(($B11/H$4)))*(INDEX('D Fleet'!$J$5:$J$36,INT(($B11/H$4))+2)-INDEX('D Fleet'!$J$5:$J$36,INT(($B11/H$4))+1)),0)</f>
        <v/>
      </c>
      <c r="I11" s="276">
        <f>IFERROR(INDEX('D Fleet'!$C$5:$C$62,MATCH(I$3-$B11,'D Fleet'!$B$5:$B$62,0)),0)*IFERROR(INDEX('D Fleet'!$J$5:$J$36,INT(($B11/I$4))+1)+(($B11/I$4)-INT(($B11/I$4)))*(INDEX('D Fleet'!$J$5:$J$36,INT(($B11/I$4))+2)-INDEX('D Fleet'!$J$5:$J$36,INT(($B11/I$4))+1)),0)</f>
        <v/>
      </c>
      <c r="J11" s="276">
        <f>IFERROR(INDEX('D Fleet'!$C$5:$C$62,MATCH(J$3-$B11,'D Fleet'!$B$5:$B$62,0)),0)*IFERROR(INDEX('D Fleet'!$J$5:$J$36,INT(($B11/J$4))+1)+(($B11/J$4)-INT(($B11/J$4)))*(INDEX('D Fleet'!$J$5:$J$36,INT(($B11/J$4))+2)-INDEX('D Fleet'!$J$5:$J$36,INT(($B11/J$4))+1)),0)</f>
        <v/>
      </c>
      <c r="K11" s="276">
        <f>IFERROR(INDEX('D Fleet'!$C$5:$C$62,MATCH(K$3-$B11,'D Fleet'!$B$5:$B$62,0)),0)*IFERROR(INDEX('D Fleet'!$J$5:$J$36,INT(($B11/K$4))+1)+(($B11/K$4)-INT(($B11/K$4)))*(INDEX('D Fleet'!$J$5:$J$36,INT(($B11/K$4))+2)-INDEX('D Fleet'!$J$5:$J$36,INT(($B11/K$4))+1)),0)</f>
        <v/>
      </c>
      <c r="L11" s="276">
        <f>IFERROR(INDEX('D Fleet'!$C$5:$C$62,MATCH(L$3-$B11,'D Fleet'!$B$5:$B$62,0)),0)*IFERROR(INDEX('D Fleet'!$J$5:$J$36,INT(($B11/L$4))+1)+(($B11/L$4)-INT(($B11/L$4)))*(INDEX('D Fleet'!$J$5:$J$36,INT(($B11/L$4))+2)-INDEX('D Fleet'!$J$5:$J$36,INT(($B11/L$4))+1)),0)</f>
        <v/>
      </c>
      <c r="M11" s="276">
        <f>IFERROR(INDEX('D Fleet'!$C$5:$C$62,MATCH(M$3-$B11,'D Fleet'!$B$5:$B$62,0)),0)*IFERROR(INDEX('D Fleet'!$J$5:$J$36,INT(($B11/M$4))+1)+(($B11/M$4)-INT(($B11/M$4)))*(INDEX('D Fleet'!$J$5:$J$36,INT(($B11/M$4))+2)-INDEX('D Fleet'!$J$5:$J$36,INT(($B11/M$4))+1)),0)</f>
        <v/>
      </c>
      <c r="N11" s="276">
        <f>IFERROR(INDEX('D Fleet'!$C$5:$C$62,MATCH(N$3-$B11,'D Fleet'!$B$5:$B$62,0)),0)*IFERROR(INDEX('D Fleet'!$J$5:$J$36,INT(($B11/N$4))+1)+(($B11/N$4)-INT(($B11/N$4)))*(INDEX('D Fleet'!$J$5:$J$36,INT(($B11/N$4))+2)-INDEX('D Fleet'!$J$5:$J$36,INT(($B11/N$4))+1)),0)</f>
        <v/>
      </c>
      <c r="P11" s="276">
        <f>E11*$D11*'E1 Fleet'!$D$97</f>
        <v/>
      </c>
      <c r="Q11" s="276">
        <f>F11*$D11*'E1 Fleet'!$D$97</f>
        <v/>
      </c>
      <c r="R11" s="276">
        <f>G11*$D11*'E1 Fleet'!$D$97</f>
        <v/>
      </c>
      <c r="S11" s="276">
        <f>H11*$D11*'E1 Fleet'!$D$97</f>
        <v/>
      </c>
      <c r="T11" s="276">
        <f>I11*$D11*'E1 Fleet'!$D$97</f>
        <v/>
      </c>
      <c r="U11" s="276">
        <f>J11*$D11*'E1 Fleet'!$D$97</f>
        <v/>
      </c>
      <c r="V11" s="276">
        <f>K11*$D11*'E1 Fleet'!$D$97</f>
        <v/>
      </c>
      <c r="W11" s="276">
        <f>L11*$D11*'E1 Fleet'!$D$97</f>
        <v/>
      </c>
      <c r="X11" s="276">
        <f>M11*$D11*'E1 Fleet'!$D$97</f>
        <v/>
      </c>
      <c r="Y11" s="276">
        <f>N11*$D11*'E1 Fleet'!$D$97</f>
        <v/>
      </c>
    </row>
    <row r="12">
      <c r="A12" t="inlineStr">
        <is>
          <t>Car</t>
        </is>
      </c>
      <c r="B12" t="n">
        <v>5</v>
      </c>
      <c r="C12" t="n">
        <v>2</v>
      </c>
      <c r="D12" s="275">
        <f>IF($B12=0,'E1 Fleet'!$D$93,1)*EXP(-'E1 Fleet'!$D$94*MAX($B12-6,0))</f>
        <v/>
      </c>
      <c r="E12" s="276">
        <f>IFERROR(INDEX('D Fleet'!$C$5:$C$62,MATCH(E$3-$B12,'D Fleet'!$B$5:$B$62,0)),0)*IFERROR(INDEX('D Fleet'!$J$5:$J$36,INT(($B12/E$4))+1)+(($B12/E$4)-INT(($B12/E$4)))*(INDEX('D Fleet'!$J$5:$J$36,INT(($B12/E$4))+2)-INDEX('D Fleet'!$J$5:$J$36,INT(($B12/E$4))+1)),0)</f>
        <v/>
      </c>
      <c r="F12" s="276">
        <f>IFERROR(INDEX('D Fleet'!$C$5:$C$62,MATCH(F$3-$B12,'D Fleet'!$B$5:$B$62,0)),0)*IFERROR(INDEX('D Fleet'!$J$5:$J$36,INT(($B12/F$4))+1)+(($B12/F$4)-INT(($B12/F$4)))*(INDEX('D Fleet'!$J$5:$J$36,INT(($B12/F$4))+2)-INDEX('D Fleet'!$J$5:$J$36,INT(($B12/F$4))+1)),0)</f>
        <v/>
      </c>
      <c r="G12" s="276">
        <f>IFERROR(INDEX('D Fleet'!$C$5:$C$62,MATCH(G$3-$B12,'D Fleet'!$B$5:$B$62,0)),0)*IFERROR(INDEX('D Fleet'!$J$5:$J$36,INT(($B12/G$4))+1)+(($B12/G$4)-INT(($B12/G$4)))*(INDEX('D Fleet'!$J$5:$J$36,INT(($B12/G$4))+2)-INDEX('D Fleet'!$J$5:$J$36,INT(($B12/G$4))+1)),0)</f>
        <v/>
      </c>
      <c r="H12" s="276">
        <f>IFERROR(INDEX('D Fleet'!$C$5:$C$62,MATCH(H$3-$B12,'D Fleet'!$B$5:$B$62,0)),0)*IFERROR(INDEX('D Fleet'!$J$5:$J$36,INT(($B12/H$4))+1)+(($B12/H$4)-INT(($B12/H$4)))*(INDEX('D Fleet'!$J$5:$J$36,INT(($B12/H$4))+2)-INDEX('D Fleet'!$J$5:$J$36,INT(($B12/H$4))+1)),0)</f>
        <v/>
      </c>
      <c r="I12" s="276">
        <f>IFERROR(INDEX('D Fleet'!$C$5:$C$62,MATCH(I$3-$B12,'D Fleet'!$B$5:$B$62,0)),0)*IFERROR(INDEX('D Fleet'!$J$5:$J$36,INT(($B12/I$4))+1)+(($B12/I$4)-INT(($B12/I$4)))*(INDEX('D Fleet'!$J$5:$J$36,INT(($B12/I$4))+2)-INDEX('D Fleet'!$J$5:$J$36,INT(($B12/I$4))+1)),0)</f>
        <v/>
      </c>
      <c r="J12" s="276">
        <f>IFERROR(INDEX('D Fleet'!$C$5:$C$62,MATCH(J$3-$B12,'D Fleet'!$B$5:$B$62,0)),0)*IFERROR(INDEX('D Fleet'!$J$5:$J$36,INT(($B12/J$4))+1)+(($B12/J$4)-INT(($B12/J$4)))*(INDEX('D Fleet'!$J$5:$J$36,INT(($B12/J$4))+2)-INDEX('D Fleet'!$J$5:$J$36,INT(($B12/J$4))+1)),0)</f>
        <v/>
      </c>
      <c r="K12" s="276">
        <f>IFERROR(INDEX('D Fleet'!$C$5:$C$62,MATCH(K$3-$B12,'D Fleet'!$B$5:$B$62,0)),0)*IFERROR(INDEX('D Fleet'!$J$5:$J$36,INT(($B12/K$4))+1)+(($B12/K$4)-INT(($B12/K$4)))*(INDEX('D Fleet'!$J$5:$J$36,INT(($B12/K$4))+2)-INDEX('D Fleet'!$J$5:$J$36,INT(($B12/K$4))+1)),0)</f>
        <v/>
      </c>
      <c r="L12" s="276">
        <f>IFERROR(INDEX('D Fleet'!$C$5:$C$62,MATCH(L$3-$B12,'D Fleet'!$B$5:$B$62,0)),0)*IFERROR(INDEX('D Fleet'!$J$5:$J$36,INT(($B12/L$4))+1)+(($B12/L$4)-INT(($B12/L$4)))*(INDEX('D Fleet'!$J$5:$J$36,INT(($B12/L$4))+2)-INDEX('D Fleet'!$J$5:$J$36,INT(($B12/L$4))+1)),0)</f>
        <v/>
      </c>
      <c r="M12" s="276">
        <f>IFERROR(INDEX('D Fleet'!$C$5:$C$62,MATCH(M$3-$B12,'D Fleet'!$B$5:$B$62,0)),0)*IFERROR(INDEX('D Fleet'!$J$5:$J$36,INT(($B12/M$4))+1)+(($B12/M$4)-INT(($B12/M$4)))*(INDEX('D Fleet'!$J$5:$J$36,INT(($B12/M$4))+2)-INDEX('D Fleet'!$J$5:$J$36,INT(($B12/M$4))+1)),0)</f>
        <v/>
      </c>
      <c r="N12" s="276">
        <f>IFERROR(INDEX('D Fleet'!$C$5:$C$62,MATCH(N$3-$B12,'D Fleet'!$B$5:$B$62,0)),0)*IFERROR(INDEX('D Fleet'!$J$5:$J$36,INT(($B12/N$4))+1)+(($B12/N$4)-INT(($B12/N$4)))*(INDEX('D Fleet'!$J$5:$J$36,INT(($B12/N$4))+2)-INDEX('D Fleet'!$J$5:$J$36,INT(($B12/N$4))+1)),0)</f>
        <v/>
      </c>
      <c r="P12" s="276">
        <f>E12*$D12*'E1 Fleet'!$D$97</f>
        <v/>
      </c>
      <c r="Q12" s="276">
        <f>F12*$D12*'E1 Fleet'!$D$97</f>
        <v/>
      </c>
      <c r="R12" s="276">
        <f>G12*$D12*'E1 Fleet'!$D$97</f>
        <v/>
      </c>
      <c r="S12" s="276">
        <f>H12*$D12*'E1 Fleet'!$D$97</f>
        <v/>
      </c>
      <c r="T12" s="276">
        <f>I12*$D12*'E1 Fleet'!$D$97</f>
        <v/>
      </c>
      <c r="U12" s="276">
        <f>J12*$D12*'E1 Fleet'!$D$97</f>
        <v/>
      </c>
      <c r="V12" s="276">
        <f>K12*$D12*'E1 Fleet'!$D$97</f>
        <v/>
      </c>
      <c r="W12" s="276">
        <f>L12*$D12*'E1 Fleet'!$D$97</f>
        <v/>
      </c>
      <c r="X12" s="276">
        <f>M12*$D12*'E1 Fleet'!$D$97</f>
        <v/>
      </c>
      <c r="Y12" s="276">
        <f>N12*$D12*'E1 Fleet'!$D$97</f>
        <v/>
      </c>
    </row>
    <row r="13">
      <c r="A13" t="inlineStr">
        <is>
          <t>Car</t>
        </is>
      </c>
      <c r="B13" t="n">
        <v>6</v>
      </c>
      <c r="C13" t="n">
        <v>2</v>
      </c>
      <c r="D13" s="275">
        <f>IF($B13=0,'E1 Fleet'!$D$93,1)*EXP(-'E1 Fleet'!$D$94*MAX($B13-6,0))</f>
        <v/>
      </c>
      <c r="E13" s="276">
        <f>IFERROR(INDEX('D Fleet'!$C$5:$C$62,MATCH(E$3-$B13,'D Fleet'!$B$5:$B$62,0)),0)*IFERROR(INDEX('D Fleet'!$J$5:$J$36,INT(($B13/E$4))+1)+(($B13/E$4)-INT(($B13/E$4)))*(INDEX('D Fleet'!$J$5:$J$36,INT(($B13/E$4))+2)-INDEX('D Fleet'!$J$5:$J$36,INT(($B13/E$4))+1)),0)</f>
        <v/>
      </c>
      <c r="F13" s="276">
        <f>IFERROR(INDEX('D Fleet'!$C$5:$C$62,MATCH(F$3-$B13,'D Fleet'!$B$5:$B$62,0)),0)*IFERROR(INDEX('D Fleet'!$J$5:$J$36,INT(($B13/F$4))+1)+(($B13/F$4)-INT(($B13/F$4)))*(INDEX('D Fleet'!$J$5:$J$36,INT(($B13/F$4))+2)-INDEX('D Fleet'!$J$5:$J$36,INT(($B13/F$4))+1)),0)</f>
        <v/>
      </c>
      <c r="G13" s="276">
        <f>IFERROR(INDEX('D Fleet'!$C$5:$C$62,MATCH(G$3-$B13,'D Fleet'!$B$5:$B$62,0)),0)*IFERROR(INDEX('D Fleet'!$J$5:$J$36,INT(($B13/G$4))+1)+(($B13/G$4)-INT(($B13/G$4)))*(INDEX('D Fleet'!$J$5:$J$36,INT(($B13/G$4))+2)-INDEX('D Fleet'!$J$5:$J$36,INT(($B13/G$4))+1)),0)</f>
        <v/>
      </c>
      <c r="H13" s="276">
        <f>IFERROR(INDEX('D Fleet'!$C$5:$C$62,MATCH(H$3-$B13,'D Fleet'!$B$5:$B$62,0)),0)*IFERROR(INDEX('D Fleet'!$J$5:$J$36,INT(($B13/H$4))+1)+(($B13/H$4)-INT(($B13/H$4)))*(INDEX('D Fleet'!$J$5:$J$36,INT(($B13/H$4))+2)-INDEX('D Fleet'!$J$5:$J$36,INT(($B13/H$4))+1)),0)</f>
        <v/>
      </c>
      <c r="I13" s="276">
        <f>IFERROR(INDEX('D Fleet'!$C$5:$C$62,MATCH(I$3-$B13,'D Fleet'!$B$5:$B$62,0)),0)*IFERROR(INDEX('D Fleet'!$J$5:$J$36,INT(($B13/I$4))+1)+(($B13/I$4)-INT(($B13/I$4)))*(INDEX('D Fleet'!$J$5:$J$36,INT(($B13/I$4))+2)-INDEX('D Fleet'!$J$5:$J$36,INT(($B13/I$4))+1)),0)</f>
        <v/>
      </c>
      <c r="J13" s="276">
        <f>IFERROR(INDEX('D Fleet'!$C$5:$C$62,MATCH(J$3-$B13,'D Fleet'!$B$5:$B$62,0)),0)*IFERROR(INDEX('D Fleet'!$J$5:$J$36,INT(($B13/J$4))+1)+(($B13/J$4)-INT(($B13/J$4)))*(INDEX('D Fleet'!$J$5:$J$36,INT(($B13/J$4))+2)-INDEX('D Fleet'!$J$5:$J$36,INT(($B13/J$4))+1)),0)</f>
        <v/>
      </c>
      <c r="K13" s="276">
        <f>IFERROR(INDEX('D Fleet'!$C$5:$C$62,MATCH(K$3-$B13,'D Fleet'!$B$5:$B$62,0)),0)*IFERROR(INDEX('D Fleet'!$J$5:$J$36,INT(($B13/K$4))+1)+(($B13/K$4)-INT(($B13/K$4)))*(INDEX('D Fleet'!$J$5:$J$36,INT(($B13/K$4))+2)-INDEX('D Fleet'!$J$5:$J$36,INT(($B13/K$4))+1)),0)</f>
        <v/>
      </c>
      <c r="L13" s="276">
        <f>IFERROR(INDEX('D Fleet'!$C$5:$C$62,MATCH(L$3-$B13,'D Fleet'!$B$5:$B$62,0)),0)*IFERROR(INDEX('D Fleet'!$J$5:$J$36,INT(($B13/L$4))+1)+(($B13/L$4)-INT(($B13/L$4)))*(INDEX('D Fleet'!$J$5:$J$36,INT(($B13/L$4))+2)-INDEX('D Fleet'!$J$5:$J$36,INT(($B13/L$4))+1)),0)</f>
        <v/>
      </c>
      <c r="M13" s="276">
        <f>IFERROR(INDEX('D Fleet'!$C$5:$C$62,MATCH(M$3-$B13,'D Fleet'!$B$5:$B$62,0)),0)*IFERROR(INDEX('D Fleet'!$J$5:$J$36,INT(($B13/M$4))+1)+(($B13/M$4)-INT(($B13/M$4)))*(INDEX('D Fleet'!$J$5:$J$36,INT(($B13/M$4))+2)-INDEX('D Fleet'!$J$5:$J$36,INT(($B13/M$4))+1)),0)</f>
        <v/>
      </c>
      <c r="N13" s="276">
        <f>IFERROR(INDEX('D Fleet'!$C$5:$C$62,MATCH(N$3-$B13,'D Fleet'!$B$5:$B$62,0)),0)*IFERROR(INDEX('D Fleet'!$J$5:$J$36,INT(($B13/N$4))+1)+(($B13/N$4)-INT(($B13/N$4)))*(INDEX('D Fleet'!$J$5:$J$36,INT(($B13/N$4))+2)-INDEX('D Fleet'!$J$5:$J$36,INT(($B13/N$4))+1)),0)</f>
        <v/>
      </c>
      <c r="P13" s="276">
        <f>E13*$D13*'E1 Fleet'!$D$97</f>
        <v/>
      </c>
      <c r="Q13" s="276">
        <f>F13*$D13*'E1 Fleet'!$D$97</f>
        <v/>
      </c>
      <c r="R13" s="276">
        <f>G13*$D13*'E1 Fleet'!$D$97</f>
        <v/>
      </c>
      <c r="S13" s="276">
        <f>H13*$D13*'E1 Fleet'!$D$97</f>
        <v/>
      </c>
      <c r="T13" s="276">
        <f>I13*$D13*'E1 Fleet'!$D$97</f>
        <v/>
      </c>
      <c r="U13" s="276">
        <f>J13*$D13*'E1 Fleet'!$D$97</f>
        <v/>
      </c>
      <c r="V13" s="276">
        <f>K13*$D13*'E1 Fleet'!$D$97</f>
        <v/>
      </c>
      <c r="W13" s="276">
        <f>L13*$D13*'E1 Fleet'!$D$97</f>
        <v/>
      </c>
      <c r="X13" s="276">
        <f>M13*$D13*'E1 Fleet'!$D$97</f>
        <v/>
      </c>
      <c r="Y13" s="276">
        <f>N13*$D13*'E1 Fleet'!$D$97</f>
        <v/>
      </c>
    </row>
    <row r="14">
      <c r="A14" t="inlineStr">
        <is>
          <t>Car</t>
        </is>
      </c>
      <c r="B14" t="n">
        <v>7</v>
      </c>
      <c r="C14" t="n">
        <v>3</v>
      </c>
      <c r="D14" s="275">
        <f>IF($B14=0,'E1 Fleet'!$D$93,1)*EXP(-'E1 Fleet'!$D$94*MAX($B14-6,0))</f>
        <v/>
      </c>
      <c r="E14" s="276">
        <f>IFERROR(INDEX('D Fleet'!$C$5:$C$62,MATCH(E$3-$B14,'D Fleet'!$B$5:$B$62,0)),0)*IFERROR(INDEX('D Fleet'!$J$5:$J$36,INT(($B14/E$4))+1)+(($B14/E$4)-INT(($B14/E$4)))*(INDEX('D Fleet'!$J$5:$J$36,INT(($B14/E$4))+2)-INDEX('D Fleet'!$J$5:$J$36,INT(($B14/E$4))+1)),0)</f>
        <v/>
      </c>
      <c r="F14" s="276">
        <f>IFERROR(INDEX('D Fleet'!$C$5:$C$62,MATCH(F$3-$B14,'D Fleet'!$B$5:$B$62,0)),0)*IFERROR(INDEX('D Fleet'!$J$5:$J$36,INT(($B14/F$4))+1)+(($B14/F$4)-INT(($B14/F$4)))*(INDEX('D Fleet'!$J$5:$J$36,INT(($B14/F$4))+2)-INDEX('D Fleet'!$J$5:$J$36,INT(($B14/F$4))+1)),0)</f>
        <v/>
      </c>
      <c r="G14" s="276">
        <f>IFERROR(INDEX('D Fleet'!$C$5:$C$62,MATCH(G$3-$B14,'D Fleet'!$B$5:$B$62,0)),0)*IFERROR(INDEX('D Fleet'!$J$5:$J$36,INT(($B14/G$4))+1)+(($B14/G$4)-INT(($B14/G$4)))*(INDEX('D Fleet'!$J$5:$J$36,INT(($B14/G$4))+2)-INDEX('D Fleet'!$J$5:$J$36,INT(($B14/G$4))+1)),0)</f>
        <v/>
      </c>
      <c r="H14" s="276">
        <f>IFERROR(INDEX('D Fleet'!$C$5:$C$62,MATCH(H$3-$B14,'D Fleet'!$B$5:$B$62,0)),0)*IFERROR(INDEX('D Fleet'!$J$5:$J$36,INT(($B14/H$4))+1)+(($B14/H$4)-INT(($B14/H$4)))*(INDEX('D Fleet'!$J$5:$J$36,INT(($B14/H$4))+2)-INDEX('D Fleet'!$J$5:$J$36,INT(($B14/H$4))+1)),0)</f>
        <v/>
      </c>
      <c r="I14" s="276">
        <f>IFERROR(INDEX('D Fleet'!$C$5:$C$62,MATCH(I$3-$B14,'D Fleet'!$B$5:$B$62,0)),0)*IFERROR(INDEX('D Fleet'!$J$5:$J$36,INT(($B14/I$4))+1)+(($B14/I$4)-INT(($B14/I$4)))*(INDEX('D Fleet'!$J$5:$J$36,INT(($B14/I$4))+2)-INDEX('D Fleet'!$J$5:$J$36,INT(($B14/I$4))+1)),0)</f>
        <v/>
      </c>
      <c r="J14" s="276">
        <f>IFERROR(INDEX('D Fleet'!$C$5:$C$62,MATCH(J$3-$B14,'D Fleet'!$B$5:$B$62,0)),0)*IFERROR(INDEX('D Fleet'!$J$5:$J$36,INT(($B14/J$4))+1)+(($B14/J$4)-INT(($B14/J$4)))*(INDEX('D Fleet'!$J$5:$J$36,INT(($B14/J$4))+2)-INDEX('D Fleet'!$J$5:$J$36,INT(($B14/J$4))+1)),0)</f>
        <v/>
      </c>
      <c r="K14" s="276">
        <f>IFERROR(INDEX('D Fleet'!$C$5:$C$62,MATCH(K$3-$B14,'D Fleet'!$B$5:$B$62,0)),0)*IFERROR(INDEX('D Fleet'!$J$5:$J$36,INT(($B14/K$4))+1)+(($B14/K$4)-INT(($B14/K$4)))*(INDEX('D Fleet'!$J$5:$J$36,INT(($B14/K$4))+2)-INDEX('D Fleet'!$J$5:$J$36,INT(($B14/K$4))+1)),0)</f>
        <v/>
      </c>
      <c r="L14" s="276">
        <f>IFERROR(INDEX('D Fleet'!$C$5:$C$62,MATCH(L$3-$B14,'D Fleet'!$B$5:$B$62,0)),0)*IFERROR(INDEX('D Fleet'!$J$5:$J$36,INT(($B14/L$4))+1)+(($B14/L$4)-INT(($B14/L$4)))*(INDEX('D Fleet'!$J$5:$J$36,INT(($B14/L$4))+2)-INDEX('D Fleet'!$J$5:$J$36,INT(($B14/L$4))+1)),0)</f>
        <v/>
      </c>
      <c r="M14" s="276">
        <f>IFERROR(INDEX('D Fleet'!$C$5:$C$62,MATCH(M$3-$B14,'D Fleet'!$B$5:$B$62,0)),0)*IFERROR(INDEX('D Fleet'!$J$5:$J$36,INT(($B14/M$4))+1)+(($B14/M$4)-INT(($B14/M$4)))*(INDEX('D Fleet'!$J$5:$J$36,INT(($B14/M$4))+2)-INDEX('D Fleet'!$J$5:$J$36,INT(($B14/M$4))+1)),0)</f>
        <v/>
      </c>
      <c r="N14" s="276">
        <f>IFERROR(INDEX('D Fleet'!$C$5:$C$62,MATCH(N$3-$B14,'D Fleet'!$B$5:$B$62,0)),0)*IFERROR(INDEX('D Fleet'!$J$5:$J$36,INT(($B14/N$4))+1)+(($B14/N$4)-INT(($B14/N$4)))*(INDEX('D Fleet'!$J$5:$J$36,INT(($B14/N$4))+2)-INDEX('D Fleet'!$J$5:$J$36,INT(($B14/N$4))+1)),0)</f>
        <v/>
      </c>
      <c r="P14" s="276">
        <f>E14*$D14*'E1 Fleet'!$D$97</f>
        <v/>
      </c>
      <c r="Q14" s="276">
        <f>F14*$D14*'E1 Fleet'!$D$97</f>
        <v/>
      </c>
      <c r="R14" s="276">
        <f>G14*$D14*'E1 Fleet'!$D$97</f>
        <v/>
      </c>
      <c r="S14" s="276">
        <f>H14*$D14*'E1 Fleet'!$D$97</f>
        <v/>
      </c>
      <c r="T14" s="276">
        <f>I14*$D14*'E1 Fleet'!$D$97</f>
        <v/>
      </c>
      <c r="U14" s="276">
        <f>J14*$D14*'E1 Fleet'!$D$97</f>
        <v/>
      </c>
      <c r="V14" s="276">
        <f>K14*$D14*'E1 Fleet'!$D$97</f>
        <v/>
      </c>
      <c r="W14" s="276">
        <f>L14*$D14*'E1 Fleet'!$D$97</f>
        <v/>
      </c>
      <c r="X14" s="276">
        <f>M14*$D14*'E1 Fleet'!$D$97</f>
        <v/>
      </c>
      <c r="Y14" s="276">
        <f>N14*$D14*'E1 Fleet'!$D$97</f>
        <v/>
      </c>
    </row>
    <row r="15">
      <c r="A15" t="inlineStr">
        <is>
          <t>Car</t>
        </is>
      </c>
      <c r="B15" t="n">
        <v>8</v>
      </c>
      <c r="C15" t="n">
        <v>3</v>
      </c>
      <c r="D15" s="275">
        <f>IF($B15=0,'E1 Fleet'!$D$93,1)*EXP(-'E1 Fleet'!$D$94*MAX($B15-6,0))</f>
        <v/>
      </c>
      <c r="E15" s="276">
        <f>IFERROR(INDEX('D Fleet'!$C$5:$C$62,MATCH(E$3-$B15,'D Fleet'!$B$5:$B$62,0)),0)*IFERROR(INDEX('D Fleet'!$J$5:$J$36,INT(($B15/E$4))+1)+(($B15/E$4)-INT(($B15/E$4)))*(INDEX('D Fleet'!$J$5:$J$36,INT(($B15/E$4))+2)-INDEX('D Fleet'!$J$5:$J$36,INT(($B15/E$4))+1)),0)</f>
        <v/>
      </c>
      <c r="F15" s="276">
        <f>IFERROR(INDEX('D Fleet'!$C$5:$C$62,MATCH(F$3-$B15,'D Fleet'!$B$5:$B$62,0)),0)*IFERROR(INDEX('D Fleet'!$J$5:$J$36,INT(($B15/F$4))+1)+(($B15/F$4)-INT(($B15/F$4)))*(INDEX('D Fleet'!$J$5:$J$36,INT(($B15/F$4))+2)-INDEX('D Fleet'!$J$5:$J$36,INT(($B15/F$4))+1)),0)</f>
        <v/>
      </c>
      <c r="G15" s="276">
        <f>IFERROR(INDEX('D Fleet'!$C$5:$C$62,MATCH(G$3-$B15,'D Fleet'!$B$5:$B$62,0)),0)*IFERROR(INDEX('D Fleet'!$J$5:$J$36,INT(($B15/G$4))+1)+(($B15/G$4)-INT(($B15/G$4)))*(INDEX('D Fleet'!$J$5:$J$36,INT(($B15/G$4))+2)-INDEX('D Fleet'!$J$5:$J$36,INT(($B15/G$4))+1)),0)</f>
        <v/>
      </c>
      <c r="H15" s="276">
        <f>IFERROR(INDEX('D Fleet'!$C$5:$C$62,MATCH(H$3-$B15,'D Fleet'!$B$5:$B$62,0)),0)*IFERROR(INDEX('D Fleet'!$J$5:$J$36,INT(($B15/H$4))+1)+(($B15/H$4)-INT(($B15/H$4)))*(INDEX('D Fleet'!$J$5:$J$36,INT(($B15/H$4))+2)-INDEX('D Fleet'!$J$5:$J$36,INT(($B15/H$4))+1)),0)</f>
        <v/>
      </c>
      <c r="I15" s="276">
        <f>IFERROR(INDEX('D Fleet'!$C$5:$C$62,MATCH(I$3-$B15,'D Fleet'!$B$5:$B$62,0)),0)*IFERROR(INDEX('D Fleet'!$J$5:$J$36,INT(($B15/I$4))+1)+(($B15/I$4)-INT(($B15/I$4)))*(INDEX('D Fleet'!$J$5:$J$36,INT(($B15/I$4))+2)-INDEX('D Fleet'!$J$5:$J$36,INT(($B15/I$4))+1)),0)</f>
        <v/>
      </c>
      <c r="J15" s="276">
        <f>IFERROR(INDEX('D Fleet'!$C$5:$C$62,MATCH(J$3-$B15,'D Fleet'!$B$5:$B$62,0)),0)*IFERROR(INDEX('D Fleet'!$J$5:$J$36,INT(($B15/J$4))+1)+(($B15/J$4)-INT(($B15/J$4)))*(INDEX('D Fleet'!$J$5:$J$36,INT(($B15/J$4))+2)-INDEX('D Fleet'!$J$5:$J$36,INT(($B15/J$4))+1)),0)</f>
        <v/>
      </c>
      <c r="K15" s="276">
        <f>IFERROR(INDEX('D Fleet'!$C$5:$C$62,MATCH(K$3-$B15,'D Fleet'!$B$5:$B$62,0)),0)*IFERROR(INDEX('D Fleet'!$J$5:$J$36,INT(($B15/K$4))+1)+(($B15/K$4)-INT(($B15/K$4)))*(INDEX('D Fleet'!$J$5:$J$36,INT(($B15/K$4))+2)-INDEX('D Fleet'!$J$5:$J$36,INT(($B15/K$4))+1)),0)</f>
        <v/>
      </c>
      <c r="L15" s="276">
        <f>IFERROR(INDEX('D Fleet'!$C$5:$C$62,MATCH(L$3-$B15,'D Fleet'!$B$5:$B$62,0)),0)*IFERROR(INDEX('D Fleet'!$J$5:$J$36,INT(($B15/L$4))+1)+(($B15/L$4)-INT(($B15/L$4)))*(INDEX('D Fleet'!$J$5:$J$36,INT(($B15/L$4))+2)-INDEX('D Fleet'!$J$5:$J$36,INT(($B15/L$4))+1)),0)</f>
        <v/>
      </c>
      <c r="M15" s="276">
        <f>IFERROR(INDEX('D Fleet'!$C$5:$C$62,MATCH(M$3-$B15,'D Fleet'!$B$5:$B$62,0)),0)*IFERROR(INDEX('D Fleet'!$J$5:$J$36,INT(($B15/M$4))+1)+(($B15/M$4)-INT(($B15/M$4)))*(INDEX('D Fleet'!$J$5:$J$36,INT(($B15/M$4))+2)-INDEX('D Fleet'!$J$5:$J$36,INT(($B15/M$4))+1)),0)</f>
        <v/>
      </c>
      <c r="N15" s="276">
        <f>IFERROR(INDEX('D Fleet'!$C$5:$C$62,MATCH(N$3-$B15,'D Fleet'!$B$5:$B$62,0)),0)*IFERROR(INDEX('D Fleet'!$J$5:$J$36,INT(($B15/N$4))+1)+(($B15/N$4)-INT(($B15/N$4)))*(INDEX('D Fleet'!$J$5:$J$36,INT(($B15/N$4))+2)-INDEX('D Fleet'!$J$5:$J$36,INT(($B15/N$4))+1)),0)</f>
        <v/>
      </c>
      <c r="P15" s="276">
        <f>E15*$D15*'E1 Fleet'!$D$97</f>
        <v/>
      </c>
      <c r="Q15" s="276">
        <f>F15*$D15*'E1 Fleet'!$D$97</f>
        <v/>
      </c>
      <c r="R15" s="276">
        <f>G15*$D15*'E1 Fleet'!$D$97</f>
        <v/>
      </c>
      <c r="S15" s="276">
        <f>H15*$D15*'E1 Fleet'!$D$97</f>
        <v/>
      </c>
      <c r="T15" s="276">
        <f>I15*$D15*'E1 Fleet'!$D$97</f>
        <v/>
      </c>
      <c r="U15" s="276">
        <f>J15*$D15*'E1 Fleet'!$D$97</f>
        <v/>
      </c>
      <c r="V15" s="276">
        <f>K15*$D15*'E1 Fleet'!$D$97</f>
        <v/>
      </c>
      <c r="W15" s="276">
        <f>L15*$D15*'E1 Fleet'!$D$97</f>
        <v/>
      </c>
      <c r="X15" s="276">
        <f>M15*$D15*'E1 Fleet'!$D$97</f>
        <v/>
      </c>
      <c r="Y15" s="276">
        <f>N15*$D15*'E1 Fleet'!$D$97</f>
        <v/>
      </c>
    </row>
    <row r="16">
      <c r="A16" t="inlineStr">
        <is>
          <t>Car</t>
        </is>
      </c>
      <c r="B16" t="n">
        <v>9</v>
      </c>
      <c r="C16" t="n">
        <v>3</v>
      </c>
      <c r="D16" s="275">
        <f>IF($B16=0,'E1 Fleet'!$D$93,1)*EXP(-'E1 Fleet'!$D$94*MAX($B16-6,0))</f>
        <v/>
      </c>
      <c r="E16" s="276">
        <f>IFERROR(INDEX('D Fleet'!$C$5:$C$62,MATCH(E$3-$B16,'D Fleet'!$B$5:$B$62,0)),0)*IFERROR(INDEX('D Fleet'!$J$5:$J$36,INT(($B16/E$4))+1)+(($B16/E$4)-INT(($B16/E$4)))*(INDEX('D Fleet'!$J$5:$J$36,INT(($B16/E$4))+2)-INDEX('D Fleet'!$J$5:$J$36,INT(($B16/E$4))+1)),0)</f>
        <v/>
      </c>
      <c r="F16" s="276">
        <f>IFERROR(INDEX('D Fleet'!$C$5:$C$62,MATCH(F$3-$B16,'D Fleet'!$B$5:$B$62,0)),0)*IFERROR(INDEX('D Fleet'!$J$5:$J$36,INT(($B16/F$4))+1)+(($B16/F$4)-INT(($B16/F$4)))*(INDEX('D Fleet'!$J$5:$J$36,INT(($B16/F$4))+2)-INDEX('D Fleet'!$J$5:$J$36,INT(($B16/F$4))+1)),0)</f>
        <v/>
      </c>
      <c r="G16" s="276">
        <f>IFERROR(INDEX('D Fleet'!$C$5:$C$62,MATCH(G$3-$B16,'D Fleet'!$B$5:$B$62,0)),0)*IFERROR(INDEX('D Fleet'!$J$5:$J$36,INT(($B16/G$4))+1)+(($B16/G$4)-INT(($B16/G$4)))*(INDEX('D Fleet'!$J$5:$J$36,INT(($B16/G$4))+2)-INDEX('D Fleet'!$J$5:$J$36,INT(($B16/G$4))+1)),0)</f>
        <v/>
      </c>
      <c r="H16" s="276">
        <f>IFERROR(INDEX('D Fleet'!$C$5:$C$62,MATCH(H$3-$B16,'D Fleet'!$B$5:$B$62,0)),0)*IFERROR(INDEX('D Fleet'!$J$5:$J$36,INT(($B16/H$4))+1)+(($B16/H$4)-INT(($B16/H$4)))*(INDEX('D Fleet'!$J$5:$J$36,INT(($B16/H$4))+2)-INDEX('D Fleet'!$J$5:$J$36,INT(($B16/H$4))+1)),0)</f>
        <v/>
      </c>
      <c r="I16" s="276">
        <f>IFERROR(INDEX('D Fleet'!$C$5:$C$62,MATCH(I$3-$B16,'D Fleet'!$B$5:$B$62,0)),0)*IFERROR(INDEX('D Fleet'!$J$5:$J$36,INT(($B16/I$4))+1)+(($B16/I$4)-INT(($B16/I$4)))*(INDEX('D Fleet'!$J$5:$J$36,INT(($B16/I$4))+2)-INDEX('D Fleet'!$J$5:$J$36,INT(($B16/I$4))+1)),0)</f>
        <v/>
      </c>
      <c r="J16" s="276">
        <f>IFERROR(INDEX('D Fleet'!$C$5:$C$62,MATCH(J$3-$B16,'D Fleet'!$B$5:$B$62,0)),0)*IFERROR(INDEX('D Fleet'!$J$5:$J$36,INT(($B16/J$4))+1)+(($B16/J$4)-INT(($B16/J$4)))*(INDEX('D Fleet'!$J$5:$J$36,INT(($B16/J$4))+2)-INDEX('D Fleet'!$J$5:$J$36,INT(($B16/J$4))+1)),0)</f>
        <v/>
      </c>
      <c r="K16" s="276">
        <f>IFERROR(INDEX('D Fleet'!$C$5:$C$62,MATCH(K$3-$B16,'D Fleet'!$B$5:$B$62,0)),0)*IFERROR(INDEX('D Fleet'!$J$5:$J$36,INT(($B16/K$4))+1)+(($B16/K$4)-INT(($B16/K$4)))*(INDEX('D Fleet'!$J$5:$J$36,INT(($B16/K$4))+2)-INDEX('D Fleet'!$J$5:$J$36,INT(($B16/K$4))+1)),0)</f>
        <v/>
      </c>
      <c r="L16" s="276">
        <f>IFERROR(INDEX('D Fleet'!$C$5:$C$62,MATCH(L$3-$B16,'D Fleet'!$B$5:$B$62,0)),0)*IFERROR(INDEX('D Fleet'!$J$5:$J$36,INT(($B16/L$4))+1)+(($B16/L$4)-INT(($B16/L$4)))*(INDEX('D Fleet'!$J$5:$J$36,INT(($B16/L$4))+2)-INDEX('D Fleet'!$J$5:$J$36,INT(($B16/L$4))+1)),0)</f>
        <v/>
      </c>
      <c r="M16" s="276">
        <f>IFERROR(INDEX('D Fleet'!$C$5:$C$62,MATCH(M$3-$B16,'D Fleet'!$B$5:$B$62,0)),0)*IFERROR(INDEX('D Fleet'!$J$5:$J$36,INT(($B16/M$4))+1)+(($B16/M$4)-INT(($B16/M$4)))*(INDEX('D Fleet'!$J$5:$J$36,INT(($B16/M$4))+2)-INDEX('D Fleet'!$J$5:$J$36,INT(($B16/M$4))+1)),0)</f>
        <v/>
      </c>
      <c r="N16" s="276">
        <f>IFERROR(INDEX('D Fleet'!$C$5:$C$62,MATCH(N$3-$B16,'D Fleet'!$B$5:$B$62,0)),0)*IFERROR(INDEX('D Fleet'!$J$5:$J$36,INT(($B16/N$4))+1)+(($B16/N$4)-INT(($B16/N$4)))*(INDEX('D Fleet'!$J$5:$J$36,INT(($B16/N$4))+2)-INDEX('D Fleet'!$J$5:$J$36,INT(($B16/N$4))+1)),0)</f>
        <v/>
      </c>
      <c r="P16" s="276">
        <f>E16*$D16*'E1 Fleet'!$D$97</f>
        <v/>
      </c>
      <c r="Q16" s="276">
        <f>F16*$D16*'E1 Fleet'!$D$97</f>
        <v/>
      </c>
      <c r="R16" s="276">
        <f>G16*$D16*'E1 Fleet'!$D$97</f>
        <v/>
      </c>
      <c r="S16" s="276">
        <f>H16*$D16*'E1 Fleet'!$D$97</f>
        <v/>
      </c>
      <c r="T16" s="276">
        <f>I16*$D16*'E1 Fleet'!$D$97</f>
        <v/>
      </c>
      <c r="U16" s="276">
        <f>J16*$D16*'E1 Fleet'!$D$97</f>
        <v/>
      </c>
      <c r="V16" s="276">
        <f>K16*$D16*'E1 Fleet'!$D$97</f>
        <v/>
      </c>
      <c r="W16" s="276">
        <f>L16*$D16*'E1 Fleet'!$D$97</f>
        <v/>
      </c>
      <c r="X16" s="276">
        <f>M16*$D16*'E1 Fleet'!$D$97</f>
        <v/>
      </c>
      <c r="Y16" s="276">
        <f>N16*$D16*'E1 Fleet'!$D$97</f>
        <v/>
      </c>
    </row>
    <row r="17">
      <c r="A17" t="inlineStr">
        <is>
          <t>Car</t>
        </is>
      </c>
      <c r="B17" t="n">
        <v>10</v>
      </c>
      <c r="C17" t="n">
        <v>3</v>
      </c>
      <c r="D17" s="275">
        <f>IF($B17=0,'E1 Fleet'!$D$93,1)*EXP(-'E1 Fleet'!$D$94*MAX($B17-6,0))</f>
        <v/>
      </c>
      <c r="E17" s="276">
        <f>IFERROR(INDEX('D Fleet'!$C$5:$C$62,MATCH(E$3-$B17,'D Fleet'!$B$5:$B$62,0)),0)*IFERROR(INDEX('D Fleet'!$J$5:$J$36,INT(($B17/E$4))+1)+(($B17/E$4)-INT(($B17/E$4)))*(INDEX('D Fleet'!$J$5:$J$36,INT(($B17/E$4))+2)-INDEX('D Fleet'!$J$5:$J$36,INT(($B17/E$4))+1)),0)</f>
        <v/>
      </c>
      <c r="F17" s="276">
        <f>IFERROR(INDEX('D Fleet'!$C$5:$C$62,MATCH(F$3-$B17,'D Fleet'!$B$5:$B$62,0)),0)*IFERROR(INDEX('D Fleet'!$J$5:$J$36,INT(($B17/F$4))+1)+(($B17/F$4)-INT(($B17/F$4)))*(INDEX('D Fleet'!$J$5:$J$36,INT(($B17/F$4))+2)-INDEX('D Fleet'!$J$5:$J$36,INT(($B17/F$4))+1)),0)</f>
        <v/>
      </c>
      <c r="G17" s="276">
        <f>IFERROR(INDEX('D Fleet'!$C$5:$C$62,MATCH(G$3-$B17,'D Fleet'!$B$5:$B$62,0)),0)*IFERROR(INDEX('D Fleet'!$J$5:$J$36,INT(($B17/G$4))+1)+(($B17/G$4)-INT(($B17/G$4)))*(INDEX('D Fleet'!$J$5:$J$36,INT(($B17/G$4))+2)-INDEX('D Fleet'!$J$5:$J$36,INT(($B17/G$4))+1)),0)</f>
        <v/>
      </c>
      <c r="H17" s="276">
        <f>IFERROR(INDEX('D Fleet'!$C$5:$C$62,MATCH(H$3-$B17,'D Fleet'!$B$5:$B$62,0)),0)*IFERROR(INDEX('D Fleet'!$J$5:$J$36,INT(($B17/H$4))+1)+(($B17/H$4)-INT(($B17/H$4)))*(INDEX('D Fleet'!$J$5:$J$36,INT(($B17/H$4))+2)-INDEX('D Fleet'!$J$5:$J$36,INT(($B17/H$4))+1)),0)</f>
        <v/>
      </c>
      <c r="I17" s="276">
        <f>IFERROR(INDEX('D Fleet'!$C$5:$C$62,MATCH(I$3-$B17,'D Fleet'!$B$5:$B$62,0)),0)*IFERROR(INDEX('D Fleet'!$J$5:$J$36,INT(($B17/I$4))+1)+(($B17/I$4)-INT(($B17/I$4)))*(INDEX('D Fleet'!$J$5:$J$36,INT(($B17/I$4))+2)-INDEX('D Fleet'!$J$5:$J$36,INT(($B17/I$4))+1)),0)</f>
        <v/>
      </c>
      <c r="J17" s="276">
        <f>IFERROR(INDEX('D Fleet'!$C$5:$C$62,MATCH(J$3-$B17,'D Fleet'!$B$5:$B$62,0)),0)*IFERROR(INDEX('D Fleet'!$J$5:$J$36,INT(($B17/J$4))+1)+(($B17/J$4)-INT(($B17/J$4)))*(INDEX('D Fleet'!$J$5:$J$36,INT(($B17/J$4))+2)-INDEX('D Fleet'!$J$5:$J$36,INT(($B17/J$4))+1)),0)</f>
        <v/>
      </c>
      <c r="K17" s="276">
        <f>IFERROR(INDEX('D Fleet'!$C$5:$C$62,MATCH(K$3-$B17,'D Fleet'!$B$5:$B$62,0)),0)*IFERROR(INDEX('D Fleet'!$J$5:$J$36,INT(($B17/K$4))+1)+(($B17/K$4)-INT(($B17/K$4)))*(INDEX('D Fleet'!$J$5:$J$36,INT(($B17/K$4))+2)-INDEX('D Fleet'!$J$5:$J$36,INT(($B17/K$4))+1)),0)</f>
        <v/>
      </c>
      <c r="L17" s="276">
        <f>IFERROR(INDEX('D Fleet'!$C$5:$C$62,MATCH(L$3-$B17,'D Fleet'!$B$5:$B$62,0)),0)*IFERROR(INDEX('D Fleet'!$J$5:$J$36,INT(($B17/L$4))+1)+(($B17/L$4)-INT(($B17/L$4)))*(INDEX('D Fleet'!$J$5:$J$36,INT(($B17/L$4))+2)-INDEX('D Fleet'!$J$5:$J$36,INT(($B17/L$4))+1)),0)</f>
        <v/>
      </c>
      <c r="M17" s="276">
        <f>IFERROR(INDEX('D Fleet'!$C$5:$C$62,MATCH(M$3-$B17,'D Fleet'!$B$5:$B$62,0)),0)*IFERROR(INDEX('D Fleet'!$J$5:$J$36,INT(($B17/M$4))+1)+(($B17/M$4)-INT(($B17/M$4)))*(INDEX('D Fleet'!$J$5:$J$36,INT(($B17/M$4))+2)-INDEX('D Fleet'!$J$5:$J$36,INT(($B17/M$4))+1)),0)</f>
        <v/>
      </c>
      <c r="N17" s="276">
        <f>IFERROR(INDEX('D Fleet'!$C$5:$C$62,MATCH(N$3-$B17,'D Fleet'!$B$5:$B$62,0)),0)*IFERROR(INDEX('D Fleet'!$J$5:$J$36,INT(($B17/N$4))+1)+(($B17/N$4)-INT(($B17/N$4)))*(INDEX('D Fleet'!$J$5:$J$36,INT(($B17/N$4))+2)-INDEX('D Fleet'!$J$5:$J$36,INT(($B17/N$4))+1)),0)</f>
        <v/>
      </c>
      <c r="P17" s="276">
        <f>E17*$D17*'E1 Fleet'!$D$97</f>
        <v/>
      </c>
      <c r="Q17" s="276">
        <f>F17*$D17*'E1 Fleet'!$D$97</f>
        <v/>
      </c>
      <c r="R17" s="276">
        <f>G17*$D17*'E1 Fleet'!$D$97</f>
        <v/>
      </c>
      <c r="S17" s="276">
        <f>H17*$D17*'E1 Fleet'!$D$97</f>
        <v/>
      </c>
      <c r="T17" s="276">
        <f>I17*$D17*'E1 Fleet'!$D$97</f>
        <v/>
      </c>
      <c r="U17" s="276">
        <f>J17*$D17*'E1 Fleet'!$D$97</f>
        <v/>
      </c>
      <c r="V17" s="276">
        <f>K17*$D17*'E1 Fleet'!$D$97</f>
        <v/>
      </c>
      <c r="W17" s="276">
        <f>L17*$D17*'E1 Fleet'!$D$97</f>
        <v/>
      </c>
      <c r="X17" s="276">
        <f>M17*$D17*'E1 Fleet'!$D$97</f>
        <v/>
      </c>
      <c r="Y17" s="276">
        <f>N17*$D17*'E1 Fleet'!$D$97</f>
        <v/>
      </c>
    </row>
    <row r="18">
      <c r="A18" t="inlineStr">
        <is>
          <t>Car</t>
        </is>
      </c>
      <c r="B18" t="n">
        <v>11</v>
      </c>
      <c r="C18" t="n">
        <v>3</v>
      </c>
      <c r="D18" s="275">
        <f>IF($B18=0,'E1 Fleet'!$D$93,1)*EXP(-'E1 Fleet'!$D$94*MAX($B18-6,0))</f>
        <v/>
      </c>
      <c r="E18" s="276">
        <f>IFERROR(INDEX('D Fleet'!$C$5:$C$62,MATCH(E$3-$B18,'D Fleet'!$B$5:$B$62,0)),0)*IFERROR(INDEX('D Fleet'!$J$5:$J$36,INT(($B18/E$4))+1)+(($B18/E$4)-INT(($B18/E$4)))*(INDEX('D Fleet'!$J$5:$J$36,INT(($B18/E$4))+2)-INDEX('D Fleet'!$J$5:$J$36,INT(($B18/E$4))+1)),0)</f>
        <v/>
      </c>
      <c r="F18" s="276">
        <f>IFERROR(INDEX('D Fleet'!$C$5:$C$62,MATCH(F$3-$B18,'D Fleet'!$B$5:$B$62,0)),0)*IFERROR(INDEX('D Fleet'!$J$5:$J$36,INT(($B18/F$4))+1)+(($B18/F$4)-INT(($B18/F$4)))*(INDEX('D Fleet'!$J$5:$J$36,INT(($B18/F$4))+2)-INDEX('D Fleet'!$J$5:$J$36,INT(($B18/F$4))+1)),0)</f>
        <v/>
      </c>
      <c r="G18" s="276">
        <f>IFERROR(INDEX('D Fleet'!$C$5:$C$62,MATCH(G$3-$B18,'D Fleet'!$B$5:$B$62,0)),0)*IFERROR(INDEX('D Fleet'!$J$5:$J$36,INT(($B18/G$4))+1)+(($B18/G$4)-INT(($B18/G$4)))*(INDEX('D Fleet'!$J$5:$J$36,INT(($B18/G$4))+2)-INDEX('D Fleet'!$J$5:$J$36,INT(($B18/G$4))+1)),0)</f>
        <v/>
      </c>
      <c r="H18" s="276">
        <f>IFERROR(INDEX('D Fleet'!$C$5:$C$62,MATCH(H$3-$B18,'D Fleet'!$B$5:$B$62,0)),0)*IFERROR(INDEX('D Fleet'!$J$5:$J$36,INT(($B18/H$4))+1)+(($B18/H$4)-INT(($B18/H$4)))*(INDEX('D Fleet'!$J$5:$J$36,INT(($B18/H$4))+2)-INDEX('D Fleet'!$J$5:$J$36,INT(($B18/H$4))+1)),0)</f>
        <v/>
      </c>
      <c r="I18" s="276">
        <f>IFERROR(INDEX('D Fleet'!$C$5:$C$62,MATCH(I$3-$B18,'D Fleet'!$B$5:$B$62,0)),0)*IFERROR(INDEX('D Fleet'!$J$5:$J$36,INT(($B18/I$4))+1)+(($B18/I$4)-INT(($B18/I$4)))*(INDEX('D Fleet'!$J$5:$J$36,INT(($B18/I$4))+2)-INDEX('D Fleet'!$J$5:$J$36,INT(($B18/I$4))+1)),0)</f>
        <v/>
      </c>
      <c r="J18" s="276">
        <f>IFERROR(INDEX('D Fleet'!$C$5:$C$62,MATCH(J$3-$B18,'D Fleet'!$B$5:$B$62,0)),0)*IFERROR(INDEX('D Fleet'!$J$5:$J$36,INT(($B18/J$4))+1)+(($B18/J$4)-INT(($B18/J$4)))*(INDEX('D Fleet'!$J$5:$J$36,INT(($B18/J$4))+2)-INDEX('D Fleet'!$J$5:$J$36,INT(($B18/J$4))+1)),0)</f>
        <v/>
      </c>
      <c r="K18" s="276">
        <f>IFERROR(INDEX('D Fleet'!$C$5:$C$62,MATCH(K$3-$B18,'D Fleet'!$B$5:$B$62,0)),0)*IFERROR(INDEX('D Fleet'!$J$5:$J$36,INT(($B18/K$4))+1)+(($B18/K$4)-INT(($B18/K$4)))*(INDEX('D Fleet'!$J$5:$J$36,INT(($B18/K$4))+2)-INDEX('D Fleet'!$J$5:$J$36,INT(($B18/K$4))+1)),0)</f>
        <v/>
      </c>
      <c r="L18" s="276">
        <f>IFERROR(INDEX('D Fleet'!$C$5:$C$62,MATCH(L$3-$B18,'D Fleet'!$B$5:$B$62,0)),0)*IFERROR(INDEX('D Fleet'!$J$5:$J$36,INT(($B18/L$4))+1)+(($B18/L$4)-INT(($B18/L$4)))*(INDEX('D Fleet'!$J$5:$J$36,INT(($B18/L$4))+2)-INDEX('D Fleet'!$J$5:$J$36,INT(($B18/L$4))+1)),0)</f>
        <v/>
      </c>
      <c r="M18" s="276">
        <f>IFERROR(INDEX('D Fleet'!$C$5:$C$62,MATCH(M$3-$B18,'D Fleet'!$B$5:$B$62,0)),0)*IFERROR(INDEX('D Fleet'!$J$5:$J$36,INT(($B18/M$4))+1)+(($B18/M$4)-INT(($B18/M$4)))*(INDEX('D Fleet'!$J$5:$J$36,INT(($B18/M$4))+2)-INDEX('D Fleet'!$J$5:$J$36,INT(($B18/M$4))+1)),0)</f>
        <v/>
      </c>
      <c r="N18" s="276">
        <f>IFERROR(INDEX('D Fleet'!$C$5:$C$62,MATCH(N$3-$B18,'D Fleet'!$B$5:$B$62,0)),0)*IFERROR(INDEX('D Fleet'!$J$5:$J$36,INT(($B18/N$4))+1)+(($B18/N$4)-INT(($B18/N$4)))*(INDEX('D Fleet'!$J$5:$J$36,INT(($B18/N$4))+2)-INDEX('D Fleet'!$J$5:$J$36,INT(($B18/N$4))+1)),0)</f>
        <v/>
      </c>
      <c r="P18" s="276">
        <f>E18*$D18*'E1 Fleet'!$D$97</f>
        <v/>
      </c>
      <c r="Q18" s="276">
        <f>F18*$D18*'E1 Fleet'!$D$97</f>
        <v/>
      </c>
      <c r="R18" s="276">
        <f>G18*$D18*'E1 Fleet'!$D$97</f>
        <v/>
      </c>
      <c r="S18" s="276">
        <f>H18*$D18*'E1 Fleet'!$D$97</f>
        <v/>
      </c>
      <c r="T18" s="276">
        <f>I18*$D18*'E1 Fleet'!$D$97</f>
        <v/>
      </c>
      <c r="U18" s="276">
        <f>J18*$D18*'E1 Fleet'!$D$97</f>
        <v/>
      </c>
      <c r="V18" s="276">
        <f>K18*$D18*'E1 Fleet'!$D$97</f>
        <v/>
      </c>
      <c r="W18" s="276">
        <f>L18*$D18*'E1 Fleet'!$D$97</f>
        <v/>
      </c>
      <c r="X18" s="276">
        <f>M18*$D18*'E1 Fleet'!$D$97</f>
        <v/>
      </c>
      <c r="Y18" s="276">
        <f>N18*$D18*'E1 Fleet'!$D$97</f>
        <v/>
      </c>
    </row>
    <row r="19">
      <c r="A19" t="inlineStr">
        <is>
          <t>Car</t>
        </is>
      </c>
      <c r="B19" t="n">
        <v>12</v>
      </c>
      <c r="C19" t="n">
        <v>3</v>
      </c>
      <c r="D19" s="275">
        <f>IF($B19=0,'E1 Fleet'!$D$93,1)*EXP(-'E1 Fleet'!$D$94*MAX($B19-6,0))</f>
        <v/>
      </c>
      <c r="E19" s="276">
        <f>IFERROR(INDEX('D Fleet'!$C$5:$C$62,MATCH(E$3-$B19,'D Fleet'!$B$5:$B$62,0)),0)*IFERROR(INDEX('D Fleet'!$J$5:$J$36,INT(($B19/E$4))+1)+(($B19/E$4)-INT(($B19/E$4)))*(INDEX('D Fleet'!$J$5:$J$36,INT(($B19/E$4))+2)-INDEX('D Fleet'!$J$5:$J$36,INT(($B19/E$4))+1)),0)</f>
        <v/>
      </c>
      <c r="F19" s="276">
        <f>IFERROR(INDEX('D Fleet'!$C$5:$C$62,MATCH(F$3-$B19,'D Fleet'!$B$5:$B$62,0)),0)*IFERROR(INDEX('D Fleet'!$J$5:$J$36,INT(($B19/F$4))+1)+(($B19/F$4)-INT(($B19/F$4)))*(INDEX('D Fleet'!$J$5:$J$36,INT(($B19/F$4))+2)-INDEX('D Fleet'!$J$5:$J$36,INT(($B19/F$4))+1)),0)</f>
        <v/>
      </c>
      <c r="G19" s="276">
        <f>IFERROR(INDEX('D Fleet'!$C$5:$C$62,MATCH(G$3-$B19,'D Fleet'!$B$5:$B$62,0)),0)*IFERROR(INDEX('D Fleet'!$J$5:$J$36,INT(($B19/G$4))+1)+(($B19/G$4)-INT(($B19/G$4)))*(INDEX('D Fleet'!$J$5:$J$36,INT(($B19/G$4))+2)-INDEX('D Fleet'!$J$5:$J$36,INT(($B19/G$4))+1)),0)</f>
        <v/>
      </c>
      <c r="H19" s="276">
        <f>IFERROR(INDEX('D Fleet'!$C$5:$C$62,MATCH(H$3-$B19,'D Fleet'!$B$5:$B$62,0)),0)*IFERROR(INDEX('D Fleet'!$J$5:$J$36,INT(($B19/H$4))+1)+(($B19/H$4)-INT(($B19/H$4)))*(INDEX('D Fleet'!$J$5:$J$36,INT(($B19/H$4))+2)-INDEX('D Fleet'!$J$5:$J$36,INT(($B19/H$4))+1)),0)</f>
        <v/>
      </c>
      <c r="I19" s="276">
        <f>IFERROR(INDEX('D Fleet'!$C$5:$C$62,MATCH(I$3-$B19,'D Fleet'!$B$5:$B$62,0)),0)*IFERROR(INDEX('D Fleet'!$J$5:$J$36,INT(($B19/I$4))+1)+(($B19/I$4)-INT(($B19/I$4)))*(INDEX('D Fleet'!$J$5:$J$36,INT(($B19/I$4))+2)-INDEX('D Fleet'!$J$5:$J$36,INT(($B19/I$4))+1)),0)</f>
        <v/>
      </c>
      <c r="J19" s="276">
        <f>IFERROR(INDEX('D Fleet'!$C$5:$C$62,MATCH(J$3-$B19,'D Fleet'!$B$5:$B$62,0)),0)*IFERROR(INDEX('D Fleet'!$J$5:$J$36,INT(($B19/J$4))+1)+(($B19/J$4)-INT(($B19/J$4)))*(INDEX('D Fleet'!$J$5:$J$36,INT(($B19/J$4))+2)-INDEX('D Fleet'!$J$5:$J$36,INT(($B19/J$4))+1)),0)</f>
        <v/>
      </c>
      <c r="K19" s="276">
        <f>IFERROR(INDEX('D Fleet'!$C$5:$C$62,MATCH(K$3-$B19,'D Fleet'!$B$5:$B$62,0)),0)*IFERROR(INDEX('D Fleet'!$J$5:$J$36,INT(($B19/K$4))+1)+(($B19/K$4)-INT(($B19/K$4)))*(INDEX('D Fleet'!$J$5:$J$36,INT(($B19/K$4))+2)-INDEX('D Fleet'!$J$5:$J$36,INT(($B19/K$4))+1)),0)</f>
        <v/>
      </c>
      <c r="L19" s="276">
        <f>IFERROR(INDEX('D Fleet'!$C$5:$C$62,MATCH(L$3-$B19,'D Fleet'!$B$5:$B$62,0)),0)*IFERROR(INDEX('D Fleet'!$J$5:$J$36,INT(($B19/L$4))+1)+(($B19/L$4)-INT(($B19/L$4)))*(INDEX('D Fleet'!$J$5:$J$36,INT(($B19/L$4))+2)-INDEX('D Fleet'!$J$5:$J$36,INT(($B19/L$4))+1)),0)</f>
        <v/>
      </c>
      <c r="M19" s="276">
        <f>IFERROR(INDEX('D Fleet'!$C$5:$C$62,MATCH(M$3-$B19,'D Fleet'!$B$5:$B$62,0)),0)*IFERROR(INDEX('D Fleet'!$J$5:$J$36,INT(($B19/M$4))+1)+(($B19/M$4)-INT(($B19/M$4)))*(INDEX('D Fleet'!$J$5:$J$36,INT(($B19/M$4))+2)-INDEX('D Fleet'!$J$5:$J$36,INT(($B19/M$4))+1)),0)</f>
        <v/>
      </c>
      <c r="N19" s="276">
        <f>IFERROR(INDEX('D Fleet'!$C$5:$C$62,MATCH(N$3-$B19,'D Fleet'!$B$5:$B$62,0)),0)*IFERROR(INDEX('D Fleet'!$J$5:$J$36,INT(($B19/N$4))+1)+(($B19/N$4)-INT(($B19/N$4)))*(INDEX('D Fleet'!$J$5:$J$36,INT(($B19/N$4))+2)-INDEX('D Fleet'!$J$5:$J$36,INT(($B19/N$4))+1)),0)</f>
        <v/>
      </c>
      <c r="P19" s="276">
        <f>E19*$D19*'E1 Fleet'!$D$97</f>
        <v/>
      </c>
      <c r="Q19" s="276">
        <f>F19*$D19*'E1 Fleet'!$D$97</f>
        <v/>
      </c>
      <c r="R19" s="276">
        <f>G19*$D19*'E1 Fleet'!$D$97</f>
        <v/>
      </c>
      <c r="S19" s="276">
        <f>H19*$D19*'E1 Fleet'!$D$97</f>
        <v/>
      </c>
      <c r="T19" s="276">
        <f>I19*$D19*'E1 Fleet'!$D$97</f>
        <v/>
      </c>
      <c r="U19" s="276">
        <f>J19*$D19*'E1 Fleet'!$D$97</f>
        <v/>
      </c>
      <c r="V19" s="276">
        <f>K19*$D19*'E1 Fleet'!$D$97</f>
        <v/>
      </c>
      <c r="W19" s="276">
        <f>L19*$D19*'E1 Fleet'!$D$97</f>
        <v/>
      </c>
      <c r="X19" s="276">
        <f>M19*$D19*'E1 Fleet'!$D$97</f>
        <v/>
      </c>
      <c r="Y19" s="276">
        <f>N19*$D19*'E1 Fleet'!$D$97</f>
        <v/>
      </c>
    </row>
    <row r="20">
      <c r="A20" t="inlineStr">
        <is>
          <t>Car</t>
        </is>
      </c>
      <c r="B20" t="n">
        <v>13</v>
      </c>
      <c r="C20" t="n">
        <v>3</v>
      </c>
      <c r="D20" s="275">
        <f>IF($B20=0,'E1 Fleet'!$D$93,1)*EXP(-'E1 Fleet'!$D$94*MAX($B20-6,0))</f>
        <v/>
      </c>
      <c r="E20" s="276">
        <f>IFERROR(INDEX('D Fleet'!$C$5:$C$62,MATCH(E$3-$B20,'D Fleet'!$B$5:$B$62,0)),0)*IFERROR(INDEX('D Fleet'!$J$5:$J$36,INT(($B20/E$4))+1)+(($B20/E$4)-INT(($B20/E$4)))*(INDEX('D Fleet'!$J$5:$J$36,INT(($B20/E$4))+2)-INDEX('D Fleet'!$J$5:$J$36,INT(($B20/E$4))+1)),0)</f>
        <v/>
      </c>
      <c r="F20" s="276">
        <f>IFERROR(INDEX('D Fleet'!$C$5:$C$62,MATCH(F$3-$B20,'D Fleet'!$B$5:$B$62,0)),0)*IFERROR(INDEX('D Fleet'!$J$5:$J$36,INT(($B20/F$4))+1)+(($B20/F$4)-INT(($B20/F$4)))*(INDEX('D Fleet'!$J$5:$J$36,INT(($B20/F$4))+2)-INDEX('D Fleet'!$J$5:$J$36,INT(($B20/F$4))+1)),0)</f>
        <v/>
      </c>
      <c r="G20" s="276">
        <f>IFERROR(INDEX('D Fleet'!$C$5:$C$62,MATCH(G$3-$B20,'D Fleet'!$B$5:$B$62,0)),0)*IFERROR(INDEX('D Fleet'!$J$5:$J$36,INT(($B20/G$4))+1)+(($B20/G$4)-INT(($B20/G$4)))*(INDEX('D Fleet'!$J$5:$J$36,INT(($B20/G$4))+2)-INDEX('D Fleet'!$J$5:$J$36,INT(($B20/G$4))+1)),0)</f>
        <v/>
      </c>
      <c r="H20" s="276">
        <f>IFERROR(INDEX('D Fleet'!$C$5:$C$62,MATCH(H$3-$B20,'D Fleet'!$B$5:$B$62,0)),0)*IFERROR(INDEX('D Fleet'!$J$5:$J$36,INT(($B20/H$4))+1)+(($B20/H$4)-INT(($B20/H$4)))*(INDEX('D Fleet'!$J$5:$J$36,INT(($B20/H$4))+2)-INDEX('D Fleet'!$J$5:$J$36,INT(($B20/H$4))+1)),0)</f>
        <v/>
      </c>
      <c r="I20" s="276">
        <f>IFERROR(INDEX('D Fleet'!$C$5:$C$62,MATCH(I$3-$B20,'D Fleet'!$B$5:$B$62,0)),0)*IFERROR(INDEX('D Fleet'!$J$5:$J$36,INT(($B20/I$4))+1)+(($B20/I$4)-INT(($B20/I$4)))*(INDEX('D Fleet'!$J$5:$J$36,INT(($B20/I$4))+2)-INDEX('D Fleet'!$J$5:$J$36,INT(($B20/I$4))+1)),0)</f>
        <v/>
      </c>
      <c r="J20" s="276">
        <f>IFERROR(INDEX('D Fleet'!$C$5:$C$62,MATCH(J$3-$B20,'D Fleet'!$B$5:$B$62,0)),0)*IFERROR(INDEX('D Fleet'!$J$5:$J$36,INT(($B20/J$4))+1)+(($B20/J$4)-INT(($B20/J$4)))*(INDEX('D Fleet'!$J$5:$J$36,INT(($B20/J$4))+2)-INDEX('D Fleet'!$J$5:$J$36,INT(($B20/J$4))+1)),0)</f>
        <v/>
      </c>
      <c r="K20" s="276">
        <f>IFERROR(INDEX('D Fleet'!$C$5:$C$62,MATCH(K$3-$B20,'D Fleet'!$B$5:$B$62,0)),0)*IFERROR(INDEX('D Fleet'!$J$5:$J$36,INT(($B20/K$4))+1)+(($B20/K$4)-INT(($B20/K$4)))*(INDEX('D Fleet'!$J$5:$J$36,INT(($B20/K$4))+2)-INDEX('D Fleet'!$J$5:$J$36,INT(($B20/K$4))+1)),0)</f>
        <v/>
      </c>
      <c r="L20" s="276">
        <f>IFERROR(INDEX('D Fleet'!$C$5:$C$62,MATCH(L$3-$B20,'D Fleet'!$B$5:$B$62,0)),0)*IFERROR(INDEX('D Fleet'!$J$5:$J$36,INT(($B20/L$4))+1)+(($B20/L$4)-INT(($B20/L$4)))*(INDEX('D Fleet'!$J$5:$J$36,INT(($B20/L$4))+2)-INDEX('D Fleet'!$J$5:$J$36,INT(($B20/L$4))+1)),0)</f>
        <v/>
      </c>
      <c r="M20" s="276">
        <f>IFERROR(INDEX('D Fleet'!$C$5:$C$62,MATCH(M$3-$B20,'D Fleet'!$B$5:$B$62,0)),0)*IFERROR(INDEX('D Fleet'!$J$5:$J$36,INT(($B20/M$4))+1)+(($B20/M$4)-INT(($B20/M$4)))*(INDEX('D Fleet'!$J$5:$J$36,INT(($B20/M$4))+2)-INDEX('D Fleet'!$J$5:$J$36,INT(($B20/M$4))+1)),0)</f>
        <v/>
      </c>
      <c r="N20" s="276">
        <f>IFERROR(INDEX('D Fleet'!$C$5:$C$62,MATCH(N$3-$B20,'D Fleet'!$B$5:$B$62,0)),0)*IFERROR(INDEX('D Fleet'!$J$5:$J$36,INT(($B20/N$4))+1)+(($B20/N$4)-INT(($B20/N$4)))*(INDEX('D Fleet'!$J$5:$J$36,INT(($B20/N$4))+2)-INDEX('D Fleet'!$J$5:$J$36,INT(($B20/N$4))+1)),0)</f>
        <v/>
      </c>
      <c r="P20" s="276">
        <f>E20*$D20*'E1 Fleet'!$D$97</f>
        <v/>
      </c>
      <c r="Q20" s="276">
        <f>F20*$D20*'E1 Fleet'!$D$97</f>
        <v/>
      </c>
      <c r="R20" s="276">
        <f>G20*$D20*'E1 Fleet'!$D$97</f>
        <v/>
      </c>
      <c r="S20" s="276">
        <f>H20*$D20*'E1 Fleet'!$D$97</f>
        <v/>
      </c>
      <c r="T20" s="276">
        <f>I20*$D20*'E1 Fleet'!$D$97</f>
        <v/>
      </c>
      <c r="U20" s="276">
        <f>J20*$D20*'E1 Fleet'!$D$97</f>
        <v/>
      </c>
      <c r="V20" s="276">
        <f>K20*$D20*'E1 Fleet'!$D$97</f>
        <v/>
      </c>
      <c r="W20" s="276">
        <f>L20*$D20*'E1 Fleet'!$D$97</f>
        <v/>
      </c>
      <c r="X20" s="276">
        <f>M20*$D20*'E1 Fleet'!$D$97</f>
        <v/>
      </c>
      <c r="Y20" s="276">
        <f>N20*$D20*'E1 Fleet'!$D$97</f>
        <v/>
      </c>
    </row>
    <row r="21">
      <c r="A21" t="inlineStr">
        <is>
          <t>Car</t>
        </is>
      </c>
      <c r="B21" t="n">
        <v>14</v>
      </c>
      <c r="C21" t="n">
        <v>3</v>
      </c>
      <c r="D21" s="275">
        <f>IF($B21=0,'E1 Fleet'!$D$93,1)*EXP(-'E1 Fleet'!$D$94*MAX($B21-6,0))</f>
        <v/>
      </c>
      <c r="E21" s="276">
        <f>IFERROR(INDEX('D Fleet'!$C$5:$C$62,MATCH(E$3-$B21,'D Fleet'!$B$5:$B$62,0)),0)*IFERROR(INDEX('D Fleet'!$J$5:$J$36,INT(($B21/E$4))+1)+(($B21/E$4)-INT(($B21/E$4)))*(INDEX('D Fleet'!$J$5:$J$36,INT(($B21/E$4))+2)-INDEX('D Fleet'!$J$5:$J$36,INT(($B21/E$4))+1)),0)</f>
        <v/>
      </c>
      <c r="F21" s="276">
        <f>IFERROR(INDEX('D Fleet'!$C$5:$C$62,MATCH(F$3-$B21,'D Fleet'!$B$5:$B$62,0)),0)*IFERROR(INDEX('D Fleet'!$J$5:$J$36,INT(($B21/F$4))+1)+(($B21/F$4)-INT(($B21/F$4)))*(INDEX('D Fleet'!$J$5:$J$36,INT(($B21/F$4))+2)-INDEX('D Fleet'!$J$5:$J$36,INT(($B21/F$4))+1)),0)</f>
        <v/>
      </c>
      <c r="G21" s="276">
        <f>IFERROR(INDEX('D Fleet'!$C$5:$C$62,MATCH(G$3-$B21,'D Fleet'!$B$5:$B$62,0)),0)*IFERROR(INDEX('D Fleet'!$J$5:$J$36,INT(($B21/G$4))+1)+(($B21/G$4)-INT(($B21/G$4)))*(INDEX('D Fleet'!$J$5:$J$36,INT(($B21/G$4))+2)-INDEX('D Fleet'!$J$5:$J$36,INT(($B21/G$4))+1)),0)</f>
        <v/>
      </c>
      <c r="H21" s="276">
        <f>IFERROR(INDEX('D Fleet'!$C$5:$C$62,MATCH(H$3-$B21,'D Fleet'!$B$5:$B$62,0)),0)*IFERROR(INDEX('D Fleet'!$J$5:$J$36,INT(($B21/H$4))+1)+(($B21/H$4)-INT(($B21/H$4)))*(INDEX('D Fleet'!$J$5:$J$36,INT(($B21/H$4))+2)-INDEX('D Fleet'!$J$5:$J$36,INT(($B21/H$4))+1)),0)</f>
        <v/>
      </c>
      <c r="I21" s="276">
        <f>IFERROR(INDEX('D Fleet'!$C$5:$C$62,MATCH(I$3-$B21,'D Fleet'!$B$5:$B$62,0)),0)*IFERROR(INDEX('D Fleet'!$J$5:$J$36,INT(($B21/I$4))+1)+(($B21/I$4)-INT(($B21/I$4)))*(INDEX('D Fleet'!$J$5:$J$36,INT(($B21/I$4))+2)-INDEX('D Fleet'!$J$5:$J$36,INT(($B21/I$4))+1)),0)</f>
        <v/>
      </c>
      <c r="J21" s="276">
        <f>IFERROR(INDEX('D Fleet'!$C$5:$C$62,MATCH(J$3-$B21,'D Fleet'!$B$5:$B$62,0)),0)*IFERROR(INDEX('D Fleet'!$J$5:$J$36,INT(($B21/J$4))+1)+(($B21/J$4)-INT(($B21/J$4)))*(INDEX('D Fleet'!$J$5:$J$36,INT(($B21/J$4))+2)-INDEX('D Fleet'!$J$5:$J$36,INT(($B21/J$4))+1)),0)</f>
        <v/>
      </c>
      <c r="K21" s="276">
        <f>IFERROR(INDEX('D Fleet'!$C$5:$C$62,MATCH(K$3-$B21,'D Fleet'!$B$5:$B$62,0)),0)*IFERROR(INDEX('D Fleet'!$J$5:$J$36,INT(($B21/K$4))+1)+(($B21/K$4)-INT(($B21/K$4)))*(INDEX('D Fleet'!$J$5:$J$36,INT(($B21/K$4))+2)-INDEX('D Fleet'!$J$5:$J$36,INT(($B21/K$4))+1)),0)</f>
        <v/>
      </c>
      <c r="L21" s="276">
        <f>IFERROR(INDEX('D Fleet'!$C$5:$C$62,MATCH(L$3-$B21,'D Fleet'!$B$5:$B$62,0)),0)*IFERROR(INDEX('D Fleet'!$J$5:$J$36,INT(($B21/L$4))+1)+(($B21/L$4)-INT(($B21/L$4)))*(INDEX('D Fleet'!$J$5:$J$36,INT(($B21/L$4))+2)-INDEX('D Fleet'!$J$5:$J$36,INT(($B21/L$4))+1)),0)</f>
        <v/>
      </c>
      <c r="M21" s="276">
        <f>IFERROR(INDEX('D Fleet'!$C$5:$C$62,MATCH(M$3-$B21,'D Fleet'!$B$5:$B$62,0)),0)*IFERROR(INDEX('D Fleet'!$J$5:$J$36,INT(($B21/M$4))+1)+(($B21/M$4)-INT(($B21/M$4)))*(INDEX('D Fleet'!$J$5:$J$36,INT(($B21/M$4))+2)-INDEX('D Fleet'!$J$5:$J$36,INT(($B21/M$4))+1)),0)</f>
        <v/>
      </c>
      <c r="N21" s="276">
        <f>IFERROR(INDEX('D Fleet'!$C$5:$C$62,MATCH(N$3-$B21,'D Fleet'!$B$5:$B$62,0)),0)*IFERROR(INDEX('D Fleet'!$J$5:$J$36,INT(($B21/N$4))+1)+(($B21/N$4)-INT(($B21/N$4)))*(INDEX('D Fleet'!$J$5:$J$36,INT(($B21/N$4))+2)-INDEX('D Fleet'!$J$5:$J$36,INT(($B21/N$4))+1)),0)</f>
        <v/>
      </c>
      <c r="P21" s="276">
        <f>E21*$D21*'E1 Fleet'!$D$97</f>
        <v/>
      </c>
      <c r="Q21" s="276">
        <f>F21*$D21*'E1 Fleet'!$D$97</f>
        <v/>
      </c>
      <c r="R21" s="276">
        <f>G21*$D21*'E1 Fleet'!$D$97</f>
        <v/>
      </c>
      <c r="S21" s="276">
        <f>H21*$D21*'E1 Fleet'!$D$97</f>
        <v/>
      </c>
      <c r="T21" s="276">
        <f>I21*$D21*'E1 Fleet'!$D$97</f>
        <v/>
      </c>
      <c r="U21" s="276">
        <f>J21*$D21*'E1 Fleet'!$D$97</f>
        <v/>
      </c>
      <c r="V21" s="276">
        <f>K21*$D21*'E1 Fleet'!$D$97</f>
        <v/>
      </c>
      <c r="W21" s="276">
        <f>L21*$D21*'E1 Fleet'!$D$97</f>
        <v/>
      </c>
      <c r="X21" s="276">
        <f>M21*$D21*'E1 Fleet'!$D$97</f>
        <v/>
      </c>
      <c r="Y21" s="276">
        <f>N21*$D21*'E1 Fleet'!$D$97</f>
        <v/>
      </c>
    </row>
    <row r="22">
      <c r="A22" t="inlineStr">
        <is>
          <t>Car</t>
        </is>
      </c>
      <c r="B22" t="n">
        <v>15</v>
      </c>
      <c r="C22" t="n">
        <v>3</v>
      </c>
      <c r="D22" s="275">
        <f>IF($B22=0,'E1 Fleet'!$D$93,1)*EXP(-'E1 Fleet'!$D$94*MAX($B22-6,0))</f>
        <v/>
      </c>
      <c r="E22" s="276">
        <f>IFERROR(INDEX('D Fleet'!$C$5:$C$62,MATCH(E$3-$B22,'D Fleet'!$B$5:$B$62,0)),0)*IFERROR(INDEX('D Fleet'!$J$5:$J$36,INT(($B22/E$4))+1)+(($B22/E$4)-INT(($B22/E$4)))*(INDEX('D Fleet'!$J$5:$J$36,INT(($B22/E$4))+2)-INDEX('D Fleet'!$J$5:$J$36,INT(($B22/E$4))+1)),0)</f>
        <v/>
      </c>
      <c r="F22" s="276">
        <f>IFERROR(INDEX('D Fleet'!$C$5:$C$62,MATCH(F$3-$B22,'D Fleet'!$B$5:$B$62,0)),0)*IFERROR(INDEX('D Fleet'!$J$5:$J$36,INT(($B22/F$4))+1)+(($B22/F$4)-INT(($B22/F$4)))*(INDEX('D Fleet'!$J$5:$J$36,INT(($B22/F$4))+2)-INDEX('D Fleet'!$J$5:$J$36,INT(($B22/F$4))+1)),0)</f>
        <v/>
      </c>
      <c r="G22" s="276">
        <f>IFERROR(INDEX('D Fleet'!$C$5:$C$62,MATCH(G$3-$B22,'D Fleet'!$B$5:$B$62,0)),0)*IFERROR(INDEX('D Fleet'!$J$5:$J$36,INT(($B22/G$4))+1)+(($B22/G$4)-INT(($B22/G$4)))*(INDEX('D Fleet'!$J$5:$J$36,INT(($B22/G$4))+2)-INDEX('D Fleet'!$J$5:$J$36,INT(($B22/G$4))+1)),0)</f>
        <v/>
      </c>
      <c r="H22" s="276">
        <f>IFERROR(INDEX('D Fleet'!$C$5:$C$62,MATCH(H$3-$B22,'D Fleet'!$B$5:$B$62,0)),0)*IFERROR(INDEX('D Fleet'!$J$5:$J$36,INT(($B22/H$4))+1)+(($B22/H$4)-INT(($B22/H$4)))*(INDEX('D Fleet'!$J$5:$J$36,INT(($B22/H$4))+2)-INDEX('D Fleet'!$J$5:$J$36,INT(($B22/H$4))+1)),0)</f>
        <v/>
      </c>
      <c r="I22" s="276">
        <f>IFERROR(INDEX('D Fleet'!$C$5:$C$62,MATCH(I$3-$B22,'D Fleet'!$B$5:$B$62,0)),0)*IFERROR(INDEX('D Fleet'!$J$5:$J$36,INT(($B22/I$4))+1)+(($B22/I$4)-INT(($B22/I$4)))*(INDEX('D Fleet'!$J$5:$J$36,INT(($B22/I$4))+2)-INDEX('D Fleet'!$J$5:$J$36,INT(($B22/I$4))+1)),0)</f>
        <v/>
      </c>
      <c r="J22" s="276">
        <f>IFERROR(INDEX('D Fleet'!$C$5:$C$62,MATCH(J$3-$B22,'D Fleet'!$B$5:$B$62,0)),0)*IFERROR(INDEX('D Fleet'!$J$5:$J$36,INT(($B22/J$4))+1)+(($B22/J$4)-INT(($B22/J$4)))*(INDEX('D Fleet'!$J$5:$J$36,INT(($B22/J$4))+2)-INDEX('D Fleet'!$J$5:$J$36,INT(($B22/J$4))+1)),0)</f>
        <v/>
      </c>
      <c r="K22" s="276">
        <f>IFERROR(INDEX('D Fleet'!$C$5:$C$62,MATCH(K$3-$B22,'D Fleet'!$B$5:$B$62,0)),0)*IFERROR(INDEX('D Fleet'!$J$5:$J$36,INT(($B22/K$4))+1)+(($B22/K$4)-INT(($B22/K$4)))*(INDEX('D Fleet'!$J$5:$J$36,INT(($B22/K$4))+2)-INDEX('D Fleet'!$J$5:$J$36,INT(($B22/K$4))+1)),0)</f>
        <v/>
      </c>
      <c r="L22" s="276">
        <f>IFERROR(INDEX('D Fleet'!$C$5:$C$62,MATCH(L$3-$B22,'D Fleet'!$B$5:$B$62,0)),0)*IFERROR(INDEX('D Fleet'!$J$5:$J$36,INT(($B22/L$4))+1)+(($B22/L$4)-INT(($B22/L$4)))*(INDEX('D Fleet'!$J$5:$J$36,INT(($B22/L$4))+2)-INDEX('D Fleet'!$J$5:$J$36,INT(($B22/L$4))+1)),0)</f>
        <v/>
      </c>
      <c r="M22" s="276">
        <f>IFERROR(INDEX('D Fleet'!$C$5:$C$62,MATCH(M$3-$B22,'D Fleet'!$B$5:$B$62,0)),0)*IFERROR(INDEX('D Fleet'!$J$5:$J$36,INT(($B22/M$4))+1)+(($B22/M$4)-INT(($B22/M$4)))*(INDEX('D Fleet'!$J$5:$J$36,INT(($B22/M$4))+2)-INDEX('D Fleet'!$J$5:$J$36,INT(($B22/M$4))+1)),0)</f>
        <v/>
      </c>
      <c r="N22" s="276">
        <f>IFERROR(INDEX('D Fleet'!$C$5:$C$62,MATCH(N$3-$B22,'D Fleet'!$B$5:$B$62,0)),0)*IFERROR(INDEX('D Fleet'!$J$5:$J$36,INT(($B22/N$4))+1)+(($B22/N$4)-INT(($B22/N$4)))*(INDEX('D Fleet'!$J$5:$J$36,INT(($B22/N$4))+2)-INDEX('D Fleet'!$J$5:$J$36,INT(($B22/N$4))+1)),0)</f>
        <v/>
      </c>
      <c r="P22" s="276">
        <f>E22*$D22*'E1 Fleet'!$D$97</f>
        <v/>
      </c>
      <c r="Q22" s="276">
        <f>F22*$D22*'E1 Fleet'!$D$97</f>
        <v/>
      </c>
      <c r="R22" s="276">
        <f>G22*$D22*'E1 Fleet'!$D$97</f>
        <v/>
      </c>
      <c r="S22" s="276">
        <f>H22*$D22*'E1 Fleet'!$D$97</f>
        <v/>
      </c>
      <c r="T22" s="276">
        <f>I22*$D22*'E1 Fleet'!$D$97</f>
        <v/>
      </c>
      <c r="U22" s="276">
        <f>J22*$D22*'E1 Fleet'!$D$97</f>
        <v/>
      </c>
      <c r="V22" s="276">
        <f>K22*$D22*'E1 Fleet'!$D$97</f>
        <v/>
      </c>
      <c r="W22" s="276">
        <f>L22*$D22*'E1 Fleet'!$D$97</f>
        <v/>
      </c>
      <c r="X22" s="276">
        <f>M22*$D22*'E1 Fleet'!$D$97</f>
        <v/>
      </c>
      <c r="Y22" s="276">
        <f>N22*$D22*'E1 Fleet'!$D$97</f>
        <v/>
      </c>
    </row>
    <row r="23">
      <c r="A23" t="inlineStr">
        <is>
          <t>Car</t>
        </is>
      </c>
      <c r="B23" t="n">
        <v>16</v>
      </c>
      <c r="C23" t="n">
        <v>3</v>
      </c>
      <c r="D23" s="275">
        <f>IF($B23=0,'E1 Fleet'!$D$93,1)*EXP(-'E1 Fleet'!$D$94*MAX($B23-6,0))</f>
        <v/>
      </c>
      <c r="E23" s="276">
        <f>IFERROR(INDEX('D Fleet'!$C$5:$C$62,MATCH(E$3-$B23,'D Fleet'!$B$5:$B$62,0)),0)*IFERROR(INDEX('D Fleet'!$J$5:$J$36,INT(($B23/E$4))+1)+(($B23/E$4)-INT(($B23/E$4)))*(INDEX('D Fleet'!$J$5:$J$36,INT(($B23/E$4))+2)-INDEX('D Fleet'!$J$5:$J$36,INT(($B23/E$4))+1)),0)</f>
        <v/>
      </c>
      <c r="F23" s="276">
        <f>IFERROR(INDEX('D Fleet'!$C$5:$C$62,MATCH(F$3-$B23,'D Fleet'!$B$5:$B$62,0)),0)*IFERROR(INDEX('D Fleet'!$J$5:$J$36,INT(($B23/F$4))+1)+(($B23/F$4)-INT(($B23/F$4)))*(INDEX('D Fleet'!$J$5:$J$36,INT(($B23/F$4))+2)-INDEX('D Fleet'!$J$5:$J$36,INT(($B23/F$4))+1)),0)</f>
        <v/>
      </c>
      <c r="G23" s="276">
        <f>IFERROR(INDEX('D Fleet'!$C$5:$C$62,MATCH(G$3-$B23,'D Fleet'!$B$5:$B$62,0)),0)*IFERROR(INDEX('D Fleet'!$J$5:$J$36,INT(($B23/G$4))+1)+(($B23/G$4)-INT(($B23/G$4)))*(INDEX('D Fleet'!$J$5:$J$36,INT(($B23/G$4))+2)-INDEX('D Fleet'!$J$5:$J$36,INT(($B23/G$4))+1)),0)</f>
        <v/>
      </c>
      <c r="H23" s="276">
        <f>IFERROR(INDEX('D Fleet'!$C$5:$C$62,MATCH(H$3-$B23,'D Fleet'!$B$5:$B$62,0)),0)*IFERROR(INDEX('D Fleet'!$J$5:$J$36,INT(($B23/H$4))+1)+(($B23/H$4)-INT(($B23/H$4)))*(INDEX('D Fleet'!$J$5:$J$36,INT(($B23/H$4))+2)-INDEX('D Fleet'!$J$5:$J$36,INT(($B23/H$4))+1)),0)</f>
        <v/>
      </c>
      <c r="I23" s="276">
        <f>IFERROR(INDEX('D Fleet'!$C$5:$C$62,MATCH(I$3-$B23,'D Fleet'!$B$5:$B$62,0)),0)*IFERROR(INDEX('D Fleet'!$J$5:$J$36,INT(($B23/I$4))+1)+(($B23/I$4)-INT(($B23/I$4)))*(INDEX('D Fleet'!$J$5:$J$36,INT(($B23/I$4))+2)-INDEX('D Fleet'!$J$5:$J$36,INT(($B23/I$4))+1)),0)</f>
        <v/>
      </c>
      <c r="J23" s="276">
        <f>IFERROR(INDEX('D Fleet'!$C$5:$C$62,MATCH(J$3-$B23,'D Fleet'!$B$5:$B$62,0)),0)*IFERROR(INDEX('D Fleet'!$J$5:$J$36,INT(($B23/J$4))+1)+(($B23/J$4)-INT(($B23/J$4)))*(INDEX('D Fleet'!$J$5:$J$36,INT(($B23/J$4))+2)-INDEX('D Fleet'!$J$5:$J$36,INT(($B23/J$4))+1)),0)</f>
        <v/>
      </c>
      <c r="K23" s="276">
        <f>IFERROR(INDEX('D Fleet'!$C$5:$C$62,MATCH(K$3-$B23,'D Fleet'!$B$5:$B$62,0)),0)*IFERROR(INDEX('D Fleet'!$J$5:$J$36,INT(($B23/K$4))+1)+(($B23/K$4)-INT(($B23/K$4)))*(INDEX('D Fleet'!$J$5:$J$36,INT(($B23/K$4))+2)-INDEX('D Fleet'!$J$5:$J$36,INT(($B23/K$4))+1)),0)</f>
        <v/>
      </c>
      <c r="L23" s="276">
        <f>IFERROR(INDEX('D Fleet'!$C$5:$C$62,MATCH(L$3-$B23,'D Fleet'!$B$5:$B$62,0)),0)*IFERROR(INDEX('D Fleet'!$J$5:$J$36,INT(($B23/L$4))+1)+(($B23/L$4)-INT(($B23/L$4)))*(INDEX('D Fleet'!$J$5:$J$36,INT(($B23/L$4))+2)-INDEX('D Fleet'!$J$5:$J$36,INT(($B23/L$4))+1)),0)</f>
        <v/>
      </c>
      <c r="M23" s="276">
        <f>IFERROR(INDEX('D Fleet'!$C$5:$C$62,MATCH(M$3-$B23,'D Fleet'!$B$5:$B$62,0)),0)*IFERROR(INDEX('D Fleet'!$J$5:$J$36,INT(($B23/M$4))+1)+(($B23/M$4)-INT(($B23/M$4)))*(INDEX('D Fleet'!$J$5:$J$36,INT(($B23/M$4))+2)-INDEX('D Fleet'!$J$5:$J$36,INT(($B23/M$4))+1)),0)</f>
        <v/>
      </c>
      <c r="N23" s="276">
        <f>IFERROR(INDEX('D Fleet'!$C$5:$C$62,MATCH(N$3-$B23,'D Fleet'!$B$5:$B$62,0)),0)*IFERROR(INDEX('D Fleet'!$J$5:$J$36,INT(($B23/N$4))+1)+(($B23/N$4)-INT(($B23/N$4)))*(INDEX('D Fleet'!$J$5:$J$36,INT(($B23/N$4))+2)-INDEX('D Fleet'!$J$5:$J$36,INT(($B23/N$4))+1)),0)</f>
        <v/>
      </c>
      <c r="P23" s="276">
        <f>E23*$D23*'E1 Fleet'!$D$97</f>
        <v/>
      </c>
      <c r="Q23" s="276">
        <f>F23*$D23*'E1 Fleet'!$D$97</f>
        <v/>
      </c>
      <c r="R23" s="276">
        <f>G23*$D23*'E1 Fleet'!$D$97</f>
        <v/>
      </c>
      <c r="S23" s="276">
        <f>H23*$D23*'E1 Fleet'!$D$97</f>
        <v/>
      </c>
      <c r="T23" s="276">
        <f>I23*$D23*'E1 Fleet'!$D$97</f>
        <v/>
      </c>
      <c r="U23" s="276">
        <f>J23*$D23*'E1 Fleet'!$D$97</f>
        <v/>
      </c>
      <c r="V23" s="276">
        <f>K23*$D23*'E1 Fleet'!$D$97</f>
        <v/>
      </c>
      <c r="W23" s="276">
        <f>L23*$D23*'E1 Fleet'!$D$97</f>
        <v/>
      </c>
      <c r="X23" s="276">
        <f>M23*$D23*'E1 Fleet'!$D$97</f>
        <v/>
      </c>
      <c r="Y23" s="276">
        <f>N23*$D23*'E1 Fleet'!$D$97</f>
        <v/>
      </c>
    </row>
    <row r="24">
      <c r="A24" t="inlineStr">
        <is>
          <t>Car</t>
        </is>
      </c>
      <c r="B24" t="n">
        <v>17</v>
      </c>
      <c r="C24" t="n">
        <v>3</v>
      </c>
      <c r="D24" s="275">
        <f>IF($B24=0,'E1 Fleet'!$D$93,1)*EXP(-'E1 Fleet'!$D$94*MAX($B24-6,0))</f>
        <v/>
      </c>
      <c r="E24" s="276">
        <f>IFERROR(INDEX('D Fleet'!$C$5:$C$62,MATCH(E$3-$B24,'D Fleet'!$B$5:$B$62,0)),0)*IFERROR(INDEX('D Fleet'!$J$5:$J$36,INT(($B24/E$4))+1)+(($B24/E$4)-INT(($B24/E$4)))*(INDEX('D Fleet'!$J$5:$J$36,INT(($B24/E$4))+2)-INDEX('D Fleet'!$J$5:$J$36,INT(($B24/E$4))+1)),0)</f>
        <v/>
      </c>
      <c r="F24" s="276">
        <f>IFERROR(INDEX('D Fleet'!$C$5:$C$62,MATCH(F$3-$B24,'D Fleet'!$B$5:$B$62,0)),0)*IFERROR(INDEX('D Fleet'!$J$5:$J$36,INT(($B24/F$4))+1)+(($B24/F$4)-INT(($B24/F$4)))*(INDEX('D Fleet'!$J$5:$J$36,INT(($B24/F$4))+2)-INDEX('D Fleet'!$J$5:$J$36,INT(($B24/F$4))+1)),0)</f>
        <v/>
      </c>
      <c r="G24" s="276">
        <f>IFERROR(INDEX('D Fleet'!$C$5:$C$62,MATCH(G$3-$B24,'D Fleet'!$B$5:$B$62,0)),0)*IFERROR(INDEX('D Fleet'!$J$5:$J$36,INT(($B24/G$4))+1)+(($B24/G$4)-INT(($B24/G$4)))*(INDEX('D Fleet'!$J$5:$J$36,INT(($B24/G$4))+2)-INDEX('D Fleet'!$J$5:$J$36,INT(($B24/G$4))+1)),0)</f>
        <v/>
      </c>
      <c r="H24" s="276">
        <f>IFERROR(INDEX('D Fleet'!$C$5:$C$62,MATCH(H$3-$B24,'D Fleet'!$B$5:$B$62,0)),0)*IFERROR(INDEX('D Fleet'!$J$5:$J$36,INT(($B24/H$4))+1)+(($B24/H$4)-INT(($B24/H$4)))*(INDEX('D Fleet'!$J$5:$J$36,INT(($B24/H$4))+2)-INDEX('D Fleet'!$J$5:$J$36,INT(($B24/H$4))+1)),0)</f>
        <v/>
      </c>
      <c r="I24" s="276">
        <f>IFERROR(INDEX('D Fleet'!$C$5:$C$62,MATCH(I$3-$B24,'D Fleet'!$B$5:$B$62,0)),0)*IFERROR(INDEX('D Fleet'!$J$5:$J$36,INT(($B24/I$4))+1)+(($B24/I$4)-INT(($B24/I$4)))*(INDEX('D Fleet'!$J$5:$J$36,INT(($B24/I$4))+2)-INDEX('D Fleet'!$J$5:$J$36,INT(($B24/I$4))+1)),0)</f>
        <v/>
      </c>
      <c r="J24" s="276">
        <f>IFERROR(INDEX('D Fleet'!$C$5:$C$62,MATCH(J$3-$B24,'D Fleet'!$B$5:$B$62,0)),0)*IFERROR(INDEX('D Fleet'!$J$5:$J$36,INT(($B24/J$4))+1)+(($B24/J$4)-INT(($B24/J$4)))*(INDEX('D Fleet'!$J$5:$J$36,INT(($B24/J$4))+2)-INDEX('D Fleet'!$J$5:$J$36,INT(($B24/J$4))+1)),0)</f>
        <v/>
      </c>
      <c r="K24" s="276">
        <f>IFERROR(INDEX('D Fleet'!$C$5:$C$62,MATCH(K$3-$B24,'D Fleet'!$B$5:$B$62,0)),0)*IFERROR(INDEX('D Fleet'!$J$5:$J$36,INT(($B24/K$4))+1)+(($B24/K$4)-INT(($B24/K$4)))*(INDEX('D Fleet'!$J$5:$J$36,INT(($B24/K$4))+2)-INDEX('D Fleet'!$J$5:$J$36,INT(($B24/K$4))+1)),0)</f>
        <v/>
      </c>
      <c r="L24" s="276">
        <f>IFERROR(INDEX('D Fleet'!$C$5:$C$62,MATCH(L$3-$B24,'D Fleet'!$B$5:$B$62,0)),0)*IFERROR(INDEX('D Fleet'!$J$5:$J$36,INT(($B24/L$4))+1)+(($B24/L$4)-INT(($B24/L$4)))*(INDEX('D Fleet'!$J$5:$J$36,INT(($B24/L$4))+2)-INDEX('D Fleet'!$J$5:$J$36,INT(($B24/L$4))+1)),0)</f>
        <v/>
      </c>
      <c r="M24" s="276">
        <f>IFERROR(INDEX('D Fleet'!$C$5:$C$62,MATCH(M$3-$B24,'D Fleet'!$B$5:$B$62,0)),0)*IFERROR(INDEX('D Fleet'!$J$5:$J$36,INT(($B24/M$4))+1)+(($B24/M$4)-INT(($B24/M$4)))*(INDEX('D Fleet'!$J$5:$J$36,INT(($B24/M$4))+2)-INDEX('D Fleet'!$J$5:$J$36,INT(($B24/M$4))+1)),0)</f>
        <v/>
      </c>
      <c r="N24" s="276">
        <f>IFERROR(INDEX('D Fleet'!$C$5:$C$62,MATCH(N$3-$B24,'D Fleet'!$B$5:$B$62,0)),0)*IFERROR(INDEX('D Fleet'!$J$5:$J$36,INT(($B24/N$4))+1)+(($B24/N$4)-INT(($B24/N$4)))*(INDEX('D Fleet'!$J$5:$J$36,INT(($B24/N$4))+2)-INDEX('D Fleet'!$J$5:$J$36,INT(($B24/N$4))+1)),0)</f>
        <v/>
      </c>
      <c r="P24" s="276">
        <f>E24*$D24*'E1 Fleet'!$D$97</f>
        <v/>
      </c>
      <c r="Q24" s="276">
        <f>F24*$D24*'E1 Fleet'!$D$97</f>
        <v/>
      </c>
      <c r="R24" s="276">
        <f>G24*$D24*'E1 Fleet'!$D$97</f>
        <v/>
      </c>
      <c r="S24" s="276">
        <f>H24*$D24*'E1 Fleet'!$D$97</f>
        <v/>
      </c>
      <c r="T24" s="276">
        <f>I24*$D24*'E1 Fleet'!$D$97</f>
        <v/>
      </c>
      <c r="U24" s="276">
        <f>J24*$D24*'E1 Fleet'!$D$97</f>
        <v/>
      </c>
      <c r="V24" s="276">
        <f>K24*$D24*'E1 Fleet'!$D$97</f>
        <v/>
      </c>
      <c r="W24" s="276">
        <f>L24*$D24*'E1 Fleet'!$D$97</f>
        <v/>
      </c>
      <c r="X24" s="276">
        <f>M24*$D24*'E1 Fleet'!$D$97</f>
        <v/>
      </c>
      <c r="Y24" s="276">
        <f>N24*$D24*'E1 Fleet'!$D$97</f>
        <v/>
      </c>
    </row>
    <row r="25">
      <c r="A25" t="inlineStr">
        <is>
          <t>Car</t>
        </is>
      </c>
      <c r="B25" t="n">
        <v>18</v>
      </c>
      <c r="C25" t="n">
        <v>3</v>
      </c>
      <c r="D25" s="275">
        <f>IF($B25=0,'E1 Fleet'!$D$93,1)*EXP(-'E1 Fleet'!$D$94*MAX($B25-6,0))</f>
        <v/>
      </c>
      <c r="E25" s="276">
        <f>IFERROR(INDEX('D Fleet'!$C$5:$C$62,MATCH(E$3-$B25,'D Fleet'!$B$5:$B$62,0)),0)*IFERROR(INDEX('D Fleet'!$J$5:$J$36,INT(($B25/E$4))+1)+(($B25/E$4)-INT(($B25/E$4)))*(INDEX('D Fleet'!$J$5:$J$36,INT(($B25/E$4))+2)-INDEX('D Fleet'!$J$5:$J$36,INT(($B25/E$4))+1)),0)</f>
        <v/>
      </c>
      <c r="F25" s="276">
        <f>IFERROR(INDEX('D Fleet'!$C$5:$C$62,MATCH(F$3-$B25,'D Fleet'!$B$5:$B$62,0)),0)*IFERROR(INDEX('D Fleet'!$J$5:$J$36,INT(($B25/F$4))+1)+(($B25/F$4)-INT(($B25/F$4)))*(INDEX('D Fleet'!$J$5:$J$36,INT(($B25/F$4))+2)-INDEX('D Fleet'!$J$5:$J$36,INT(($B25/F$4))+1)),0)</f>
        <v/>
      </c>
      <c r="G25" s="276">
        <f>IFERROR(INDEX('D Fleet'!$C$5:$C$62,MATCH(G$3-$B25,'D Fleet'!$B$5:$B$62,0)),0)*IFERROR(INDEX('D Fleet'!$J$5:$J$36,INT(($B25/G$4))+1)+(($B25/G$4)-INT(($B25/G$4)))*(INDEX('D Fleet'!$J$5:$J$36,INT(($B25/G$4))+2)-INDEX('D Fleet'!$J$5:$J$36,INT(($B25/G$4))+1)),0)</f>
        <v/>
      </c>
      <c r="H25" s="276">
        <f>IFERROR(INDEX('D Fleet'!$C$5:$C$62,MATCH(H$3-$B25,'D Fleet'!$B$5:$B$62,0)),0)*IFERROR(INDEX('D Fleet'!$J$5:$J$36,INT(($B25/H$4))+1)+(($B25/H$4)-INT(($B25/H$4)))*(INDEX('D Fleet'!$J$5:$J$36,INT(($B25/H$4))+2)-INDEX('D Fleet'!$J$5:$J$36,INT(($B25/H$4))+1)),0)</f>
        <v/>
      </c>
      <c r="I25" s="276">
        <f>IFERROR(INDEX('D Fleet'!$C$5:$C$62,MATCH(I$3-$B25,'D Fleet'!$B$5:$B$62,0)),0)*IFERROR(INDEX('D Fleet'!$J$5:$J$36,INT(($B25/I$4))+1)+(($B25/I$4)-INT(($B25/I$4)))*(INDEX('D Fleet'!$J$5:$J$36,INT(($B25/I$4))+2)-INDEX('D Fleet'!$J$5:$J$36,INT(($B25/I$4))+1)),0)</f>
        <v/>
      </c>
      <c r="J25" s="276">
        <f>IFERROR(INDEX('D Fleet'!$C$5:$C$62,MATCH(J$3-$B25,'D Fleet'!$B$5:$B$62,0)),0)*IFERROR(INDEX('D Fleet'!$J$5:$J$36,INT(($B25/J$4))+1)+(($B25/J$4)-INT(($B25/J$4)))*(INDEX('D Fleet'!$J$5:$J$36,INT(($B25/J$4))+2)-INDEX('D Fleet'!$J$5:$J$36,INT(($B25/J$4))+1)),0)</f>
        <v/>
      </c>
      <c r="K25" s="276">
        <f>IFERROR(INDEX('D Fleet'!$C$5:$C$62,MATCH(K$3-$B25,'D Fleet'!$B$5:$B$62,0)),0)*IFERROR(INDEX('D Fleet'!$J$5:$J$36,INT(($B25/K$4))+1)+(($B25/K$4)-INT(($B25/K$4)))*(INDEX('D Fleet'!$J$5:$J$36,INT(($B25/K$4))+2)-INDEX('D Fleet'!$J$5:$J$36,INT(($B25/K$4))+1)),0)</f>
        <v/>
      </c>
      <c r="L25" s="276">
        <f>IFERROR(INDEX('D Fleet'!$C$5:$C$62,MATCH(L$3-$B25,'D Fleet'!$B$5:$B$62,0)),0)*IFERROR(INDEX('D Fleet'!$J$5:$J$36,INT(($B25/L$4))+1)+(($B25/L$4)-INT(($B25/L$4)))*(INDEX('D Fleet'!$J$5:$J$36,INT(($B25/L$4))+2)-INDEX('D Fleet'!$J$5:$J$36,INT(($B25/L$4))+1)),0)</f>
        <v/>
      </c>
      <c r="M25" s="276">
        <f>IFERROR(INDEX('D Fleet'!$C$5:$C$62,MATCH(M$3-$B25,'D Fleet'!$B$5:$B$62,0)),0)*IFERROR(INDEX('D Fleet'!$J$5:$J$36,INT(($B25/M$4))+1)+(($B25/M$4)-INT(($B25/M$4)))*(INDEX('D Fleet'!$J$5:$J$36,INT(($B25/M$4))+2)-INDEX('D Fleet'!$J$5:$J$36,INT(($B25/M$4))+1)),0)</f>
        <v/>
      </c>
      <c r="N25" s="276">
        <f>IFERROR(INDEX('D Fleet'!$C$5:$C$62,MATCH(N$3-$B25,'D Fleet'!$B$5:$B$62,0)),0)*IFERROR(INDEX('D Fleet'!$J$5:$J$36,INT(($B25/N$4))+1)+(($B25/N$4)-INT(($B25/N$4)))*(INDEX('D Fleet'!$J$5:$J$36,INT(($B25/N$4))+2)-INDEX('D Fleet'!$J$5:$J$36,INT(($B25/N$4))+1)),0)</f>
        <v/>
      </c>
      <c r="P25" s="276">
        <f>E25*$D25*'E1 Fleet'!$D$97</f>
        <v/>
      </c>
      <c r="Q25" s="276">
        <f>F25*$D25*'E1 Fleet'!$D$97</f>
        <v/>
      </c>
      <c r="R25" s="276">
        <f>G25*$D25*'E1 Fleet'!$D$97</f>
        <v/>
      </c>
      <c r="S25" s="276">
        <f>H25*$D25*'E1 Fleet'!$D$97</f>
        <v/>
      </c>
      <c r="T25" s="276">
        <f>I25*$D25*'E1 Fleet'!$D$97</f>
        <v/>
      </c>
      <c r="U25" s="276">
        <f>J25*$D25*'E1 Fleet'!$D$97</f>
        <v/>
      </c>
      <c r="V25" s="276">
        <f>K25*$D25*'E1 Fleet'!$D$97</f>
        <v/>
      </c>
      <c r="W25" s="276">
        <f>L25*$D25*'E1 Fleet'!$D$97</f>
        <v/>
      </c>
      <c r="X25" s="276">
        <f>M25*$D25*'E1 Fleet'!$D$97</f>
        <v/>
      </c>
      <c r="Y25" s="276">
        <f>N25*$D25*'E1 Fleet'!$D$97</f>
        <v/>
      </c>
    </row>
    <row r="26">
      <c r="A26" t="inlineStr">
        <is>
          <t>Car</t>
        </is>
      </c>
      <c r="B26" t="n">
        <v>19</v>
      </c>
      <c r="C26" t="n">
        <v>3</v>
      </c>
      <c r="D26" s="275">
        <f>IF($B26=0,'E1 Fleet'!$D$93,1)*EXP(-'E1 Fleet'!$D$94*MAX($B26-6,0))</f>
        <v/>
      </c>
      <c r="E26" s="276">
        <f>IFERROR(INDEX('D Fleet'!$C$5:$C$62,MATCH(E$3-$B26,'D Fleet'!$B$5:$B$62,0)),0)*IFERROR(INDEX('D Fleet'!$J$5:$J$36,INT(($B26/E$4))+1)+(($B26/E$4)-INT(($B26/E$4)))*(INDEX('D Fleet'!$J$5:$J$36,INT(($B26/E$4))+2)-INDEX('D Fleet'!$J$5:$J$36,INT(($B26/E$4))+1)),0)</f>
        <v/>
      </c>
      <c r="F26" s="276">
        <f>IFERROR(INDEX('D Fleet'!$C$5:$C$62,MATCH(F$3-$B26,'D Fleet'!$B$5:$B$62,0)),0)*IFERROR(INDEX('D Fleet'!$J$5:$J$36,INT(($B26/F$4))+1)+(($B26/F$4)-INT(($B26/F$4)))*(INDEX('D Fleet'!$J$5:$J$36,INT(($B26/F$4))+2)-INDEX('D Fleet'!$J$5:$J$36,INT(($B26/F$4))+1)),0)</f>
        <v/>
      </c>
      <c r="G26" s="276">
        <f>IFERROR(INDEX('D Fleet'!$C$5:$C$62,MATCH(G$3-$B26,'D Fleet'!$B$5:$B$62,0)),0)*IFERROR(INDEX('D Fleet'!$J$5:$J$36,INT(($B26/G$4))+1)+(($B26/G$4)-INT(($B26/G$4)))*(INDEX('D Fleet'!$J$5:$J$36,INT(($B26/G$4))+2)-INDEX('D Fleet'!$J$5:$J$36,INT(($B26/G$4))+1)),0)</f>
        <v/>
      </c>
      <c r="H26" s="276">
        <f>IFERROR(INDEX('D Fleet'!$C$5:$C$62,MATCH(H$3-$B26,'D Fleet'!$B$5:$B$62,0)),0)*IFERROR(INDEX('D Fleet'!$J$5:$J$36,INT(($B26/H$4))+1)+(($B26/H$4)-INT(($B26/H$4)))*(INDEX('D Fleet'!$J$5:$J$36,INT(($B26/H$4))+2)-INDEX('D Fleet'!$J$5:$J$36,INT(($B26/H$4))+1)),0)</f>
        <v/>
      </c>
      <c r="I26" s="276">
        <f>IFERROR(INDEX('D Fleet'!$C$5:$C$62,MATCH(I$3-$B26,'D Fleet'!$B$5:$B$62,0)),0)*IFERROR(INDEX('D Fleet'!$J$5:$J$36,INT(($B26/I$4))+1)+(($B26/I$4)-INT(($B26/I$4)))*(INDEX('D Fleet'!$J$5:$J$36,INT(($B26/I$4))+2)-INDEX('D Fleet'!$J$5:$J$36,INT(($B26/I$4))+1)),0)</f>
        <v/>
      </c>
      <c r="J26" s="276">
        <f>IFERROR(INDEX('D Fleet'!$C$5:$C$62,MATCH(J$3-$B26,'D Fleet'!$B$5:$B$62,0)),0)*IFERROR(INDEX('D Fleet'!$J$5:$J$36,INT(($B26/J$4))+1)+(($B26/J$4)-INT(($B26/J$4)))*(INDEX('D Fleet'!$J$5:$J$36,INT(($B26/J$4))+2)-INDEX('D Fleet'!$J$5:$J$36,INT(($B26/J$4))+1)),0)</f>
        <v/>
      </c>
      <c r="K26" s="276">
        <f>IFERROR(INDEX('D Fleet'!$C$5:$C$62,MATCH(K$3-$B26,'D Fleet'!$B$5:$B$62,0)),0)*IFERROR(INDEX('D Fleet'!$J$5:$J$36,INT(($B26/K$4))+1)+(($B26/K$4)-INT(($B26/K$4)))*(INDEX('D Fleet'!$J$5:$J$36,INT(($B26/K$4))+2)-INDEX('D Fleet'!$J$5:$J$36,INT(($B26/K$4))+1)),0)</f>
        <v/>
      </c>
      <c r="L26" s="276">
        <f>IFERROR(INDEX('D Fleet'!$C$5:$C$62,MATCH(L$3-$B26,'D Fleet'!$B$5:$B$62,0)),0)*IFERROR(INDEX('D Fleet'!$J$5:$J$36,INT(($B26/L$4))+1)+(($B26/L$4)-INT(($B26/L$4)))*(INDEX('D Fleet'!$J$5:$J$36,INT(($B26/L$4))+2)-INDEX('D Fleet'!$J$5:$J$36,INT(($B26/L$4))+1)),0)</f>
        <v/>
      </c>
      <c r="M26" s="276">
        <f>IFERROR(INDEX('D Fleet'!$C$5:$C$62,MATCH(M$3-$B26,'D Fleet'!$B$5:$B$62,0)),0)*IFERROR(INDEX('D Fleet'!$J$5:$J$36,INT(($B26/M$4))+1)+(($B26/M$4)-INT(($B26/M$4)))*(INDEX('D Fleet'!$J$5:$J$36,INT(($B26/M$4))+2)-INDEX('D Fleet'!$J$5:$J$36,INT(($B26/M$4))+1)),0)</f>
        <v/>
      </c>
      <c r="N26" s="276">
        <f>IFERROR(INDEX('D Fleet'!$C$5:$C$62,MATCH(N$3-$B26,'D Fleet'!$B$5:$B$62,0)),0)*IFERROR(INDEX('D Fleet'!$J$5:$J$36,INT(($B26/N$4))+1)+(($B26/N$4)-INT(($B26/N$4)))*(INDEX('D Fleet'!$J$5:$J$36,INT(($B26/N$4))+2)-INDEX('D Fleet'!$J$5:$J$36,INT(($B26/N$4))+1)),0)</f>
        <v/>
      </c>
      <c r="P26" s="276">
        <f>E26*$D26*'E1 Fleet'!$D$97</f>
        <v/>
      </c>
      <c r="Q26" s="276">
        <f>F26*$D26*'E1 Fleet'!$D$97</f>
        <v/>
      </c>
      <c r="R26" s="276">
        <f>G26*$D26*'E1 Fleet'!$D$97</f>
        <v/>
      </c>
      <c r="S26" s="276">
        <f>H26*$D26*'E1 Fleet'!$D$97</f>
        <v/>
      </c>
      <c r="T26" s="276">
        <f>I26*$D26*'E1 Fleet'!$D$97</f>
        <v/>
      </c>
      <c r="U26" s="276">
        <f>J26*$D26*'E1 Fleet'!$D$97</f>
        <v/>
      </c>
      <c r="V26" s="276">
        <f>K26*$D26*'E1 Fleet'!$D$97</f>
        <v/>
      </c>
      <c r="W26" s="276">
        <f>L26*$D26*'E1 Fleet'!$D$97</f>
        <v/>
      </c>
      <c r="X26" s="276">
        <f>M26*$D26*'E1 Fleet'!$D$97</f>
        <v/>
      </c>
      <c r="Y26" s="276">
        <f>N26*$D26*'E1 Fleet'!$D$97</f>
        <v/>
      </c>
    </row>
    <row r="27">
      <c r="A27" t="inlineStr">
        <is>
          <t>Car</t>
        </is>
      </c>
      <c r="B27" t="n">
        <v>20</v>
      </c>
      <c r="C27" t="n">
        <v>3</v>
      </c>
      <c r="D27" s="275">
        <f>IF($B27=0,'E1 Fleet'!$D$93,1)*EXP(-'E1 Fleet'!$D$94*MAX($B27-6,0))</f>
        <v/>
      </c>
      <c r="E27" s="276">
        <f>IFERROR(INDEX('D Fleet'!$C$5:$C$62,MATCH(E$3-$B27,'D Fleet'!$B$5:$B$62,0)),0)*IFERROR(INDEX('D Fleet'!$J$5:$J$36,INT(($B27/E$4))+1)+(($B27/E$4)-INT(($B27/E$4)))*(INDEX('D Fleet'!$J$5:$J$36,INT(($B27/E$4))+2)-INDEX('D Fleet'!$J$5:$J$36,INT(($B27/E$4))+1)),0)</f>
        <v/>
      </c>
      <c r="F27" s="276">
        <f>IFERROR(INDEX('D Fleet'!$C$5:$C$62,MATCH(F$3-$B27,'D Fleet'!$B$5:$B$62,0)),0)*IFERROR(INDEX('D Fleet'!$J$5:$J$36,INT(($B27/F$4))+1)+(($B27/F$4)-INT(($B27/F$4)))*(INDEX('D Fleet'!$J$5:$J$36,INT(($B27/F$4))+2)-INDEX('D Fleet'!$J$5:$J$36,INT(($B27/F$4))+1)),0)</f>
        <v/>
      </c>
      <c r="G27" s="276">
        <f>IFERROR(INDEX('D Fleet'!$C$5:$C$62,MATCH(G$3-$B27,'D Fleet'!$B$5:$B$62,0)),0)*IFERROR(INDEX('D Fleet'!$J$5:$J$36,INT(($B27/G$4))+1)+(($B27/G$4)-INT(($B27/G$4)))*(INDEX('D Fleet'!$J$5:$J$36,INT(($B27/G$4))+2)-INDEX('D Fleet'!$J$5:$J$36,INT(($B27/G$4))+1)),0)</f>
        <v/>
      </c>
      <c r="H27" s="276">
        <f>IFERROR(INDEX('D Fleet'!$C$5:$C$62,MATCH(H$3-$B27,'D Fleet'!$B$5:$B$62,0)),0)*IFERROR(INDEX('D Fleet'!$J$5:$J$36,INT(($B27/H$4))+1)+(($B27/H$4)-INT(($B27/H$4)))*(INDEX('D Fleet'!$J$5:$J$36,INT(($B27/H$4))+2)-INDEX('D Fleet'!$J$5:$J$36,INT(($B27/H$4))+1)),0)</f>
        <v/>
      </c>
      <c r="I27" s="276">
        <f>IFERROR(INDEX('D Fleet'!$C$5:$C$62,MATCH(I$3-$B27,'D Fleet'!$B$5:$B$62,0)),0)*IFERROR(INDEX('D Fleet'!$J$5:$J$36,INT(($B27/I$4))+1)+(($B27/I$4)-INT(($B27/I$4)))*(INDEX('D Fleet'!$J$5:$J$36,INT(($B27/I$4))+2)-INDEX('D Fleet'!$J$5:$J$36,INT(($B27/I$4))+1)),0)</f>
        <v/>
      </c>
      <c r="J27" s="276">
        <f>IFERROR(INDEX('D Fleet'!$C$5:$C$62,MATCH(J$3-$B27,'D Fleet'!$B$5:$B$62,0)),0)*IFERROR(INDEX('D Fleet'!$J$5:$J$36,INT(($B27/J$4))+1)+(($B27/J$4)-INT(($B27/J$4)))*(INDEX('D Fleet'!$J$5:$J$36,INT(($B27/J$4))+2)-INDEX('D Fleet'!$J$5:$J$36,INT(($B27/J$4))+1)),0)</f>
        <v/>
      </c>
      <c r="K27" s="276">
        <f>IFERROR(INDEX('D Fleet'!$C$5:$C$62,MATCH(K$3-$B27,'D Fleet'!$B$5:$B$62,0)),0)*IFERROR(INDEX('D Fleet'!$J$5:$J$36,INT(($B27/K$4))+1)+(($B27/K$4)-INT(($B27/K$4)))*(INDEX('D Fleet'!$J$5:$J$36,INT(($B27/K$4))+2)-INDEX('D Fleet'!$J$5:$J$36,INT(($B27/K$4))+1)),0)</f>
        <v/>
      </c>
      <c r="L27" s="276">
        <f>IFERROR(INDEX('D Fleet'!$C$5:$C$62,MATCH(L$3-$B27,'D Fleet'!$B$5:$B$62,0)),0)*IFERROR(INDEX('D Fleet'!$J$5:$J$36,INT(($B27/L$4))+1)+(($B27/L$4)-INT(($B27/L$4)))*(INDEX('D Fleet'!$J$5:$J$36,INT(($B27/L$4))+2)-INDEX('D Fleet'!$J$5:$J$36,INT(($B27/L$4))+1)),0)</f>
        <v/>
      </c>
      <c r="M27" s="276">
        <f>IFERROR(INDEX('D Fleet'!$C$5:$C$62,MATCH(M$3-$B27,'D Fleet'!$B$5:$B$62,0)),0)*IFERROR(INDEX('D Fleet'!$J$5:$J$36,INT(($B27/M$4))+1)+(($B27/M$4)-INT(($B27/M$4)))*(INDEX('D Fleet'!$J$5:$J$36,INT(($B27/M$4))+2)-INDEX('D Fleet'!$J$5:$J$36,INT(($B27/M$4))+1)),0)</f>
        <v/>
      </c>
      <c r="N27" s="276">
        <f>IFERROR(INDEX('D Fleet'!$C$5:$C$62,MATCH(N$3-$B27,'D Fleet'!$B$5:$B$62,0)),0)*IFERROR(INDEX('D Fleet'!$J$5:$J$36,INT(($B27/N$4))+1)+(($B27/N$4)-INT(($B27/N$4)))*(INDEX('D Fleet'!$J$5:$J$36,INT(($B27/N$4))+2)-INDEX('D Fleet'!$J$5:$J$36,INT(($B27/N$4))+1)),0)</f>
        <v/>
      </c>
      <c r="P27" s="276">
        <f>E27*$D27*'E1 Fleet'!$D$97</f>
        <v/>
      </c>
      <c r="Q27" s="276">
        <f>F27*$D27*'E1 Fleet'!$D$97</f>
        <v/>
      </c>
      <c r="R27" s="276">
        <f>G27*$D27*'E1 Fleet'!$D$97</f>
        <v/>
      </c>
      <c r="S27" s="276">
        <f>H27*$D27*'E1 Fleet'!$D$97</f>
        <v/>
      </c>
      <c r="T27" s="276">
        <f>I27*$D27*'E1 Fleet'!$D$97</f>
        <v/>
      </c>
      <c r="U27" s="276">
        <f>J27*$D27*'E1 Fleet'!$D$97</f>
        <v/>
      </c>
      <c r="V27" s="276">
        <f>K27*$D27*'E1 Fleet'!$D$97</f>
        <v/>
      </c>
      <c r="W27" s="276">
        <f>L27*$D27*'E1 Fleet'!$D$97</f>
        <v/>
      </c>
      <c r="X27" s="276">
        <f>M27*$D27*'E1 Fleet'!$D$97</f>
        <v/>
      </c>
      <c r="Y27" s="276">
        <f>N27*$D27*'E1 Fleet'!$D$97</f>
        <v/>
      </c>
    </row>
    <row r="28">
      <c r="A28" t="inlineStr">
        <is>
          <t>Car</t>
        </is>
      </c>
      <c r="B28" t="n">
        <v>21</v>
      </c>
      <c r="C28" t="n">
        <v>3</v>
      </c>
      <c r="D28" s="275">
        <f>IF($B28=0,'E1 Fleet'!$D$93,1)*EXP(-'E1 Fleet'!$D$94*MAX($B28-6,0))</f>
        <v/>
      </c>
      <c r="E28" s="276">
        <f>IFERROR(INDEX('D Fleet'!$C$5:$C$62,MATCH(E$3-$B28,'D Fleet'!$B$5:$B$62,0)),0)*IFERROR(INDEX('D Fleet'!$J$5:$J$36,INT(($B28/E$4))+1)+(($B28/E$4)-INT(($B28/E$4)))*(INDEX('D Fleet'!$J$5:$J$36,INT(($B28/E$4))+2)-INDEX('D Fleet'!$J$5:$J$36,INT(($B28/E$4))+1)),0)</f>
        <v/>
      </c>
      <c r="F28" s="276">
        <f>IFERROR(INDEX('D Fleet'!$C$5:$C$62,MATCH(F$3-$B28,'D Fleet'!$B$5:$B$62,0)),0)*IFERROR(INDEX('D Fleet'!$J$5:$J$36,INT(($B28/F$4))+1)+(($B28/F$4)-INT(($B28/F$4)))*(INDEX('D Fleet'!$J$5:$J$36,INT(($B28/F$4))+2)-INDEX('D Fleet'!$J$5:$J$36,INT(($B28/F$4))+1)),0)</f>
        <v/>
      </c>
      <c r="G28" s="276">
        <f>IFERROR(INDEX('D Fleet'!$C$5:$C$62,MATCH(G$3-$B28,'D Fleet'!$B$5:$B$62,0)),0)*IFERROR(INDEX('D Fleet'!$J$5:$J$36,INT(($B28/G$4))+1)+(($B28/G$4)-INT(($B28/G$4)))*(INDEX('D Fleet'!$J$5:$J$36,INT(($B28/G$4))+2)-INDEX('D Fleet'!$J$5:$J$36,INT(($B28/G$4))+1)),0)</f>
        <v/>
      </c>
      <c r="H28" s="276">
        <f>IFERROR(INDEX('D Fleet'!$C$5:$C$62,MATCH(H$3-$B28,'D Fleet'!$B$5:$B$62,0)),0)*IFERROR(INDEX('D Fleet'!$J$5:$J$36,INT(($B28/H$4))+1)+(($B28/H$4)-INT(($B28/H$4)))*(INDEX('D Fleet'!$J$5:$J$36,INT(($B28/H$4))+2)-INDEX('D Fleet'!$J$5:$J$36,INT(($B28/H$4))+1)),0)</f>
        <v/>
      </c>
      <c r="I28" s="276">
        <f>IFERROR(INDEX('D Fleet'!$C$5:$C$62,MATCH(I$3-$B28,'D Fleet'!$B$5:$B$62,0)),0)*IFERROR(INDEX('D Fleet'!$J$5:$J$36,INT(($B28/I$4))+1)+(($B28/I$4)-INT(($B28/I$4)))*(INDEX('D Fleet'!$J$5:$J$36,INT(($B28/I$4))+2)-INDEX('D Fleet'!$J$5:$J$36,INT(($B28/I$4))+1)),0)</f>
        <v/>
      </c>
      <c r="J28" s="276">
        <f>IFERROR(INDEX('D Fleet'!$C$5:$C$62,MATCH(J$3-$B28,'D Fleet'!$B$5:$B$62,0)),0)*IFERROR(INDEX('D Fleet'!$J$5:$J$36,INT(($B28/J$4))+1)+(($B28/J$4)-INT(($B28/J$4)))*(INDEX('D Fleet'!$J$5:$J$36,INT(($B28/J$4))+2)-INDEX('D Fleet'!$J$5:$J$36,INT(($B28/J$4))+1)),0)</f>
        <v/>
      </c>
      <c r="K28" s="276">
        <f>IFERROR(INDEX('D Fleet'!$C$5:$C$62,MATCH(K$3-$B28,'D Fleet'!$B$5:$B$62,0)),0)*IFERROR(INDEX('D Fleet'!$J$5:$J$36,INT(($B28/K$4))+1)+(($B28/K$4)-INT(($B28/K$4)))*(INDEX('D Fleet'!$J$5:$J$36,INT(($B28/K$4))+2)-INDEX('D Fleet'!$J$5:$J$36,INT(($B28/K$4))+1)),0)</f>
        <v/>
      </c>
      <c r="L28" s="276">
        <f>IFERROR(INDEX('D Fleet'!$C$5:$C$62,MATCH(L$3-$B28,'D Fleet'!$B$5:$B$62,0)),0)*IFERROR(INDEX('D Fleet'!$J$5:$J$36,INT(($B28/L$4))+1)+(($B28/L$4)-INT(($B28/L$4)))*(INDEX('D Fleet'!$J$5:$J$36,INT(($B28/L$4))+2)-INDEX('D Fleet'!$J$5:$J$36,INT(($B28/L$4))+1)),0)</f>
        <v/>
      </c>
      <c r="M28" s="276">
        <f>IFERROR(INDEX('D Fleet'!$C$5:$C$62,MATCH(M$3-$B28,'D Fleet'!$B$5:$B$62,0)),0)*IFERROR(INDEX('D Fleet'!$J$5:$J$36,INT(($B28/M$4))+1)+(($B28/M$4)-INT(($B28/M$4)))*(INDEX('D Fleet'!$J$5:$J$36,INT(($B28/M$4))+2)-INDEX('D Fleet'!$J$5:$J$36,INT(($B28/M$4))+1)),0)</f>
        <v/>
      </c>
      <c r="N28" s="276">
        <f>IFERROR(INDEX('D Fleet'!$C$5:$C$62,MATCH(N$3-$B28,'D Fleet'!$B$5:$B$62,0)),0)*IFERROR(INDEX('D Fleet'!$J$5:$J$36,INT(($B28/N$4))+1)+(($B28/N$4)-INT(($B28/N$4)))*(INDEX('D Fleet'!$J$5:$J$36,INT(($B28/N$4))+2)-INDEX('D Fleet'!$J$5:$J$36,INT(($B28/N$4))+1)),0)</f>
        <v/>
      </c>
      <c r="P28" s="276">
        <f>E28*$D28*'E1 Fleet'!$D$97</f>
        <v/>
      </c>
      <c r="Q28" s="276">
        <f>F28*$D28*'E1 Fleet'!$D$97</f>
        <v/>
      </c>
      <c r="R28" s="276">
        <f>G28*$D28*'E1 Fleet'!$D$97</f>
        <v/>
      </c>
      <c r="S28" s="276">
        <f>H28*$D28*'E1 Fleet'!$D$97</f>
        <v/>
      </c>
      <c r="T28" s="276">
        <f>I28*$D28*'E1 Fleet'!$D$97</f>
        <v/>
      </c>
      <c r="U28" s="276">
        <f>J28*$D28*'E1 Fleet'!$D$97</f>
        <v/>
      </c>
      <c r="V28" s="276">
        <f>K28*$D28*'E1 Fleet'!$D$97</f>
        <v/>
      </c>
      <c r="W28" s="276">
        <f>L28*$D28*'E1 Fleet'!$D$97</f>
        <v/>
      </c>
      <c r="X28" s="276">
        <f>M28*$D28*'E1 Fleet'!$D$97</f>
        <v/>
      </c>
      <c r="Y28" s="276">
        <f>N28*$D28*'E1 Fleet'!$D$97</f>
        <v/>
      </c>
    </row>
    <row r="29">
      <c r="A29" t="inlineStr">
        <is>
          <t>Car</t>
        </is>
      </c>
      <c r="B29" t="n">
        <v>22</v>
      </c>
      <c r="C29" t="n">
        <v>3</v>
      </c>
      <c r="D29" s="275">
        <f>IF($B29=0,'E1 Fleet'!$D$93,1)*EXP(-'E1 Fleet'!$D$94*MAX($B29-6,0))</f>
        <v/>
      </c>
      <c r="E29" s="276">
        <f>IFERROR(INDEX('D Fleet'!$C$5:$C$62,MATCH(E$3-$B29,'D Fleet'!$B$5:$B$62,0)),0)*IFERROR(INDEX('D Fleet'!$J$5:$J$36,INT(($B29/E$4))+1)+(($B29/E$4)-INT(($B29/E$4)))*(INDEX('D Fleet'!$J$5:$J$36,INT(($B29/E$4))+2)-INDEX('D Fleet'!$J$5:$J$36,INT(($B29/E$4))+1)),0)</f>
        <v/>
      </c>
      <c r="F29" s="276">
        <f>IFERROR(INDEX('D Fleet'!$C$5:$C$62,MATCH(F$3-$B29,'D Fleet'!$B$5:$B$62,0)),0)*IFERROR(INDEX('D Fleet'!$J$5:$J$36,INT(($B29/F$4))+1)+(($B29/F$4)-INT(($B29/F$4)))*(INDEX('D Fleet'!$J$5:$J$36,INT(($B29/F$4))+2)-INDEX('D Fleet'!$J$5:$J$36,INT(($B29/F$4))+1)),0)</f>
        <v/>
      </c>
      <c r="G29" s="276">
        <f>IFERROR(INDEX('D Fleet'!$C$5:$C$62,MATCH(G$3-$B29,'D Fleet'!$B$5:$B$62,0)),0)*IFERROR(INDEX('D Fleet'!$J$5:$J$36,INT(($B29/G$4))+1)+(($B29/G$4)-INT(($B29/G$4)))*(INDEX('D Fleet'!$J$5:$J$36,INT(($B29/G$4))+2)-INDEX('D Fleet'!$J$5:$J$36,INT(($B29/G$4))+1)),0)</f>
        <v/>
      </c>
      <c r="H29" s="276">
        <f>IFERROR(INDEX('D Fleet'!$C$5:$C$62,MATCH(H$3-$B29,'D Fleet'!$B$5:$B$62,0)),0)*IFERROR(INDEX('D Fleet'!$J$5:$J$36,INT(($B29/H$4))+1)+(($B29/H$4)-INT(($B29/H$4)))*(INDEX('D Fleet'!$J$5:$J$36,INT(($B29/H$4))+2)-INDEX('D Fleet'!$J$5:$J$36,INT(($B29/H$4))+1)),0)</f>
        <v/>
      </c>
      <c r="I29" s="276">
        <f>IFERROR(INDEX('D Fleet'!$C$5:$C$62,MATCH(I$3-$B29,'D Fleet'!$B$5:$B$62,0)),0)*IFERROR(INDEX('D Fleet'!$J$5:$J$36,INT(($B29/I$4))+1)+(($B29/I$4)-INT(($B29/I$4)))*(INDEX('D Fleet'!$J$5:$J$36,INT(($B29/I$4))+2)-INDEX('D Fleet'!$J$5:$J$36,INT(($B29/I$4))+1)),0)</f>
        <v/>
      </c>
      <c r="J29" s="276">
        <f>IFERROR(INDEX('D Fleet'!$C$5:$C$62,MATCH(J$3-$B29,'D Fleet'!$B$5:$B$62,0)),0)*IFERROR(INDEX('D Fleet'!$J$5:$J$36,INT(($B29/J$4))+1)+(($B29/J$4)-INT(($B29/J$4)))*(INDEX('D Fleet'!$J$5:$J$36,INT(($B29/J$4))+2)-INDEX('D Fleet'!$J$5:$J$36,INT(($B29/J$4))+1)),0)</f>
        <v/>
      </c>
      <c r="K29" s="276">
        <f>IFERROR(INDEX('D Fleet'!$C$5:$C$62,MATCH(K$3-$B29,'D Fleet'!$B$5:$B$62,0)),0)*IFERROR(INDEX('D Fleet'!$J$5:$J$36,INT(($B29/K$4))+1)+(($B29/K$4)-INT(($B29/K$4)))*(INDEX('D Fleet'!$J$5:$J$36,INT(($B29/K$4))+2)-INDEX('D Fleet'!$J$5:$J$36,INT(($B29/K$4))+1)),0)</f>
        <v/>
      </c>
      <c r="L29" s="276">
        <f>IFERROR(INDEX('D Fleet'!$C$5:$C$62,MATCH(L$3-$B29,'D Fleet'!$B$5:$B$62,0)),0)*IFERROR(INDEX('D Fleet'!$J$5:$J$36,INT(($B29/L$4))+1)+(($B29/L$4)-INT(($B29/L$4)))*(INDEX('D Fleet'!$J$5:$J$36,INT(($B29/L$4))+2)-INDEX('D Fleet'!$J$5:$J$36,INT(($B29/L$4))+1)),0)</f>
        <v/>
      </c>
      <c r="M29" s="276">
        <f>IFERROR(INDEX('D Fleet'!$C$5:$C$62,MATCH(M$3-$B29,'D Fleet'!$B$5:$B$62,0)),0)*IFERROR(INDEX('D Fleet'!$J$5:$J$36,INT(($B29/M$4))+1)+(($B29/M$4)-INT(($B29/M$4)))*(INDEX('D Fleet'!$J$5:$J$36,INT(($B29/M$4))+2)-INDEX('D Fleet'!$J$5:$J$36,INT(($B29/M$4))+1)),0)</f>
        <v/>
      </c>
      <c r="N29" s="276">
        <f>IFERROR(INDEX('D Fleet'!$C$5:$C$62,MATCH(N$3-$B29,'D Fleet'!$B$5:$B$62,0)),0)*IFERROR(INDEX('D Fleet'!$J$5:$J$36,INT(($B29/N$4))+1)+(($B29/N$4)-INT(($B29/N$4)))*(INDEX('D Fleet'!$J$5:$J$36,INT(($B29/N$4))+2)-INDEX('D Fleet'!$J$5:$J$36,INT(($B29/N$4))+1)),0)</f>
        <v/>
      </c>
      <c r="P29" s="276">
        <f>E29*$D29*'E1 Fleet'!$D$97</f>
        <v/>
      </c>
      <c r="Q29" s="276">
        <f>F29*$D29*'E1 Fleet'!$D$97</f>
        <v/>
      </c>
      <c r="R29" s="276">
        <f>G29*$D29*'E1 Fleet'!$D$97</f>
        <v/>
      </c>
      <c r="S29" s="276">
        <f>H29*$D29*'E1 Fleet'!$D$97</f>
        <v/>
      </c>
      <c r="T29" s="276">
        <f>I29*$D29*'E1 Fleet'!$D$97</f>
        <v/>
      </c>
      <c r="U29" s="276">
        <f>J29*$D29*'E1 Fleet'!$D$97</f>
        <v/>
      </c>
      <c r="V29" s="276">
        <f>K29*$D29*'E1 Fleet'!$D$97</f>
        <v/>
      </c>
      <c r="W29" s="276">
        <f>L29*$D29*'E1 Fleet'!$D$97</f>
        <v/>
      </c>
      <c r="X29" s="276">
        <f>M29*$D29*'E1 Fleet'!$D$97</f>
        <v/>
      </c>
      <c r="Y29" s="276">
        <f>N29*$D29*'E1 Fleet'!$D$97</f>
        <v/>
      </c>
    </row>
    <row r="30">
      <c r="A30" t="inlineStr">
        <is>
          <t>Car</t>
        </is>
      </c>
      <c r="B30" t="n">
        <v>23</v>
      </c>
      <c r="C30" t="n">
        <v>3</v>
      </c>
      <c r="D30" s="275">
        <f>IF($B30=0,'E1 Fleet'!$D$93,1)*EXP(-'E1 Fleet'!$D$94*MAX($B30-6,0))</f>
        <v/>
      </c>
      <c r="E30" s="276">
        <f>IFERROR(INDEX('D Fleet'!$C$5:$C$62,MATCH(E$3-$B30,'D Fleet'!$B$5:$B$62,0)),0)*IFERROR(INDEX('D Fleet'!$J$5:$J$36,INT(($B30/E$4))+1)+(($B30/E$4)-INT(($B30/E$4)))*(INDEX('D Fleet'!$J$5:$J$36,INT(($B30/E$4))+2)-INDEX('D Fleet'!$J$5:$J$36,INT(($B30/E$4))+1)),0)</f>
        <v/>
      </c>
      <c r="F30" s="276">
        <f>IFERROR(INDEX('D Fleet'!$C$5:$C$62,MATCH(F$3-$B30,'D Fleet'!$B$5:$B$62,0)),0)*IFERROR(INDEX('D Fleet'!$J$5:$J$36,INT(($B30/F$4))+1)+(($B30/F$4)-INT(($B30/F$4)))*(INDEX('D Fleet'!$J$5:$J$36,INT(($B30/F$4))+2)-INDEX('D Fleet'!$J$5:$J$36,INT(($B30/F$4))+1)),0)</f>
        <v/>
      </c>
      <c r="G30" s="276">
        <f>IFERROR(INDEX('D Fleet'!$C$5:$C$62,MATCH(G$3-$B30,'D Fleet'!$B$5:$B$62,0)),0)*IFERROR(INDEX('D Fleet'!$J$5:$J$36,INT(($B30/G$4))+1)+(($B30/G$4)-INT(($B30/G$4)))*(INDEX('D Fleet'!$J$5:$J$36,INT(($B30/G$4))+2)-INDEX('D Fleet'!$J$5:$J$36,INT(($B30/G$4))+1)),0)</f>
        <v/>
      </c>
      <c r="H30" s="276">
        <f>IFERROR(INDEX('D Fleet'!$C$5:$C$62,MATCH(H$3-$B30,'D Fleet'!$B$5:$B$62,0)),0)*IFERROR(INDEX('D Fleet'!$J$5:$J$36,INT(($B30/H$4))+1)+(($B30/H$4)-INT(($B30/H$4)))*(INDEX('D Fleet'!$J$5:$J$36,INT(($B30/H$4))+2)-INDEX('D Fleet'!$J$5:$J$36,INT(($B30/H$4))+1)),0)</f>
        <v/>
      </c>
      <c r="I30" s="276">
        <f>IFERROR(INDEX('D Fleet'!$C$5:$C$62,MATCH(I$3-$B30,'D Fleet'!$B$5:$B$62,0)),0)*IFERROR(INDEX('D Fleet'!$J$5:$J$36,INT(($B30/I$4))+1)+(($B30/I$4)-INT(($B30/I$4)))*(INDEX('D Fleet'!$J$5:$J$36,INT(($B30/I$4))+2)-INDEX('D Fleet'!$J$5:$J$36,INT(($B30/I$4))+1)),0)</f>
        <v/>
      </c>
      <c r="J30" s="276">
        <f>IFERROR(INDEX('D Fleet'!$C$5:$C$62,MATCH(J$3-$B30,'D Fleet'!$B$5:$B$62,0)),0)*IFERROR(INDEX('D Fleet'!$J$5:$J$36,INT(($B30/J$4))+1)+(($B30/J$4)-INT(($B30/J$4)))*(INDEX('D Fleet'!$J$5:$J$36,INT(($B30/J$4))+2)-INDEX('D Fleet'!$J$5:$J$36,INT(($B30/J$4))+1)),0)</f>
        <v/>
      </c>
      <c r="K30" s="276">
        <f>IFERROR(INDEX('D Fleet'!$C$5:$C$62,MATCH(K$3-$B30,'D Fleet'!$B$5:$B$62,0)),0)*IFERROR(INDEX('D Fleet'!$J$5:$J$36,INT(($B30/K$4))+1)+(($B30/K$4)-INT(($B30/K$4)))*(INDEX('D Fleet'!$J$5:$J$36,INT(($B30/K$4))+2)-INDEX('D Fleet'!$J$5:$J$36,INT(($B30/K$4))+1)),0)</f>
        <v/>
      </c>
      <c r="L30" s="276">
        <f>IFERROR(INDEX('D Fleet'!$C$5:$C$62,MATCH(L$3-$B30,'D Fleet'!$B$5:$B$62,0)),0)*IFERROR(INDEX('D Fleet'!$J$5:$J$36,INT(($B30/L$4))+1)+(($B30/L$4)-INT(($B30/L$4)))*(INDEX('D Fleet'!$J$5:$J$36,INT(($B30/L$4))+2)-INDEX('D Fleet'!$J$5:$J$36,INT(($B30/L$4))+1)),0)</f>
        <v/>
      </c>
      <c r="M30" s="276">
        <f>IFERROR(INDEX('D Fleet'!$C$5:$C$62,MATCH(M$3-$B30,'D Fleet'!$B$5:$B$62,0)),0)*IFERROR(INDEX('D Fleet'!$J$5:$J$36,INT(($B30/M$4))+1)+(($B30/M$4)-INT(($B30/M$4)))*(INDEX('D Fleet'!$J$5:$J$36,INT(($B30/M$4))+2)-INDEX('D Fleet'!$J$5:$J$36,INT(($B30/M$4))+1)),0)</f>
        <v/>
      </c>
      <c r="N30" s="276">
        <f>IFERROR(INDEX('D Fleet'!$C$5:$C$62,MATCH(N$3-$B30,'D Fleet'!$B$5:$B$62,0)),0)*IFERROR(INDEX('D Fleet'!$J$5:$J$36,INT(($B30/N$4))+1)+(($B30/N$4)-INT(($B30/N$4)))*(INDEX('D Fleet'!$J$5:$J$36,INT(($B30/N$4))+2)-INDEX('D Fleet'!$J$5:$J$36,INT(($B30/N$4))+1)),0)</f>
        <v/>
      </c>
      <c r="P30" s="276">
        <f>E30*$D30*'E1 Fleet'!$D$97</f>
        <v/>
      </c>
      <c r="Q30" s="276">
        <f>F30*$D30*'E1 Fleet'!$D$97</f>
        <v/>
      </c>
      <c r="R30" s="276">
        <f>G30*$D30*'E1 Fleet'!$D$97</f>
        <v/>
      </c>
      <c r="S30" s="276">
        <f>H30*$D30*'E1 Fleet'!$D$97</f>
        <v/>
      </c>
      <c r="T30" s="276">
        <f>I30*$D30*'E1 Fleet'!$D$97</f>
        <v/>
      </c>
      <c r="U30" s="276">
        <f>J30*$D30*'E1 Fleet'!$D$97</f>
        <v/>
      </c>
      <c r="V30" s="276">
        <f>K30*$D30*'E1 Fleet'!$D$97</f>
        <v/>
      </c>
      <c r="W30" s="276">
        <f>L30*$D30*'E1 Fleet'!$D$97</f>
        <v/>
      </c>
      <c r="X30" s="276">
        <f>M30*$D30*'E1 Fleet'!$D$97</f>
        <v/>
      </c>
      <c r="Y30" s="276">
        <f>N30*$D30*'E1 Fleet'!$D$97</f>
        <v/>
      </c>
    </row>
    <row r="31">
      <c r="A31" t="inlineStr">
        <is>
          <t>Car</t>
        </is>
      </c>
      <c r="B31" t="n">
        <v>24</v>
      </c>
      <c r="C31" t="n">
        <v>3</v>
      </c>
      <c r="D31" s="275">
        <f>IF($B31=0,'E1 Fleet'!$D$93,1)*EXP(-'E1 Fleet'!$D$94*MAX($B31-6,0))</f>
        <v/>
      </c>
      <c r="E31" s="276">
        <f>IFERROR(INDEX('D Fleet'!$C$5:$C$62,MATCH(E$3-$B31,'D Fleet'!$B$5:$B$62,0)),0)*IFERROR(INDEX('D Fleet'!$J$5:$J$36,INT(($B31/E$4))+1)+(($B31/E$4)-INT(($B31/E$4)))*(INDEX('D Fleet'!$J$5:$J$36,INT(($B31/E$4))+2)-INDEX('D Fleet'!$J$5:$J$36,INT(($B31/E$4))+1)),0)</f>
        <v/>
      </c>
      <c r="F31" s="276">
        <f>IFERROR(INDEX('D Fleet'!$C$5:$C$62,MATCH(F$3-$B31,'D Fleet'!$B$5:$B$62,0)),0)*IFERROR(INDEX('D Fleet'!$J$5:$J$36,INT(($B31/F$4))+1)+(($B31/F$4)-INT(($B31/F$4)))*(INDEX('D Fleet'!$J$5:$J$36,INT(($B31/F$4))+2)-INDEX('D Fleet'!$J$5:$J$36,INT(($B31/F$4))+1)),0)</f>
        <v/>
      </c>
      <c r="G31" s="276">
        <f>IFERROR(INDEX('D Fleet'!$C$5:$C$62,MATCH(G$3-$B31,'D Fleet'!$B$5:$B$62,0)),0)*IFERROR(INDEX('D Fleet'!$J$5:$J$36,INT(($B31/G$4))+1)+(($B31/G$4)-INT(($B31/G$4)))*(INDEX('D Fleet'!$J$5:$J$36,INT(($B31/G$4))+2)-INDEX('D Fleet'!$J$5:$J$36,INT(($B31/G$4))+1)),0)</f>
        <v/>
      </c>
      <c r="H31" s="276">
        <f>IFERROR(INDEX('D Fleet'!$C$5:$C$62,MATCH(H$3-$B31,'D Fleet'!$B$5:$B$62,0)),0)*IFERROR(INDEX('D Fleet'!$J$5:$J$36,INT(($B31/H$4))+1)+(($B31/H$4)-INT(($B31/H$4)))*(INDEX('D Fleet'!$J$5:$J$36,INT(($B31/H$4))+2)-INDEX('D Fleet'!$J$5:$J$36,INT(($B31/H$4))+1)),0)</f>
        <v/>
      </c>
      <c r="I31" s="276">
        <f>IFERROR(INDEX('D Fleet'!$C$5:$C$62,MATCH(I$3-$B31,'D Fleet'!$B$5:$B$62,0)),0)*IFERROR(INDEX('D Fleet'!$J$5:$J$36,INT(($B31/I$4))+1)+(($B31/I$4)-INT(($B31/I$4)))*(INDEX('D Fleet'!$J$5:$J$36,INT(($B31/I$4))+2)-INDEX('D Fleet'!$J$5:$J$36,INT(($B31/I$4))+1)),0)</f>
        <v/>
      </c>
      <c r="J31" s="276">
        <f>IFERROR(INDEX('D Fleet'!$C$5:$C$62,MATCH(J$3-$B31,'D Fleet'!$B$5:$B$62,0)),0)*IFERROR(INDEX('D Fleet'!$J$5:$J$36,INT(($B31/J$4))+1)+(($B31/J$4)-INT(($B31/J$4)))*(INDEX('D Fleet'!$J$5:$J$36,INT(($B31/J$4))+2)-INDEX('D Fleet'!$J$5:$J$36,INT(($B31/J$4))+1)),0)</f>
        <v/>
      </c>
      <c r="K31" s="276">
        <f>IFERROR(INDEX('D Fleet'!$C$5:$C$62,MATCH(K$3-$B31,'D Fleet'!$B$5:$B$62,0)),0)*IFERROR(INDEX('D Fleet'!$J$5:$J$36,INT(($B31/K$4))+1)+(($B31/K$4)-INT(($B31/K$4)))*(INDEX('D Fleet'!$J$5:$J$36,INT(($B31/K$4))+2)-INDEX('D Fleet'!$J$5:$J$36,INT(($B31/K$4))+1)),0)</f>
        <v/>
      </c>
      <c r="L31" s="276">
        <f>IFERROR(INDEX('D Fleet'!$C$5:$C$62,MATCH(L$3-$B31,'D Fleet'!$B$5:$B$62,0)),0)*IFERROR(INDEX('D Fleet'!$J$5:$J$36,INT(($B31/L$4))+1)+(($B31/L$4)-INT(($B31/L$4)))*(INDEX('D Fleet'!$J$5:$J$36,INT(($B31/L$4))+2)-INDEX('D Fleet'!$J$5:$J$36,INT(($B31/L$4))+1)),0)</f>
        <v/>
      </c>
      <c r="M31" s="276">
        <f>IFERROR(INDEX('D Fleet'!$C$5:$C$62,MATCH(M$3-$B31,'D Fleet'!$B$5:$B$62,0)),0)*IFERROR(INDEX('D Fleet'!$J$5:$J$36,INT(($B31/M$4))+1)+(($B31/M$4)-INT(($B31/M$4)))*(INDEX('D Fleet'!$J$5:$J$36,INT(($B31/M$4))+2)-INDEX('D Fleet'!$J$5:$J$36,INT(($B31/M$4))+1)),0)</f>
        <v/>
      </c>
      <c r="N31" s="276">
        <f>IFERROR(INDEX('D Fleet'!$C$5:$C$62,MATCH(N$3-$B31,'D Fleet'!$B$5:$B$62,0)),0)*IFERROR(INDEX('D Fleet'!$J$5:$J$36,INT(($B31/N$4))+1)+(($B31/N$4)-INT(($B31/N$4)))*(INDEX('D Fleet'!$J$5:$J$36,INT(($B31/N$4))+2)-INDEX('D Fleet'!$J$5:$J$36,INT(($B31/N$4))+1)),0)</f>
        <v/>
      </c>
      <c r="P31" s="276">
        <f>E31*$D31*'E1 Fleet'!$D$97</f>
        <v/>
      </c>
      <c r="Q31" s="276">
        <f>F31*$D31*'E1 Fleet'!$D$97</f>
        <v/>
      </c>
      <c r="R31" s="276">
        <f>G31*$D31*'E1 Fleet'!$D$97</f>
        <v/>
      </c>
      <c r="S31" s="276">
        <f>H31*$D31*'E1 Fleet'!$D$97</f>
        <v/>
      </c>
      <c r="T31" s="276">
        <f>I31*$D31*'E1 Fleet'!$D$97</f>
        <v/>
      </c>
      <c r="U31" s="276">
        <f>J31*$D31*'E1 Fleet'!$D$97</f>
        <v/>
      </c>
      <c r="V31" s="276">
        <f>K31*$D31*'E1 Fleet'!$D$97</f>
        <v/>
      </c>
      <c r="W31" s="276">
        <f>L31*$D31*'E1 Fleet'!$D$97</f>
        <v/>
      </c>
      <c r="X31" s="276">
        <f>M31*$D31*'E1 Fleet'!$D$97</f>
        <v/>
      </c>
      <c r="Y31" s="276">
        <f>N31*$D31*'E1 Fleet'!$D$97</f>
        <v/>
      </c>
    </row>
    <row r="32">
      <c r="A32" t="inlineStr">
        <is>
          <t>Car</t>
        </is>
      </c>
      <c r="B32" t="n">
        <v>25</v>
      </c>
      <c r="C32" t="n">
        <v>3</v>
      </c>
      <c r="D32" s="275">
        <f>IF($B32=0,'E1 Fleet'!$D$93,1)*EXP(-'E1 Fleet'!$D$94*MAX($B32-6,0))</f>
        <v/>
      </c>
      <c r="E32" s="276">
        <f>IFERROR(INDEX('D Fleet'!$C$5:$C$62,MATCH(E$3-$B32,'D Fleet'!$B$5:$B$62,0)),0)*IFERROR(INDEX('D Fleet'!$J$5:$J$36,INT(($B32/E$4))+1)+(($B32/E$4)-INT(($B32/E$4)))*(INDEX('D Fleet'!$J$5:$J$36,INT(($B32/E$4))+2)-INDEX('D Fleet'!$J$5:$J$36,INT(($B32/E$4))+1)),0)</f>
        <v/>
      </c>
      <c r="F32" s="276">
        <f>IFERROR(INDEX('D Fleet'!$C$5:$C$62,MATCH(F$3-$B32,'D Fleet'!$B$5:$B$62,0)),0)*IFERROR(INDEX('D Fleet'!$J$5:$J$36,INT(($B32/F$4))+1)+(($B32/F$4)-INT(($B32/F$4)))*(INDEX('D Fleet'!$J$5:$J$36,INT(($B32/F$4))+2)-INDEX('D Fleet'!$J$5:$J$36,INT(($B32/F$4))+1)),0)</f>
        <v/>
      </c>
      <c r="G32" s="276">
        <f>IFERROR(INDEX('D Fleet'!$C$5:$C$62,MATCH(G$3-$B32,'D Fleet'!$B$5:$B$62,0)),0)*IFERROR(INDEX('D Fleet'!$J$5:$J$36,INT(($B32/G$4))+1)+(($B32/G$4)-INT(($B32/G$4)))*(INDEX('D Fleet'!$J$5:$J$36,INT(($B32/G$4))+2)-INDEX('D Fleet'!$J$5:$J$36,INT(($B32/G$4))+1)),0)</f>
        <v/>
      </c>
      <c r="H32" s="276">
        <f>IFERROR(INDEX('D Fleet'!$C$5:$C$62,MATCH(H$3-$B32,'D Fleet'!$B$5:$B$62,0)),0)*IFERROR(INDEX('D Fleet'!$J$5:$J$36,INT(($B32/H$4))+1)+(($B32/H$4)-INT(($B32/H$4)))*(INDEX('D Fleet'!$J$5:$J$36,INT(($B32/H$4))+2)-INDEX('D Fleet'!$J$5:$J$36,INT(($B32/H$4))+1)),0)</f>
        <v/>
      </c>
      <c r="I32" s="276">
        <f>IFERROR(INDEX('D Fleet'!$C$5:$C$62,MATCH(I$3-$B32,'D Fleet'!$B$5:$B$62,0)),0)*IFERROR(INDEX('D Fleet'!$J$5:$J$36,INT(($B32/I$4))+1)+(($B32/I$4)-INT(($B32/I$4)))*(INDEX('D Fleet'!$J$5:$J$36,INT(($B32/I$4))+2)-INDEX('D Fleet'!$J$5:$J$36,INT(($B32/I$4))+1)),0)</f>
        <v/>
      </c>
      <c r="J32" s="276">
        <f>IFERROR(INDEX('D Fleet'!$C$5:$C$62,MATCH(J$3-$B32,'D Fleet'!$B$5:$B$62,0)),0)*IFERROR(INDEX('D Fleet'!$J$5:$J$36,INT(($B32/J$4))+1)+(($B32/J$4)-INT(($B32/J$4)))*(INDEX('D Fleet'!$J$5:$J$36,INT(($B32/J$4))+2)-INDEX('D Fleet'!$J$5:$J$36,INT(($B32/J$4))+1)),0)</f>
        <v/>
      </c>
      <c r="K32" s="276">
        <f>IFERROR(INDEX('D Fleet'!$C$5:$C$62,MATCH(K$3-$B32,'D Fleet'!$B$5:$B$62,0)),0)*IFERROR(INDEX('D Fleet'!$J$5:$J$36,INT(($B32/K$4))+1)+(($B32/K$4)-INT(($B32/K$4)))*(INDEX('D Fleet'!$J$5:$J$36,INT(($B32/K$4))+2)-INDEX('D Fleet'!$J$5:$J$36,INT(($B32/K$4))+1)),0)</f>
        <v/>
      </c>
      <c r="L32" s="276">
        <f>IFERROR(INDEX('D Fleet'!$C$5:$C$62,MATCH(L$3-$B32,'D Fleet'!$B$5:$B$62,0)),0)*IFERROR(INDEX('D Fleet'!$J$5:$J$36,INT(($B32/L$4))+1)+(($B32/L$4)-INT(($B32/L$4)))*(INDEX('D Fleet'!$J$5:$J$36,INT(($B32/L$4))+2)-INDEX('D Fleet'!$J$5:$J$36,INT(($B32/L$4))+1)),0)</f>
        <v/>
      </c>
      <c r="M32" s="276">
        <f>IFERROR(INDEX('D Fleet'!$C$5:$C$62,MATCH(M$3-$B32,'D Fleet'!$B$5:$B$62,0)),0)*IFERROR(INDEX('D Fleet'!$J$5:$J$36,INT(($B32/M$4))+1)+(($B32/M$4)-INT(($B32/M$4)))*(INDEX('D Fleet'!$J$5:$J$36,INT(($B32/M$4))+2)-INDEX('D Fleet'!$J$5:$J$36,INT(($B32/M$4))+1)),0)</f>
        <v/>
      </c>
      <c r="N32" s="276">
        <f>IFERROR(INDEX('D Fleet'!$C$5:$C$62,MATCH(N$3-$B32,'D Fleet'!$B$5:$B$62,0)),0)*IFERROR(INDEX('D Fleet'!$J$5:$J$36,INT(($B32/N$4))+1)+(($B32/N$4)-INT(($B32/N$4)))*(INDEX('D Fleet'!$J$5:$J$36,INT(($B32/N$4))+2)-INDEX('D Fleet'!$J$5:$J$36,INT(($B32/N$4))+1)),0)</f>
        <v/>
      </c>
      <c r="P32" s="276">
        <f>E32*$D32*'E1 Fleet'!$D$97</f>
        <v/>
      </c>
      <c r="Q32" s="276">
        <f>F32*$D32*'E1 Fleet'!$D$97</f>
        <v/>
      </c>
      <c r="R32" s="276">
        <f>G32*$D32*'E1 Fleet'!$D$97</f>
        <v/>
      </c>
      <c r="S32" s="276">
        <f>H32*$D32*'E1 Fleet'!$D$97</f>
        <v/>
      </c>
      <c r="T32" s="276">
        <f>I32*$D32*'E1 Fleet'!$D$97</f>
        <v/>
      </c>
      <c r="U32" s="276">
        <f>J32*$D32*'E1 Fleet'!$D$97</f>
        <v/>
      </c>
      <c r="V32" s="276">
        <f>K32*$D32*'E1 Fleet'!$D$97</f>
        <v/>
      </c>
      <c r="W32" s="276">
        <f>L32*$D32*'E1 Fleet'!$D$97</f>
        <v/>
      </c>
      <c r="X32" s="276">
        <f>M32*$D32*'E1 Fleet'!$D$97</f>
        <v/>
      </c>
      <c r="Y32" s="276">
        <f>N32*$D32*'E1 Fleet'!$D$97</f>
        <v/>
      </c>
    </row>
    <row r="33">
      <c r="A33" t="inlineStr">
        <is>
          <t>Car</t>
        </is>
      </c>
      <c r="B33" t="n">
        <v>26</v>
      </c>
      <c r="C33" t="n">
        <v>3</v>
      </c>
      <c r="D33" s="275">
        <f>IF($B33=0,'E1 Fleet'!$D$93,1)*EXP(-'E1 Fleet'!$D$94*MAX($B33-6,0))</f>
        <v/>
      </c>
      <c r="E33" s="276">
        <f>IFERROR(INDEX('D Fleet'!$C$5:$C$62,MATCH(E$3-$B33,'D Fleet'!$B$5:$B$62,0)),0)*IFERROR(INDEX('D Fleet'!$J$5:$J$36,INT(($B33/E$4))+1)+(($B33/E$4)-INT(($B33/E$4)))*(INDEX('D Fleet'!$J$5:$J$36,INT(($B33/E$4))+2)-INDEX('D Fleet'!$J$5:$J$36,INT(($B33/E$4))+1)),0)</f>
        <v/>
      </c>
      <c r="F33" s="276">
        <f>IFERROR(INDEX('D Fleet'!$C$5:$C$62,MATCH(F$3-$B33,'D Fleet'!$B$5:$B$62,0)),0)*IFERROR(INDEX('D Fleet'!$J$5:$J$36,INT(($B33/F$4))+1)+(($B33/F$4)-INT(($B33/F$4)))*(INDEX('D Fleet'!$J$5:$J$36,INT(($B33/F$4))+2)-INDEX('D Fleet'!$J$5:$J$36,INT(($B33/F$4))+1)),0)</f>
        <v/>
      </c>
      <c r="G33" s="276">
        <f>IFERROR(INDEX('D Fleet'!$C$5:$C$62,MATCH(G$3-$B33,'D Fleet'!$B$5:$B$62,0)),0)*IFERROR(INDEX('D Fleet'!$J$5:$J$36,INT(($B33/G$4))+1)+(($B33/G$4)-INT(($B33/G$4)))*(INDEX('D Fleet'!$J$5:$J$36,INT(($B33/G$4))+2)-INDEX('D Fleet'!$J$5:$J$36,INT(($B33/G$4))+1)),0)</f>
        <v/>
      </c>
      <c r="H33" s="276">
        <f>IFERROR(INDEX('D Fleet'!$C$5:$C$62,MATCH(H$3-$B33,'D Fleet'!$B$5:$B$62,0)),0)*IFERROR(INDEX('D Fleet'!$J$5:$J$36,INT(($B33/H$4))+1)+(($B33/H$4)-INT(($B33/H$4)))*(INDEX('D Fleet'!$J$5:$J$36,INT(($B33/H$4))+2)-INDEX('D Fleet'!$J$5:$J$36,INT(($B33/H$4))+1)),0)</f>
        <v/>
      </c>
      <c r="I33" s="276">
        <f>IFERROR(INDEX('D Fleet'!$C$5:$C$62,MATCH(I$3-$B33,'D Fleet'!$B$5:$B$62,0)),0)*IFERROR(INDEX('D Fleet'!$J$5:$J$36,INT(($B33/I$4))+1)+(($B33/I$4)-INT(($B33/I$4)))*(INDEX('D Fleet'!$J$5:$J$36,INT(($B33/I$4))+2)-INDEX('D Fleet'!$J$5:$J$36,INT(($B33/I$4))+1)),0)</f>
        <v/>
      </c>
      <c r="J33" s="276">
        <f>IFERROR(INDEX('D Fleet'!$C$5:$C$62,MATCH(J$3-$B33,'D Fleet'!$B$5:$B$62,0)),0)*IFERROR(INDEX('D Fleet'!$J$5:$J$36,INT(($B33/J$4))+1)+(($B33/J$4)-INT(($B33/J$4)))*(INDEX('D Fleet'!$J$5:$J$36,INT(($B33/J$4))+2)-INDEX('D Fleet'!$J$5:$J$36,INT(($B33/J$4))+1)),0)</f>
        <v/>
      </c>
      <c r="K33" s="276">
        <f>IFERROR(INDEX('D Fleet'!$C$5:$C$62,MATCH(K$3-$B33,'D Fleet'!$B$5:$B$62,0)),0)*IFERROR(INDEX('D Fleet'!$J$5:$J$36,INT(($B33/K$4))+1)+(($B33/K$4)-INT(($B33/K$4)))*(INDEX('D Fleet'!$J$5:$J$36,INT(($B33/K$4))+2)-INDEX('D Fleet'!$J$5:$J$36,INT(($B33/K$4))+1)),0)</f>
        <v/>
      </c>
      <c r="L33" s="276">
        <f>IFERROR(INDEX('D Fleet'!$C$5:$C$62,MATCH(L$3-$B33,'D Fleet'!$B$5:$B$62,0)),0)*IFERROR(INDEX('D Fleet'!$J$5:$J$36,INT(($B33/L$4))+1)+(($B33/L$4)-INT(($B33/L$4)))*(INDEX('D Fleet'!$J$5:$J$36,INT(($B33/L$4))+2)-INDEX('D Fleet'!$J$5:$J$36,INT(($B33/L$4))+1)),0)</f>
        <v/>
      </c>
      <c r="M33" s="276">
        <f>IFERROR(INDEX('D Fleet'!$C$5:$C$62,MATCH(M$3-$B33,'D Fleet'!$B$5:$B$62,0)),0)*IFERROR(INDEX('D Fleet'!$J$5:$J$36,INT(($B33/M$4))+1)+(($B33/M$4)-INT(($B33/M$4)))*(INDEX('D Fleet'!$J$5:$J$36,INT(($B33/M$4))+2)-INDEX('D Fleet'!$J$5:$J$36,INT(($B33/M$4))+1)),0)</f>
        <v/>
      </c>
      <c r="N33" s="276">
        <f>IFERROR(INDEX('D Fleet'!$C$5:$C$62,MATCH(N$3-$B33,'D Fleet'!$B$5:$B$62,0)),0)*IFERROR(INDEX('D Fleet'!$J$5:$J$36,INT(($B33/N$4))+1)+(($B33/N$4)-INT(($B33/N$4)))*(INDEX('D Fleet'!$J$5:$J$36,INT(($B33/N$4))+2)-INDEX('D Fleet'!$J$5:$J$36,INT(($B33/N$4))+1)),0)</f>
        <v/>
      </c>
      <c r="P33" s="276">
        <f>E33*$D33*'E1 Fleet'!$D$97</f>
        <v/>
      </c>
      <c r="Q33" s="276">
        <f>F33*$D33*'E1 Fleet'!$D$97</f>
        <v/>
      </c>
      <c r="R33" s="276">
        <f>G33*$D33*'E1 Fleet'!$D$97</f>
        <v/>
      </c>
      <c r="S33" s="276">
        <f>H33*$D33*'E1 Fleet'!$D$97</f>
        <v/>
      </c>
      <c r="T33" s="276">
        <f>I33*$D33*'E1 Fleet'!$D$97</f>
        <v/>
      </c>
      <c r="U33" s="276">
        <f>J33*$D33*'E1 Fleet'!$D$97</f>
        <v/>
      </c>
      <c r="V33" s="276">
        <f>K33*$D33*'E1 Fleet'!$D$97</f>
        <v/>
      </c>
      <c r="W33" s="276">
        <f>L33*$D33*'E1 Fleet'!$D$97</f>
        <v/>
      </c>
      <c r="X33" s="276">
        <f>M33*$D33*'E1 Fleet'!$D$97</f>
        <v/>
      </c>
      <c r="Y33" s="276">
        <f>N33*$D33*'E1 Fleet'!$D$97</f>
        <v/>
      </c>
    </row>
    <row r="34">
      <c r="A34" t="inlineStr">
        <is>
          <t>Car</t>
        </is>
      </c>
      <c r="B34" t="n">
        <v>27</v>
      </c>
      <c r="C34" t="n">
        <v>3</v>
      </c>
      <c r="D34" s="275">
        <f>IF($B34=0,'E1 Fleet'!$D$93,1)*EXP(-'E1 Fleet'!$D$94*MAX($B34-6,0))</f>
        <v/>
      </c>
      <c r="E34" s="276">
        <f>IFERROR(INDEX('D Fleet'!$C$5:$C$62,MATCH(E$3-$B34,'D Fleet'!$B$5:$B$62,0)),0)*IFERROR(INDEX('D Fleet'!$J$5:$J$36,INT(($B34/E$4))+1)+(($B34/E$4)-INT(($B34/E$4)))*(INDEX('D Fleet'!$J$5:$J$36,INT(($B34/E$4))+2)-INDEX('D Fleet'!$J$5:$J$36,INT(($B34/E$4))+1)),0)</f>
        <v/>
      </c>
      <c r="F34" s="276">
        <f>IFERROR(INDEX('D Fleet'!$C$5:$C$62,MATCH(F$3-$B34,'D Fleet'!$B$5:$B$62,0)),0)*IFERROR(INDEX('D Fleet'!$J$5:$J$36,INT(($B34/F$4))+1)+(($B34/F$4)-INT(($B34/F$4)))*(INDEX('D Fleet'!$J$5:$J$36,INT(($B34/F$4))+2)-INDEX('D Fleet'!$J$5:$J$36,INT(($B34/F$4))+1)),0)</f>
        <v/>
      </c>
      <c r="G34" s="276">
        <f>IFERROR(INDEX('D Fleet'!$C$5:$C$62,MATCH(G$3-$B34,'D Fleet'!$B$5:$B$62,0)),0)*IFERROR(INDEX('D Fleet'!$J$5:$J$36,INT(($B34/G$4))+1)+(($B34/G$4)-INT(($B34/G$4)))*(INDEX('D Fleet'!$J$5:$J$36,INT(($B34/G$4))+2)-INDEX('D Fleet'!$J$5:$J$36,INT(($B34/G$4))+1)),0)</f>
        <v/>
      </c>
      <c r="H34" s="276">
        <f>IFERROR(INDEX('D Fleet'!$C$5:$C$62,MATCH(H$3-$B34,'D Fleet'!$B$5:$B$62,0)),0)*IFERROR(INDEX('D Fleet'!$J$5:$J$36,INT(($B34/H$4))+1)+(($B34/H$4)-INT(($B34/H$4)))*(INDEX('D Fleet'!$J$5:$J$36,INT(($B34/H$4))+2)-INDEX('D Fleet'!$J$5:$J$36,INT(($B34/H$4))+1)),0)</f>
        <v/>
      </c>
      <c r="I34" s="276">
        <f>IFERROR(INDEX('D Fleet'!$C$5:$C$62,MATCH(I$3-$B34,'D Fleet'!$B$5:$B$62,0)),0)*IFERROR(INDEX('D Fleet'!$J$5:$J$36,INT(($B34/I$4))+1)+(($B34/I$4)-INT(($B34/I$4)))*(INDEX('D Fleet'!$J$5:$J$36,INT(($B34/I$4))+2)-INDEX('D Fleet'!$J$5:$J$36,INT(($B34/I$4))+1)),0)</f>
        <v/>
      </c>
      <c r="J34" s="276">
        <f>IFERROR(INDEX('D Fleet'!$C$5:$C$62,MATCH(J$3-$B34,'D Fleet'!$B$5:$B$62,0)),0)*IFERROR(INDEX('D Fleet'!$J$5:$J$36,INT(($B34/J$4))+1)+(($B34/J$4)-INT(($B34/J$4)))*(INDEX('D Fleet'!$J$5:$J$36,INT(($B34/J$4))+2)-INDEX('D Fleet'!$J$5:$J$36,INT(($B34/J$4))+1)),0)</f>
        <v/>
      </c>
      <c r="K34" s="276">
        <f>IFERROR(INDEX('D Fleet'!$C$5:$C$62,MATCH(K$3-$B34,'D Fleet'!$B$5:$B$62,0)),0)*IFERROR(INDEX('D Fleet'!$J$5:$J$36,INT(($B34/K$4))+1)+(($B34/K$4)-INT(($B34/K$4)))*(INDEX('D Fleet'!$J$5:$J$36,INT(($B34/K$4))+2)-INDEX('D Fleet'!$J$5:$J$36,INT(($B34/K$4))+1)),0)</f>
        <v/>
      </c>
      <c r="L34" s="276">
        <f>IFERROR(INDEX('D Fleet'!$C$5:$C$62,MATCH(L$3-$B34,'D Fleet'!$B$5:$B$62,0)),0)*IFERROR(INDEX('D Fleet'!$J$5:$J$36,INT(($B34/L$4))+1)+(($B34/L$4)-INT(($B34/L$4)))*(INDEX('D Fleet'!$J$5:$J$36,INT(($B34/L$4))+2)-INDEX('D Fleet'!$J$5:$J$36,INT(($B34/L$4))+1)),0)</f>
        <v/>
      </c>
      <c r="M34" s="276">
        <f>IFERROR(INDEX('D Fleet'!$C$5:$C$62,MATCH(M$3-$B34,'D Fleet'!$B$5:$B$62,0)),0)*IFERROR(INDEX('D Fleet'!$J$5:$J$36,INT(($B34/M$4))+1)+(($B34/M$4)-INT(($B34/M$4)))*(INDEX('D Fleet'!$J$5:$J$36,INT(($B34/M$4))+2)-INDEX('D Fleet'!$J$5:$J$36,INT(($B34/M$4))+1)),0)</f>
        <v/>
      </c>
      <c r="N34" s="276">
        <f>IFERROR(INDEX('D Fleet'!$C$5:$C$62,MATCH(N$3-$B34,'D Fleet'!$B$5:$B$62,0)),0)*IFERROR(INDEX('D Fleet'!$J$5:$J$36,INT(($B34/N$4))+1)+(($B34/N$4)-INT(($B34/N$4)))*(INDEX('D Fleet'!$J$5:$J$36,INT(($B34/N$4))+2)-INDEX('D Fleet'!$J$5:$J$36,INT(($B34/N$4))+1)),0)</f>
        <v/>
      </c>
      <c r="P34" s="276">
        <f>E34*$D34*'E1 Fleet'!$D$97</f>
        <v/>
      </c>
      <c r="Q34" s="276">
        <f>F34*$D34*'E1 Fleet'!$D$97</f>
        <v/>
      </c>
      <c r="R34" s="276">
        <f>G34*$D34*'E1 Fleet'!$D$97</f>
        <v/>
      </c>
      <c r="S34" s="276">
        <f>H34*$D34*'E1 Fleet'!$D$97</f>
        <v/>
      </c>
      <c r="T34" s="276">
        <f>I34*$D34*'E1 Fleet'!$D$97</f>
        <v/>
      </c>
      <c r="U34" s="276">
        <f>J34*$D34*'E1 Fleet'!$D$97</f>
        <v/>
      </c>
      <c r="V34" s="276">
        <f>K34*$D34*'E1 Fleet'!$D$97</f>
        <v/>
      </c>
      <c r="W34" s="276">
        <f>L34*$D34*'E1 Fleet'!$D$97</f>
        <v/>
      </c>
      <c r="X34" s="276">
        <f>M34*$D34*'E1 Fleet'!$D$97</f>
        <v/>
      </c>
      <c r="Y34" s="276">
        <f>N34*$D34*'E1 Fleet'!$D$97</f>
        <v/>
      </c>
    </row>
    <row r="35">
      <c r="A35" t="inlineStr">
        <is>
          <t>Car</t>
        </is>
      </c>
      <c r="B35" t="n">
        <v>28</v>
      </c>
      <c r="C35" t="n">
        <v>3</v>
      </c>
      <c r="D35" s="275">
        <f>IF($B35=0,'E1 Fleet'!$D$93,1)*EXP(-'E1 Fleet'!$D$94*MAX($B35-6,0))</f>
        <v/>
      </c>
      <c r="E35" s="276">
        <f>IFERROR(INDEX('D Fleet'!$C$5:$C$62,MATCH(E$3-$B35,'D Fleet'!$B$5:$B$62,0)),0)*IFERROR(INDEX('D Fleet'!$J$5:$J$36,INT(($B35/E$4))+1)+(($B35/E$4)-INT(($B35/E$4)))*(INDEX('D Fleet'!$J$5:$J$36,INT(($B35/E$4))+2)-INDEX('D Fleet'!$J$5:$J$36,INT(($B35/E$4))+1)),0)</f>
        <v/>
      </c>
      <c r="F35" s="276">
        <f>IFERROR(INDEX('D Fleet'!$C$5:$C$62,MATCH(F$3-$B35,'D Fleet'!$B$5:$B$62,0)),0)*IFERROR(INDEX('D Fleet'!$J$5:$J$36,INT(($B35/F$4))+1)+(($B35/F$4)-INT(($B35/F$4)))*(INDEX('D Fleet'!$J$5:$J$36,INT(($B35/F$4))+2)-INDEX('D Fleet'!$J$5:$J$36,INT(($B35/F$4))+1)),0)</f>
        <v/>
      </c>
      <c r="G35" s="276">
        <f>IFERROR(INDEX('D Fleet'!$C$5:$C$62,MATCH(G$3-$B35,'D Fleet'!$B$5:$B$62,0)),0)*IFERROR(INDEX('D Fleet'!$J$5:$J$36,INT(($B35/G$4))+1)+(($B35/G$4)-INT(($B35/G$4)))*(INDEX('D Fleet'!$J$5:$J$36,INT(($B35/G$4))+2)-INDEX('D Fleet'!$J$5:$J$36,INT(($B35/G$4))+1)),0)</f>
        <v/>
      </c>
      <c r="H35" s="276">
        <f>IFERROR(INDEX('D Fleet'!$C$5:$C$62,MATCH(H$3-$B35,'D Fleet'!$B$5:$B$62,0)),0)*IFERROR(INDEX('D Fleet'!$J$5:$J$36,INT(($B35/H$4))+1)+(($B35/H$4)-INT(($B35/H$4)))*(INDEX('D Fleet'!$J$5:$J$36,INT(($B35/H$4))+2)-INDEX('D Fleet'!$J$5:$J$36,INT(($B35/H$4))+1)),0)</f>
        <v/>
      </c>
      <c r="I35" s="276">
        <f>IFERROR(INDEX('D Fleet'!$C$5:$C$62,MATCH(I$3-$B35,'D Fleet'!$B$5:$B$62,0)),0)*IFERROR(INDEX('D Fleet'!$J$5:$J$36,INT(($B35/I$4))+1)+(($B35/I$4)-INT(($B35/I$4)))*(INDEX('D Fleet'!$J$5:$J$36,INT(($B35/I$4))+2)-INDEX('D Fleet'!$J$5:$J$36,INT(($B35/I$4))+1)),0)</f>
        <v/>
      </c>
      <c r="J35" s="276">
        <f>IFERROR(INDEX('D Fleet'!$C$5:$C$62,MATCH(J$3-$B35,'D Fleet'!$B$5:$B$62,0)),0)*IFERROR(INDEX('D Fleet'!$J$5:$J$36,INT(($B35/J$4))+1)+(($B35/J$4)-INT(($B35/J$4)))*(INDEX('D Fleet'!$J$5:$J$36,INT(($B35/J$4))+2)-INDEX('D Fleet'!$J$5:$J$36,INT(($B35/J$4))+1)),0)</f>
        <v/>
      </c>
      <c r="K35" s="276">
        <f>IFERROR(INDEX('D Fleet'!$C$5:$C$62,MATCH(K$3-$B35,'D Fleet'!$B$5:$B$62,0)),0)*IFERROR(INDEX('D Fleet'!$J$5:$J$36,INT(($B35/K$4))+1)+(($B35/K$4)-INT(($B35/K$4)))*(INDEX('D Fleet'!$J$5:$J$36,INT(($B35/K$4))+2)-INDEX('D Fleet'!$J$5:$J$36,INT(($B35/K$4))+1)),0)</f>
        <v/>
      </c>
      <c r="L35" s="276">
        <f>IFERROR(INDEX('D Fleet'!$C$5:$C$62,MATCH(L$3-$B35,'D Fleet'!$B$5:$B$62,0)),0)*IFERROR(INDEX('D Fleet'!$J$5:$J$36,INT(($B35/L$4))+1)+(($B35/L$4)-INT(($B35/L$4)))*(INDEX('D Fleet'!$J$5:$J$36,INT(($B35/L$4))+2)-INDEX('D Fleet'!$J$5:$J$36,INT(($B35/L$4))+1)),0)</f>
        <v/>
      </c>
      <c r="M35" s="276">
        <f>IFERROR(INDEX('D Fleet'!$C$5:$C$62,MATCH(M$3-$B35,'D Fleet'!$B$5:$B$62,0)),0)*IFERROR(INDEX('D Fleet'!$J$5:$J$36,INT(($B35/M$4))+1)+(($B35/M$4)-INT(($B35/M$4)))*(INDEX('D Fleet'!$J$5:$J$36,INT(($B35/M$4))+2)-INDEX('D Fleet'!$J$5:$J$36,INT(($B35/M$4))+1)),0)</f>
        <v/>
      </c>
      <c r="N35" s="276">
        <f>IFERROR(INDEX('D Fleet'!$C$5:$C$62,MATCH(N$3-$B35,'D Fleet'!$B$5:$B$62,0)),0)*IFERROR(INDEX('D Fleet'!$J$5:$J$36,INT(($B35/N$4))+1)+(($B35/N$4)-INT(($B35/N$4)))*(INDEX('D Fleet'!$J$5:$J$36,INT(($B35/N$4))+2)-INDEX('D Fleet'!$J$5:$J$36,INT(($B35/N$4))+1)),0)</f>
        <v/>
      </c>
      <c r="P35" s="276">
        <f>E35*$D35*'E1 Fleet'!$D$97</f>
        <v/>
      </c>
      <c r="Q35" s="276">
        <f>F35*$D35*'E1 Fleet'!$D$97</f>
        <v/>
      </c>
      <c r="R35" s="276">
        <f>G35*$D35*'E1 Fleet'!$D$97</f>
        <v/>
      </c>
      <c r="S35" s="276">
        <f>H35*$D35*'E1 Fleet'!$D$97</f>
        <v/>
      </c>
      <c r="T35" s="276">
        <f>I35*$D35*'E1 Fleet'!$D$97</f>
        <v/>
      </c>
      <c r="U35" s="276">
        <f>J35*$D35*'E1 Fleet'!$D$97</f>
        <v/>
      </c>
      <c r="V35" s="276">
        <f>K35*$D35*'E1 Fleet'!$D$97</f>
        <v/>
      </c>
      <c r="W35" s="276">
        <f>L35*$D35*'E1 Fleet'!$D$97</f>
        <v/>
      </c>
      <c r="X35" s="276">
        <f>M35*$D35*'E1 Fleet'!$D$97</f>
        <v/>
      </c>
      <c r="Y35" s="276">
        <f>N35*$D35*'E1 Fleet'!$D$97</f>
        <v/>
      </c>
    </row>
    <row r="36">
      <c r="A36" t="inlineStr">
        <is>
          <t>Car</t>
        </is>
      </c>
      <c r="B36" t="n">
        <v>29</v>
      </c>
      <c r="C36" t="n">
        <v>3</v>
      </c>
      <c r="D36" s="275">
        <f>IF($B36=0,'E1 Fleet'!$D$93,1)*EXP(-'E1 Fleet'!$D$94*MAX($B36-6,0))</f>
        <v/>
      </c>
      <c r="E36" s="276">
        <f>IFERROR(INDEX('D Fleet'!$C$5:$C$62,MATCH(E$3-$B36,'D Fleet'!$B$5:$B$62,0)),0)*IFERROR(INDEX('D Fleet'!$J$5:$J$36,INT(($B36/E$4))+1)+(($B36/E$4)-INT(($B36/E$4)))*(INDEX('D Fleet'!$J$5:$J$36,INT(($B36/E$4))+2)-INDEX('D Fleet'!$J$5:$J$36,INT(($B36/E$4))+1)),0)</f>
        <v/>
      </c>
      <c r="F36" s="276">
        <f>IFERROR(INDEX('D Fleet'!$C$5:$C$62,MATCH(F$3-$B36,'D Fleet'!$B$5:$B$62,0)),0)*IFERROR(INDEX('D Fleet'!$J$5:$J$36,INT(($B36/F$4))+1)+(($B36/F$4)-INT(($B36/F$4)))*(INDEX('D Fleet'!$J$5:$J$36,INT(($B36/F$4))+2)-INDEX('D Fleet'!$J$5:$J$36,INT(($B36/F$4))+1)),0)</f>
        <v/>
      </c>
      <c r="G36" s="276">
        <f>IFERROR(INDEX('D Fleet'!$C$5:$C$62,MATCH(G$3-$B36,'D Fleet'!$B$5:$B$62,0)),0)*IFERROR(INDEX('D Fleet'!$J$5:$J$36,INT(($B36/G$4))+1)+(($B36/G$4)-INT(($B36/G$4)))*(INDEX('D Fleet'!$J$5:$J$36,INT(($B36/G$4))+2)-INDEX('D Fleet'!$J$5:$J$36,INT(($B36/G$4))+1)),0)</f>
        <v/>
      </c>
      <c r="H36" s="276">
        <f>IFERROR(INDEX('D Fleet'!$C$5:$C$62,MATCH(H$3-$B36,'D Fleet'!$B$5:$B$62,0)),0)*IFERROR(INDEX('D Fleet'!$J$5:$J$36,INT(($B36/H$4))+1)+(($B36/H$4)-INT(($B36/H$4)))*(INDEX('D Fleet'!$J$5:$J$36,INT(($B36/H$4))+2)-INDEX('D Fleet'!$J$5:$J$36,INT(($B36/H$4))+1)),0)</f>
        <v/>
      </c>
      <c r="I36" s="276">
        <f>IFERROR(INDEX('D Fleet'!$C$5:$C$62,MATCH(I$3-$B36,'D Fleet'!$B$5:$B$62,0)),0)*IFERROR(INDEX('D Fleet'!$J$5:$J$36,INT(($B36/I$4))+1)+(($B36/I$4)-INT(($B36/I$4)))*(INDEX('D Fleet'!$J$5:$J$36,INT(($B36/I$4))+2)-INDEX('D Fleet'!$J$5:$J$36,INT(($B36/I$4))+1)),0)</f>
        <v/>
      </c>
      <c r="J36" s="276">
        <f>IFERROR(INDEX('D Fleet'!$C$5:$C$62,MATCH(J$3-$B36,'D Fleet'!$B$5:$B$62,0)),0)*IFERROR(INDEX('D Fleet'!$J$5:$J$36,INT(($B36/J$4))+1)+(($B36/J$4)-INT(($B36/J$4)))*(INDEX('D Fleet'!$J$5:$J$36,INT(($B36/J$4))+2)-INDEX('D Fleet'!$J$5:$J$36,INT(($B36/J$4))+1)),0)</f>
        <v/>
      </c>
      <c r="K36" s="276">
        <f>IFERROR(INDEX('D Fleet'!$C$5:$C$62,MATCH(K$3-$B36,'D Fleet'!$B$5:$B$62,0)),0)*IFERROR(INDEX('D Fleet'!$J$5:$J$36,INT(($B36/K$4))+1)+(($B36/K$4)-INT(($B36/K$4)))*(INDEX('D Fleet'!$J$5:$J$36,INT(($B36/K$4))+2)-INDEX('D Fleet'!$J$5:$J$36,INT(($B36/K$4))+1)),0)</f>
        <v/>
      </c>
      <c r="L36" s="276">
        <f>IFERROR(INDEX('D Fleet'!$C$5:$C$62,MATCH(L$3-$B36,'D Fleet'!$B$5:$B$62,0)),0)*IFERROR(INDEX('D Fleet'!$J$5:$J$36,INT(($B36/L$4))+1)+(($B36/L$4)-INT(($B36/L$4)))*(INDEX('D Fleet'!$J$5:$J$36,INT(($B36/L$4))+2)-INDEX('D Fleet'!$J$5:$J$36,INT(($B36/L$4))+1)),0)</f>
        <v/>
      </c>
      <c r="M36" s="276">
        <f>IFERROR(INDEX('D Fleet'!$C$5:$C$62,MATCH(M$3-$B36,'D Fleet'!$B$5:$B$62,0)),0)*IFERROR(INDEX('D Fleet'!$J$5:$J$36,INT(($B36/M$4))+1)+(($B36/M$4)-INT(($B36/M$4)))*(INDEX('D Fleet'!$J$5:$J$36,INT(($B36/M$4))+2)-INDEX('D Fleet'!$J$5:$J$36,INT(($B36/M$4))+1)),0)</f>
        <v/>
      </c>
      <c r="N36" s="276">
        <f>IFERROR(INDEX('D Fleet'!$C$5:$C$62,MATCH(N$3-$B36,'D Fleet'!$B$5:$B$62,0)),0)*IFERROR(INDEX('D Fleet'!$J$5:$J$36,INT(($B36/N$4))+1)+(($B36/N$4)-INT(($B36/N$4)))*(INDEX('D Fleet'!$J$5:$J$36,INT(($B36/N$4))+2)-INDEX('D Fleet'!$J$5:$J$36,INT(($B36/N$4))+1)),0)</f>
        <v/>
      </c>
      <c r="P36" s="276">
        <f>E36*$D36*'E1 Fleet'!$D$97</f>
        <v/>
      </c>
      <c r="Q36" s="276">
        <f>F36*$D36*'E1 Fleet'!$D$97</f>
        <v/>
      </c>
      <c r="R36" s="276">
        <f>G36*$D36*'E1 Fleet'!$D$97</f>
        <v/>
      </c>
      <c r="S36" s="276">
        <f>H36*$D36*'E1 Fleet'!$D$97</f>
        <v/>
      </c>
      <c r="T36" s="276">
        <f>I36*$D36*'E1 Fleet'!$D$97</f>
        <v/>
      </c>
      <c r="U36" s="276">
        <f>J36*$D36*'E1 Fleet'!$D$97</f>
        <v/>
      </c>
      <c r="V36" s="276">
        <f>K36*$D36*'E1 Fleet'!$D$97</f>
        <v/>
      </c>
      <c r="W36" s="276">
        <f>L36*$D36*'E1 Fleet'!$D$97</f>
        <v/>
      </c>
      <c r="X36" s="276">
        <f>M36*$D36*'E1 Fleet'!$D$97</f>
        <v/>
      </c>
      <c r="Y36" s="276">
        <f>N36*$D36*'E1 Fleet'!$D$97</f>
        <v/>
      </c>
    </row>
    <row r="37">
      <c r="A37" t="inlineStr">
        <is>
          <t>Car</t>
        </is>
      </c>
      <c r="B37" t="n">
        <v>30</v>
      </c>
      <c r="C37" t="n">
        <v>3</v>
      </c>
      <c r="D37" s="275">
        <f>IF($B37=0,'E1 Fleet'!$D$93,1)*EXP(-'E1 Fleet'!$D$94*MAX($B37-6,0))</f>
        <v/>
      </c>
      <c r="E37" s="276">
        <f>IFERROR(INDEX('D Fleet'!$C$5:$C$62,MATCH(E$3-$B37,'D Fleet'!$B$5:$B$62,0)),0)*IFERROR(INDEX('D Fleet'!$J$5:$J$36,INT(($B37/E$4))+1)+(($B37/E$4)-INT(($B37/E$4)))*(INDEX('D Fleet'!$J$5:$J$36,INT(($B37/E$4))+2)-INDEX('D Fleet'!$J$5:$J$36,INT(($B37/E$4))+1)),0)</f>
        <v/>
      </c>
      <c r="F37" s="276">
        <f>IFERROR(INDEX('D Fleet'!$C$5:$C$62,MATCH(F$3-$B37,'D Fleet'!$B$5:$B$62,0)),0)*IFERROR(INDEX('D Fleet'!$J$5:$J$36,INT(($B37/F$4))+1)+(($B37/F$4)-INT(($B37/F$4)))*(INDEX('D Fleet'!$J$5:$J$36,INT(($B37/F$4))+2)-INDEX('D Fleet'!$J$5:$J$36,INT(($B37/F$4))+1)),0)</f>
        <v/>
      </c>
      <c r="G37" s="276">
        <f>IFERROR(INDEX('D Fleet'!$C$5:$C$62,MATCH(G$3-$B37,'D Fleet'!$B$5:$B$62,0)),0)*IFERROR(INDEX('D Fleet'!$J$5:$J$36,INT(($B37/G$4))+1)+(($B37/G$4)-INT(($B37/G$4)))*(INDEX('D Fleet'!$J$5:$J$36,INT(($B37/G$4))+2)-INDEX('D Fleet'!$J$5:$J$36,INT(($B37/G$4))+1)),0)</f>
        <v/>
      </c>
      <c r="H37" s="276">
        <f>IFERROR(INDEX('D Fleet'!$C$5:$C$62,MATCH(H$3-$B37,'D Fleet'!$B$5:$B$62,0)),0)*IFERROR(INDEX('D Fleet'!$J$5:$J$36,INT(($B37/H$4))+1)+(($B37/H$4)-INT(($B37/H$4)))*(INDEX('D Fleet'!$J$5:$J$36,INT(($B37/H$4))+2)-INDEX('D Fleet'!$J$5:$J$36,INT(($B37/H$4))+1)),0)</f>
        <v/>
      </c>
      <c r="I37" s="276">
        <f>IFERROR(INDEX('D Fleet'!$C$5:$C$62,MATCH(I$3-$B37,'D Fleet'!$B$5:$B$62,0)),0)*IFERROR(INDEX('D Fleet'!$J$5:$J$36,INT(($B37/I$4))+1)+(($B37/I$4)-INT(($B37/I$4)))*(INDEX('D Fleet'!$J$5:$J$36,INT(($B37/I$4))+2)-INDEX('D Fleet'!$J$5:$J$36,INT(($B37/I$4))+1)),0)</f>
        <v/>
      </c>
      <c r="J37" s="276">
        <f>IFERROR(INDEX('D Fleet'!$C$5:$C$62,MATCH(J$3-$B37,'D Fleet'!$B$5:$B$62,0)),0)*IFERROR(INDEX('D Fleet'!$J$5:$J$36,INT(($B37/J$4))+1)+(($B37/J$4)-INT(($B37/J$4)))*(INDEX('D Fleet'!$J$5:$J$36,INT(($B37/J$4))+2)-INDEX('D Fleet'!$J$5:$J$36,INT(($B37/J$4))+1)),0)</f>
        <v/>
      </c>
      <c r="K37" s="276">
        <f>IFERROR(INDEX('D Fleet'!$C$5:$C$62,MATCH(K$3-$B37,'D Fleet'!$B$5:$B$62,0)),0)*IFERROR(INDEX('D Fleet'!$J$5:$J$36,INT(($B37/K$4))+1)+(($B37/K$4)-INT(($B37/K$4)))*(INDEX('D Fleet'!$J$5:$J$36,INT(($B37/K$4))+2)-INDEX('D Fleet'!$J$5:$J$36,INT(($B37/K$4))+1)),0)</f>
        <v/>
      </c>
      <c r="L37" s="276">
        <f>IFERROR(INDEX('D Fleet'!$C$5:$C$62,MATCH(L$3-$B37,'D Fleet'!$B$5:$B$62,0)),0)*IFERROR(INDEX('D Fleet'!$J$5:$J$36,INT(($B37/L$4))+1)+(($B37/L$4)-INT(($B37/L$4)))*(INDEX('D Fleet'!$J$5:$J$36,INT(($B37/L$4))+2)-INDEX('D Fleet'!$J$5:$J$36,INT(($B37/L$4))+1)),0)</f>
        <v/>
      </c>
      <c r="M37" s="276">
        <f>IFERROR(INDEX('D Fleet'!$C$5:$C$62,MATCH(M$3-$B37,'D Fleet'!$B$5:$B$62,0)),0)*IFERROR(INDEX('D Fleet'!$J$5:$J$36,INT(($B37/M$4))+1)+(($B37/M$4)-INT(($B37/M$4)))*(INDEX('D Fleet'!$J$5:$J$36,INT(($B37/M$4))+2)-INDEX('D Fleet'!$J$5:$J$36,INT(($B37/M$4))+1)),0)</f>
        <v/>
      </c>
      <c r="N37" s="276">
        <f>IFERROR(INDEX('D Fleet'!$C$5:$C$62,MATCH(N$3-$B37,'D Fleet'!$B$5:$B$62,0)),0)*IFERROR(INDEX('D Fleet'!$J$5:$J$36,INT(($B37/N$4))+1)+(($B37/N$4)-INT(($B37/N$4)))*(INDEX('D Fleet'!$J$5:$J$36,INT(($B37/N$4))+2)-INDEX('D Fleet'!$J$5:$J$36,INT(($B37/N$4))+1)),0)</f>
        <v/>
      </c>
      <c r="P37" s="276">
        <f>E37*$D37*'E1 Fleet'!$D$97</f>
        <v/>
      </c>
      <c r="Q37" s="276">
        <f>F37*$D37*'E1 Fleet'!$D$97</f>
        <v/>
      </c>
      <c r="R37" s="276">
        <f>G37*$D37*'E1 Fleet'!$D$97</f>
        <v/>
      </c>
      <c r="S37" s="276">
        <f>H37*$D37*'E1 Fleet'!$D$97</f>
        <v/>
      </c>
      <c r="T37" s="276">
        <f>I37*$D37*'E1 Fleet'!$D$97</f>
        <v/>
      </c>
      <c r="U37" s="276">
        <f>J37*$D37*'E1 Fleet'!$D$97</f>
        <v/>
      </c>
      <c r="V37" s="276">
        <f>K37*$D37*'E1 Fleet'!$D$97</f>
        <v/>
      </c>
      <c r="W37" s="276">
        <f>L37*$D37*'E1 Fleet'!$D$97</f>
        <v/>
      </c>
      <c r="X37" s="276">
        <f>M37*$D37*'E1 Fleet'!$D$97</f>
        <v/>
      </c>
      <c r="Y37" s="276">
        <f>N37*$D37*'E1 Fleet'!$D$97</f>
        <v/>
      </c>
    </row>
    <row r="38">
      <c r="A38" t="inlineStr">
        <is>
          <t>Car</t>
        </is>
      </c>
      <c r="B38" t="n">
        <v>31</v>
      </c>
      <c r="C38" t="n">
        <v>3</v>
      </c>
      <c r="D38" s="275">
        <f>IF($B38=0,'E1 Fleet'!$D$93,1)*EXP(-'E1 Fleet'!$D$94*MAX($B38-6,0))</f>
        <v/>
      </c>
      <c r="E38" s="276">
        <f>IFERROR(INDEX('D Fleet'!$C$5:$C$62,MATCH(E$3-$B38,'D Fleet'!$B$5:$B$62,0)),0)*IFERROR(INDEX('D Fleet'!$J$5:$J$36,INT(($B38/E$4))+1)+(($B38/E$4)-INT(($B38/E$4)))*(INDEX('D Fleet'!$J$5:$J$36,INT(($B38/E$4))+2)-INDEX('D Fleet'!$J$5:$J$36,INT(($B38/E$4))+1)),0)</f>
        <v/>
      </c>
      <c r="F38" s="276">
        <f>IFERROR(INDEX('D Fleet'!$C$5:$C$62,MATCH(F$3-$B38,'D Fleet'!$B$5:$B$62,0)),0)*IFERROR(INDEX('D Fleet'!$J$5:$J$36,INT(($B38/F$4))+1)+(($B38/F$4)-INT(($B38/F$4)))*(INDEX('D Fleet'!$J$5:$J$36,INT(($B38/F$4))+2)-INDEX('D Fleet'!$J$5:$J$36,INT(($B38/F$4))+1)),0)</f>
        <v/>
      </c>
      <c r="G38" s="276">
        <f>IFERROR(INDEX('D Fleet'!$C$5:$C$62,MATCH(G$3-$B38,'D Fleet'!$B$5:$B$62,0)),0)*IFERROR(INDEX('D Fleet'!$J$5:$J$36,INT(($B38/G$4))+1)+(($B38/G$4)-INT(($B38/G$4)))*(INDEX('D Fleet'!$J$5:$J$36,INT(($B38/G$4))+2)-INDEX('D Fleet'!$J$5:$J$36,INT(($B38/G$4))+1)),0)</f>
        <v/>
      </c>
      <c r="H38" s="276">
        <f>IFERROR(INDEX('D Fleet'!$C$5:$C$62,MATCH(H$3-$B38,'D Fleet'!$B$5:$B$62,0)),0)*IFERROR(INDEX('D Fleet'!$J$5:$J$36,INT(($B38/H$4))+1)+(($B38/H$4)-INT(($B38/H$4)))*(INDEX('D Fleet'!$J$5:$J$36,INT(($B38/H$4))+2)-INDEX('D Fleet'!$J$5:$J$36,INT(($B38/H$4))+1)),0)</f>
        <v/>
      </c>
      <c r="I38" s="276">
        <f>IFERROR(INDEX('D Fleet'!$C$5:$C$62,MATCH(I$3-$B38,'D Fleet'!$B$5:$B$62,0)),0)*IFERROR(INDEX('D Fleet'!$J$5:$J$36,INT(($B38/I$4))+1)+(($B38/I$4)-INT(($B38/I$4)))*(INDEX('D Fleet'!$J$5:$J$36,INT(($B38/I$4))+2)-INDEX('D Fleet'!$J$5:$J$36,INT(($B38/I$4))+1)),0)</f>
        <v/>
      </c>
      <c r="J38" s="276">
        <f>IFERROR(INDEX('D Fleet'!$C$5:$C$62,MATCH(J$3-$B38,'D Fleet'!$B$5:$B$62,0)),0)*IFERROR(INDEX('D Fleet'!$J$5:$J$36,INT(($B38/J$4))+1)+(($B38/J$4)-INT(($B38/J$4)))*(INDEX('D Fleet'!$J$5:$J$36,INT(($B38/J$4))+2)-INDEX('D Fleet'!$J$5:$J$36,INT(($B38/J$4))+1)),0)</f>
        <v/>
      </c>
      <c r="K38" s="276">
        <f>IFERROR(INDEX('D Fleet'!$C$5:$C$62,MATCH(K$3-$B38,'D Fleet'!$B$5:$B$62,0)),0)*IFERROR(INDEX('D Fleet'!$J$5:$J$36,INT(($B38/K$4))+1)+(($B38/K$4)-INT(($B38/K$4)))*(INDEX('D Fleet'!$J$5:$J$36,INT(($B38/K$4))+2)-INDEX('D Fleet'!$J$5:$J$36,INT(($B38/K$4))+1)),0)</f>
        <v/>
      </c>
      <c r="L38" s="276">
        <f>IFERROR(INDEX('D Fleet'!$C$5:$C$62,MATCH(L$3-$B38,'D Fleet'!$B$5:$B$62,0)),0)*IFERROR(INDEX('D Fleet'!$J$5:$J$36,INT(($B38/L$4))+1)+(($B38/L$4)-INT(($B38/L$4)))*(INDEX('D Fleet'!$J$5:$J$36,INT(($B38/L$4))+2)-INDEX('D Fleet'!$J$5:$J$36,INT(($B38/L$4))+1)),0)</f>
        <v/>
      </c>
      <c r="M38" s="276">
        <f>IFERROR(INDEX('D Fleet'!$C$5:$C$62,MATCH(M$3-$B38,'D Fleet'!$B$5:$B$62,0)),0)*IFERROR(INDEX('D Fleet'!$J$5:$J$36,INT(($B38/M$4))+1)+(($B38/M$4)-INT(($B38/M$4)))*(INDEX('D Fleet'!$J$5:$J$36,INT(($B38/M$4))+2)-INDEX('D Fleet'!$J$5:$J$36,INT(($B38/M$4))+1)),0)</f>
        <v/>
      </c>
      <c r="N38" s="276">
        <f>IFERROR(INDEX('D Fleet'!$C$5:$C$62,MATCH(N$3-$B38,'D Fleet'!$B$5:$B$62,0)),0)*IFERROR(INDEX('D Fleet'!$J$5:$J$36,INT(($B38/N$4))+1)+(($B38/N$4)-INT(($B38/N$4)))*(INDEX('D Fleet'!$J$5:$J$36,INT(($B38/N$4))+2)-INDEX('D Fleet'!$J$5:$J$36,INT(($B38/N$4))+1)),0)</f>
        <v/>
      </c>
      <c r="P38" s="276">
        <f>E38*$D38*'E1 Fleet'!$D$97</f>
        <v/>
      </c>
      <c r="Q38" s="276">
        <f>F38*$D38*'E1 Fleet'!$D$97</f>
        <v/>
      </c>
      <c r="R38" s="276">
        <f>G38*$D38*'E1 Fleet'!$D$97</f>
        <v/>
      </c>
      <c r="S38" s="276">
        <f>H38*$D38*'E1 Fleet'!$D$97</f>
        <v/>
      </c>
      <c r="T38" s="276">
        <f>I38*$D38*'E1 Fleet'!$D$97</f>
        <v/>
      </c>
      <c r="U38" s="276">
        <f>J38*$D38*'E1 Fleet'!$D$97</f>
        <v/>
      </c>
      <c r="V38" s="276">
        <f>K38*$D38*'E1 Fleet'!$D$97</f>
        <v/>
      </c>
      <c r="W38" s="276">
        <f>L38*$D38*'E1 Fleet'!$D$97</f>
        <v/>
      </c>
      <c r="X38" s="276">
        <f>M38*$D38*'E1 Fleet'!$D$97</f>
        <v/>
      </c>
      <c r="Y38" s="276">
        <f>N38*$D38*'E1 Fleet'!$D$97</f>
        <v/>
      </c>
    </row>
    <row r="39">
      <c r="A39" t="inlineStr">
        <is>
          <t>Car</t>
        </is>
      </c>
      <c r="B39" t="n">
        <v>32</v>
      </c>
      <c r="C39" t="n">
        <v>3</v>
      </c>
      <c r="D39" s="275">
        <f>IF($B39=0,'E1 Fleet'!$D$93,1)*EXP(-'E1 Fleet'!$D$94*MAX($B39-6,0))</f>
        <v/>
      </c>
      <c r="E39" s="276">
        <f>IFERROR(INDEX('D Fleet'!$C$5:$C$62,MATCH(E$3-$B39,'D Fleet'!$B$5:$B$62,0)),0)*IFERROR(INDEX('D Fleet'!$J$5:$J$36,INT(($B39/E$4))+1)+(($B39/E$4)-INT(($B39/E$4)))*(INDEX('D Fleet'!$J$5:$J$36,INT(($B39/E$4))+2)-INDEX('D Fleet'!$J$5:$J$36,INT(($B39/E$4))+1)),0)</f>
        <v/>
      </c>
      <c r="F39" s="276">
        <f>IFERROR(INDEX('D Fleet'!$C$5:$C$62,MATCH(F$3-$B39,'D Fleet'!$B$5:$B$62,0)),0)*IFERROR(INDEX('D Fleet'!$J$5:$J$36,INT(($B39/F$4))+1)+(($B39/F$4)-INT(($B39/F$4)))*(INDEX('D Fleet'!$J$5:$J$36,INT(($B39/F$4))+2)-INDEX('D Fleet'!$J$5:$J$36,INT(($B39/F$4))+1)),0)</f>
        <v/>
      </c>
      <c r="G39" s="276">
        <f>IFERROR(INDEX('D Fleet'!$C$5:$C$62,MATCH(G$3-$B39,'D Fleet'!$B$5:$B$62,0)),0)*IFERROR(INDEX('D Fleet'!$J$5:$J$36,INT(($B39/G$4))+1)+(($B39/G$4)-INT(($B39/G$4)))*(INDEX('D Fleet'!$J$5:$J$36,INT(($B39/G$4))+2)-INDEX('D Fleet'!$J$5:$J$36,INT(($B39/G$4))+1)),0)</f>
        <v/>
      </c>
      <c r="H39" s="276">
        <f>IFERROR(INDEX('D Fleet'!$C$5:$C$62,MATCH(H$3-$B39,'D Fleet'!$B$5:$B$62,0)),0)*IFERROR(INDEX('D Fleet'!$J$5:$J$36,INT(($B39/H$4))+1)+(($B39/H$4)-INT(($B39/H$4)))*(INDEX('D Fleet'!$J$5:$J$36,INT(($B39/H$4))+2)-INDEX('D Fleet'!$J$5:$J$36,INT(($B39/H$4))+1)),0)</f>
        <v/>
      </c>
      <c r="I39" s="276">
        <f>IFERROR(INDEX('D Fleet'!$C$5:$C$62,MATCH(I$3-$B39,'D Fleet'!$B$5:$B$62,0)),0)*IFERROR(INDEX('D Fleet'!$J$5:$J$36,INT(($B39/I$4))+1)+(($B39/I$4)-INT(($B39/I$4)))*(INDEX('D Fleet'!$J$5:$J$36,INT(($B39/I$4))+2)-INDEX('D Fleet'!$J$5:$J$36,INT(($B39/I$4))+1)),0)</f>
        <v/>
      </c>
      <c r="J39" s="276">
        <f>IFERROR(INDEX('D Fleet'!$C$5:$C$62,MATCH(J$3-$B39,'D Fleet'!$B$5:$B$62,0)),0)*IFERROR(INDEX('D Fleet'!$J$5:$J$36,INT(($B39/J$4))+1)+(($B39/J$4)-INT(($B39/J$4)))*(INDEX('D Fleet'!$J$5:$J$36,INT(($B39/J$4))+2)-INDEX('D Fleet'!$J$5:$J$36,INT(($B39/J$4))+1)),0)</f>
        <v/>
      </c>
      <c r="K39" s="276">
        <f>IFERROR(INDEX('D Fleet'!$C$5:$C$62,MATCH(K$3-$B39,'D Fleet'!$B$5:$B$62,0)),0)*IFERROR(INDEX('D Fleet'!$J$5:$J$36,INT(($B39/K$4))+1)+(($B39/K$4)-INT(($B39/K$4)))*(INDEX('D Fleet'!$J$5:$J$36,INT(($B39/K$4))+2)-INDEX('D Fleet'!$J$5:$J$36,INT(($B39/K$4))+1)),0)</f>
        <v/>
      </c>
      <c r="L39" s="276">
        <f>IFERROR(INDEX('D Fleet'!$C$5:$C$62,MATCH(L$3-$B39,'D Fleet'!$B$5:$B$62,0)),0)*IFERROR(INDEX('D Fleet'!$J$5:$J$36,INT(($B39/L$4))+1)+(($B39/L$4)-INT(($B39/L$4)))*(INDEX('D Fleet'!$J$5:$J$36,INT(($B39/L$4))+2)-INDEX('D Fleet'!$J$5:$J$36,INT(($B39/L$4))+1)),0)</f>
        <v/>
      </c>
      <c r="M39" s="276">
        <f>IFERROR(INDEX('D Fleet'!$C$5:$C$62,MATCH(M$3-$B39,'D Fleet'!$B$5:$B$62,0)),0)*IFERROR(INDEX('D Fleet'!$J$5:$J$36,INT(($B39/M$4))+1)+(($B39/M$4)-INT(($B39/M$4)))*(INDEX('D Fleet'!$J$5:$J$36,INT(($B39/M$4))+2)-INDEX('D Fleet'!$J$5:$J$36,INT(($B39/M$4))+1)),0)</f>
        <v/>
      </c>
      <c r="N39" s="276">
        <f>IFERROR(INDEX('D Fleet'!$C$5:$C$62,MATCH(N$3-$B39,'D Fleet'!$B$5:$B$62,0)),0)*IFERROR(INDEX('D Fleet'!$J$5:$J$36,INT(($B39/N$4))+1)+(($B39/N$4)-INT(($B39/N$4)))*(INDEX('D Fleet'!$J$5:$J$36,INT(($B39/N$4))+2)-INDEX('D Fleet'!$J$5:$J$36,INT(($B39/N$4))+1)),0)</f>
        <v/>
      </c>
      <c r="P39" s="276">
        <f>E39*$D39*'E1 Fleet'!$D$97</f>
        <v/>
      </c>
      <c r="Q39" s="276">
        <f>F39*$D39*'E1 Fleet'!$D$97</f>
        <v/>
      </c>
      <c r="R39" s="276">
        <f>G39*$D39*'E1 Fleet'!$D$97</f>
        <v/>
      </c>
      <c r="S39" s="276">
        <f>H39*$D39*'E1 Fleet'!$D$97</f>
        <v/>
      </c>
      <c r="T39" s="276">
        <f>I39*$D39*'E1 Fleet'!$D$97</f>
        <v/>
      </c>
      <c r="U39" s="276">
        <f>J39*$D39*'E1 Fleet'!$D$97</f>
        <v/>
      </c>
      <c r="V39" s="276">
        <f>K39*$D39*'E1 Fleet'!$D$97</f>
        <v/>
      </c>
      <c r="W39" s="276">
        <f>L39*$D39*'E1 Fleet'!$D$97</f>
        <v/>
      </c>
      <c r="X39" s="276">
        <f>M39*$D39*'E1 Fleet'!$D$97</f>
        <v/>
      </c>
      <c r="Y39" s="276">
        <f>N39*$D39*'E1 Fleet'!$D$97</f>
        <v/>
      </c>
    </row>
    <row r="40">
      <c r="A40" t="inlineStr">
        <is>
          <t>Car</t>
        </is>
      </c>
      <c r="B40" t="n">
        <v>33</v>
      </c>
      <c r="C40" t="n">
        <v>3</v>
      </c>
      <c r="D40" s="275">
        <f>IF($B40=0,'E1 Fleet'!$D$93,1)*EXP(-'E1 Fleet'!$D$94*MAX($B40-6,0))</f>
        <v/>
      </c>
      <c r="E40" s="276">
        <f>IFERROR(INDEX('D Fleet'!$C$5:$C$62,MATCH(E$3-$B40,'D Fleet'!$B$5:$B$62,0)),0)*IFERROR(INDEX('D Fleet'!$J$5:$J$36,INT(($B40/E$4))+1)+(($B40/E$4)-INT(($B40/E$4)))*(INDEX('D Fleet'!$J$5:$J$36,INT(($B40/E$4))+2)-INDEX('D Fleet'!$J$5:$J$36,INT(($B40/E$4))+1)),0)</f>
        <v/>
      </c>
      <c r="F40" s="276">
        <f>IFERROR(INDEX('D Fleet'!$C$5:$C$62,MATCH(F$3-$B40,'D Fleet'!$B$5:$B$62,0)),0)*IFERROR(INDEX('D Fleet'!$J$5:$J$36,INT(($B40/F$4))+1)+(($B40/F$4)-INT(($B40/F$4)))*(INDEX('D Fleet'!$J$5:$J$36,INT(($B40/F$4))+2)-INDEX('D Fleet'!$J$5:$J$36,INT(($B40/F$4))+1)),0)</f>
        <v/>
      </c>
      <c r="G40" s="276">
        <f>IFERROR(INDEX('D Fleet'!$C$5:$C$62,MATCH(G$3-$B40,'D Fleet'!$B$5:$B$62,0)),0)*IFERROR(INDEX('D Fleet'!$J$5:$J$36,INT(($B40/G$4))+1)+(($B40/G$4)-INT(($B40/G$4)))*(INDEX('D Fleet'!$J$5:$J$36,INT(($B40/G$4))+2)-INDEX('D Fleet'!$J$5:$J$36,INT(($B40/G$4))+1)),0)</f>
        <v/>
      </c>
      <c r="H40" s="276">
        <f>IFERROR(INDEX('D Fleet'!$C$5:$C$62,MATCH(H$3-$B40,'D Fleet'!$B$5:$B$62,0)),0)*IFERROR(INDEX('D Fleet'!$J$5:$J$36,INT(($B40/H$4))+1)+(($B40/H$4)-INT(($B40/H$4)))*(INDEX('D Fleet'!$J$5:$J$36,INT(($B40/H$4))+2)-INDEX('D Fleet'!$J$5:$J$36,INT(($B40/H$4))+1)),0)</f>
        <v/>
      </c>
      <c r="I40" s="276">
        <f>IFERROR(INDEX('D Fleet'!$C$5:$C$62,MATCH(I$3-$B40,'D Fleet'!$B$5:$B$62,0)),0)*IFERROR(INDEX('D Fleet'!$J$5:$J$36,INT(($B40/I$4))+1)+(($B40/I$4)-INT(($B40/I$4)))*(INDEX('D Fleet'!$J$5:$J$36,INT(($B40/I$4))+2)-INDEX('D Fleet'!$J$5:$J$36,INT(($B40/I$4))+1)),0)</f>
        <v/>
      </c>
      <c r="J40" s="276">
        <f>IFERROR(INDEX('D Fleet'!$C$5:$C$62,MATCH(J$3-$B40,'D Fleet'!$B$5:$B$62,0)),0)*IFERROR(INDEX('D Fleet'!$J$5:$J$36,INT(($B40/J$4))+1)+(($B40/J$4)-INT(($B40/J$4)))*(INDEX('D Fleet'!$J$5:$J$36,INT(($B40/J$4))+2)-INDEX('D Fleet'!$J$5:$J$36,INT(($B40/J$4))+1)),0)</f>
        <v/>
      </c>
      <c r="K40" s="276">
        <f>IFERROR(INDEX('D Fleet'!$C$5:$C$62,MATCH(K$3-$B40,'D Fleet'!$B$5:$B$62,0)),0)*IFERROR(INDEX('D Fleet'!$J$5:$J$36,INT(($B40/K$4))+1)+(($B40/K$4)-INT(($B40/K$4)))*(INDEX('D Fleet'!$J$5:$J$36,INT(($B40/K$4))+2)-INDEX('D Fleet'!$J$5:$J$36,INT(($B40/K$4))+1)),0)</f>
        <v/>
      </c>
      <c r="L40" s="276">
        <f>IFERROR(INDEX('D Fleet'!$C$5:$C$62,MATCH(L$3-$B40,'D Fleet'!$B$5:$B$62,0)),0)*IFERROR(INDEX('D Fleet'!$J$5:$J$36,INT(($B40/L$4))+1)+(($B40/L$4)-INT(($B40/L$4)))*(INDEX('D Fleet'!$J$5:$J$36,INT(($B40/L$4))+2)-INDEX('D Fleet'!$J$5:$J$36,INT(($B40/L$4))+1)),0)</f>
        <v/>
      </c>
      <c r="M40" s="276">
        <f>IFERROR(INDEX('D Fleet'!$C$5:$C$62,MATCH(M$3-$B40,'D Fleet'!$B$5:$B$62,0)),0)*IFERROR(INDEX('D Fleet'!$J$5:$J$36,INT(($B40/M$4))+1)+(($B40/M$4)-INT(($B40/M$4)))*(INDEX('D Fleet'!$J$5:$J$36,INT(($B40/M$4))+2)-INDEX('D Fleet'!$J$5:$J$36,INT(($B40/M$4))+1)),0)</f>
        <v/>
      </c>
      <c r="N40" s="276">
        <f>IFERROR(INDEX('D Fleet'!$C$5:$C$62,MATCH(N$3-$B40,'D Fleet'!$B$5:$B$62,0)),0)*IFERROR(INDEX('D Fleet'!$J$5:$J$36,INT(($B40/N$4))+1)+(($B40/N$4)-INT(($B40/N$4)))*(INDEX('D Fleet'!$J$5:$J$36,INT(($B40/N$4))+2)-INDEX('D Fleet'!$J$5:$J$36,INT(($B40/N$4))+1)),0)</f>
        <v/>
      </c>
      <c r="P40" s="276">
        <f>E40*$D40*'E1 Fleet'!$D$97</f>
        <v/>
      </c>
      <c r="Q40" s="276">
        <f>F40*$D40*'E1 Fleet'!$D$97</f>
        <v/>
      </c>
      <c r="R40" s="276">
        <f>G40*$D40*'E1 Fleet'!$D$97</f>
        <v/>
      </c>
      <c r="S40" s="276">
        <f>H40*$D40*'E1 Fleet'!$D$97</f>
        <v/>
      </c>
      <c r="T40" s="276">
        <f>I40*$D40*'E1 Fleet'!$D$97</f>
        <v/>
      </c>
      <c r="U40" s="276">
        <f>J40*$D40*'E1 Fleet'!$D$97</f>
        <v/>
      </c>
      <c r="V40" s="276">
        <f>K40*$D40*'E1 Fleet'!$D$97</f>
        <v/>
      </c>
      <c r="W40" s="276">
        <f>L40*$D40*'E1 Fleet'!$D$97</f>
        <v/>
      </c>
      <c r="X40" s="276">
        <f>M40*$D40*'E1 Fleet'!$D$97</f>
        <v/>
      </c>
      <c r="Y40" s="276">
        <f>N40*$D40*'E1 Fleet'!$D$97</f>
        <v/>
      </c>
    </row>
    <row r="41">
      <c r="A41" t="inlineStr">
        <is>
          <t>Car</t>
        </is>
      </c>
      <c r="B41" t="n">
        <v>34</v>
      </c>
      <c r="C41" t="n">
        <v>3</v>
      </c>
      <c r="D41" s="275">
        <f>IF($B41=0,'E1 Fleet'!$D$93,1)*EXP(-'E1 Fleet'!$D$94*MAX($B41-6,0))</f>
        <v/>
      </c>
      <c r="E41" s="276">
        <f>IFERROR(INDEX('D Fleet'!$C$5:$C$62,MATCH(E$3-$B41,'D Fleet'!$B$5:$B$62,0)),0)*IFERROR(INDEX('D Fleet'!$J$5:$J$36,INT(($B41/E$4))+1)+(($B41/E$4)-INT(($B41/E$4)))*(INDEX('D Fleet'!$J$5:$J$36,INT(($B41/E$4))+2)-INDEX('D Fleet'!$J$5:$J$36,INT(($B41/E$4))+1)),0)</f>
        <v/>
      </c>
      <c r="F41" s="276">
        <f>IFERROR(INDEX('D Fleet'!$C$5:$C$62,MATCH(F$3-$B41,'D Fleet'!$B$5:$B$62,0)),0)*IFERROR(INDEX('D Fleet'!$J$5:$J$36,INT(($B41/F$4))+1)+(($B41/F$4)-INT(($B41/F$4)))*(INDEX('D Fleet'!$J$5:$J$36,INT(($B41/F$4))+2)-INDEX('D Fleet'!$J$5:$J$36,INT(($B41/F$4))+1)),0)</f>
        <v/>
      </c>
      <c r="G41" s="276">
        <f>IFERROR(INDEX('D Fleet'!$C$5:$C$62,MATCH(G$3-$B41,'D Fleet'!$B$5:$B$62,0)),0)*IFERROR(INDEX('D Fleet'!$J$5:$J$36,INT(($B41/G$4))+1)+(($B41/G$4)-INT(($B41/G$4)))*(INDEX('D Fleet'!$J$5:$J$36,INT(($B41/G$4))+2)-INDEX('D Fleet'!$J$5:$J$36,INT(($B41/G$4))+1)),0)</f>
        <v/>
      </c>
      <c r="H41" s="276">
        <f>IFERROR(INDEX('D Fleet'!$C$5:$C$62,MATCH(H$3-$B41,'D Fleet'!$B$5:$B$62,0)),0)*IFERROR(INDEX('D Fleet'!$J$5:$J$36,INT(($B41/H$4))+1)+(($B41/H$4)-INT(($B41/H$4)))*(INDEX('D Fleet'!$J$5:$J$36,INT(($B41/H$4))+2)-INDEX('D Fleet'!$J$5:$J$36,INT(($B41/H$4))+1)),0)</f>
        <v/>
      </c>
      <c r="I41" s="276">
        <f>IFERROR(INDEX('D Fleet'!$C$5:$C$62,MATCH(I$3-$B41,'D Fleet'!$B$5:$B$62,0)),0)*IFERROR(INDEX('D Fleet'!$J$5:$J$36,INT(($B41/I$4))+1)+(($B41/I$4)-INT(($B41/I$4)))*(INDEX('D Fleet'!$J$5:$J$36,INT(($B41/I$4))+2)-INDEX('D Fleet'!$J$5:$J$36,INT(($B41/I$4))+1)),0)</f>
        <v/>
      </c>
      <c r="J41" s="276">
        <f>IFERROR(INDEX('D Fleet'!$C$5:$C$62,MATCH(J$3-$B41,'D Fleet'!$B$5:$B$62,0)),0)*IFERROR(INDEX('D Fleet'!$J$5:$J$36,INT(($B41/J$4))+1)+(($B41/J$4)-INT(($B41/J$4)))*(INDEX('D Fleet'!$J$5:$J$36,INT(($B41/J$4))+2)-INDEX('D Fleet'!$J$5:$J$36,INT(($B41/J$4))+1)),0)</f>
        <v/>
      </c>
      <c r="K41" s="276">
        <f>IFERROR(INDEX('D Fleet'!$C$5:$C$62,MATCH(K$3-$B41,'D Fleet'!$B$5:$B$62,0)),0)*IFERROR(INDEX('D Fleet'!$J$5:$J$36,INT(($B41/K$4))+1)+(($B41/K$4)-INT(($B41/K$4)))*(INDEX('D Fleet'!$J$5:$J$36,INT(($B41/K$4))+2)-INDEX('D Fleet'!$J$5:$J$36,INT(($B41/K$4))+1)),0)</f>
        <v/>
      </c>
      <c r="L41" s="276">
        <f>IFERROR(INDEX('D Fleet'!$C$5:$C$62,MATCH(L$3-$B41,'D Fleet'!$B$5:$B$62,0)),0)*IFERROR(INDEX('D Fleet'!$J$5:$J$36,INT(($B41/L$4))+1)+(($B41/L$4)-INT(($B41/L$4)))*(INDEX('D Fleet'!$J$5:$J$36,INT(($B41/L$4))+2)-INDEX('D Fleet'!$J$5:$J$36,INT(($B41/L$4))+1)),0)</f>
        <v/>
      </c>
      <c r="M41" s="276">
        <f>IFERROR(INDEX('D Fleet'!$C$5:$C$62,MATCH(M$3-$B41,'D Fleet'!$B$5:$B$62,0)),0)*IFERROR(INDEX('D Fleet'!$J$5:$J$36,INT(($B41/M$4))+1)+(($B41/M$4)-INT(($B41/M$4)))*(INDEX('D Fleet'!$J$5:$J$36,INT(($B41/M$4))+2)-INDEX('D Fleet'!$J$5:$J$36,INT(($B41/M$4))+1)),0)</f>
        <v/>
      </c>
      <c r="N41" s="276">
        <f>IFERROR(INDEX('D Fleet'!$C$5:$C$62,MATCH(N$3-$B41,'D Fleet'!$B$5:$B$62,0)),0)*IFERROR(INDEX('D Fleet'!$J$5:$J$36,INT(($B41/N$4))+1)+(($B41/N$4)-INT(($B41/N$4)))*(INDEX('D Fleet'!$J$5:$J$36,INT(($B41/N$4))+2)-INDEX('D Fleet'!$J$5:$J$36,INT(($B41/N$4))+1)),0)</f>
        <v/>
      </c>
      <c r="P41" s="276">
        <f>E41*$D41*'E1 Fleet'!$D$97</f>
        <v/>
      </c>
      <c r="Q41" s="276">
        <f>F41*$D41*'E1 Fleet'!$D$97</f>
        <v/>
      </c>
      <c r="R41" s="276">
        <f>G41*$D41*'E1 Fleet'!$D$97</f>
        <v/>
      </c>
      <c r="S41" s="276">
        <f>H41*$D41*'E1 Fleet'!$D$97</f>
        <v/>
      </c>
      <c r="T41" s="276">
        <f>I41*$D41*'E1 Fleet'!$D$97</f>
        <v/>
      </c>
      <c r="U41" s="276">
        <f>J41*$D41*'E1 Fleet'!$D$97</f>
        <v/>
      </c>
      <c r="V41" s="276">
        <f>K41*$D41*'E1 Fleet'!$D$97</f>
        <v/>
      </c>
      <c r="W41" s="276">
        <f>L41*$D41*'E1 Fleet'!$D$97</f>
        <v/>
      </c>
      <c r="X41" s="276">
        <f>M41*$D41*'E1 Fleet'!$D$97</f>
        <v/>
      </c>
      <c r="Y41" s="276">
        <f>N41*$D41*'E1 Fleet'!$D$97</f>
        <v/>
      </c>
    </row>
    <row r="42">
      <c r="A42" t="inlineStr">
        <is>
          <t>Car</t>
        </is>
      </c>
      <c r="B42" t="n">
        <v>35</v>
      </c>
      <c r="C42" t="n">
        <v>3</v>
      </c>
      <c r="D42" s="275">
        <f>IF($B42=0,'E1 Fleet'!$D$93,1)*EXP(-'E1 Fleet'!$D$94*MAX($B42-6,0))</f>
        <v/>
      </c>
      <c r="E42" s="276">
        <f>IFERROR(INDEX('D Fleet'!$C$5:$C$62,MATCH(E$3-$B42,'D Fleet'!$B$5:$B$62,0)),0)*IFERROR(INDEX('D Fleet'!$J$5:$J$36,INT(($B42/E$4))+1)+(($B42/E$4)-INT(($B42/E$4)))*(INDEX('D Fleet'!$J$5:$J$36,INT(($B42/E$4))+2)-INDEX('D Fleet'!$J$5:$J$36,INT(($B42/E$4))+1)),0)</f>
        <v/>
      </c>
      <c r="F42" s="276">
        <f>IFERROR(INDEX('D Fleet'!$C$5:$C$62,MATCH(F$3-$B42,'D Fleet'!$B$5:$B$62,0)),0)*IFERROR(INDEX('D Fleet'!$J$5:$J$36,INT(($B42/F$4))+1)+(($B42/F$4)-INT(($B42/F$4)))*(INDEX('D Fleet'!$J$5:$J$36,INT(($B42/F$4))+2)-INDEX('D Fleet'!$J$5:$J$36,INT(($B42/F$4))+1)),0)</f>
        <v/>
      </c>
      <c r="G42" s="276">
        <f>IFERROR(INDEX('D Fleet'!$C$5:$C$62,MATCH(G$3-$B42,'D Fleet'!$B$5:$B$62,0)),0)*IFERROR(INDEX('D Fleet'!$J$5:$J$36,INT(($B42/G$4))+1)+(($B42/G$4)-INT(($B42/G$4)))*(INDEX('D Fleet'!$J$5:$J$36,INT(($B42/G$4))+2)-INDEX('D Fleet'!$J$5:$J$36,INT(($B42/G$4))+1)),0)</f>
        <v/>
      </c>
      <c r="H42" s="276">
        <f>IFERROR(INDEX('D Fleet'!$C$5:$C$62,MATCH(H$3-$B42,'D Fleet'!$B$5:$B$62,0)),0)*IFERROR(INDEX('D Fleet'!$J$5:$J$36,INT(($B42/H$4))+1)+(($B42/H$4)-INT(($B42/H$4)))*(INDEX('D Fleet'!$J$5:$J$36,INT(($B42/H$4))+2)-INDEX('D Fleet'!$J$5:$J$36,INT(($B42/H$4))+1)),0)</f>
        <v/>
      </c>
      <c r="I42" s="276">
        <f>IFERROR(INDEX('D Fleet'!$C$5:$C$62,MATCH(I$3-$B42,'D Fleet'!$B$5:$B$62,0)),0)*IFERROR(INDEX('D Fleet'!$J$5:$J$36,INT(($B42/I$4))+1)+(($B42/I$4)-INT(($B42/I$4)))*(INDEX('D Fleet'!$J$5:$J$36,INT(($B42/I$4))+2)-INDEX('D Fleet'!$J$5:$J$36,INT(($B42/I$4))+1)),0)</f>
        <v/>
      </c>
      <c r="J42" s="276">
        <f>IFERROR(INDEX('D Fleet'!$C$5:$C$62,MATCH(J$3-$B42,'D Fleet'!$B$5:$B$62,0)),0)*IFERROR(INDEX('D Fleet'!$J$5:$J$36,INT(($B42/J$4))+1)+(($B42/J$4)-INT(($B42/J$4)))*(INDEX('D Fleet'!$J$5:$J$36,INT(($B42/J$4))+2)-INDEX('D Fleet'!$J$5:$J$36,INT(($B42/J$4))+1)),0)</f>
        <v/>
      </c>
      <c r="K42" s="276">
        <f>IFERROR(INDEX('D Fleet'!$C$5:$C$62,MATCH(K$3-$B42,'D Fleet'!$B$5:$B$62,0)),0)*IFERROR(INDEX('D Fleet'!$J$5:$J$36,INT(($B42/K$4))+1)+(($B42/K$4)-INT(($B42/K$4)))*(INDEX('D Fleet'!$J$5:$J$36,INT(($B42/K$4))+2)-INDEX('D Fleet'!$J$5:$J$36,INT(($B42/K$4))+1)),0)</f>
        <v/>
      </c>
      <c r="L42" s="276">
        <f>IFERROR(INDEX('D Fleet'!$C$5:$C$62,MATCH(L$3-$B42,'D Fleet'!$B$5:$B$62,0)),0)*IFERROR(INDEX('D Fleet'!$J$5:$J$36,INT(($B42/L$4))+1)+(($B42/L$4)-INT(($B42/L$4)))*(INDEX('D Fleet'!$J$5:$J$36,INT(($B42/L$4))+2)-INDEX('D Fleet'!$J$5:$J$36,INT(($B42/L$4))+1)),0)</f>
        <v/>
      </c>
      <c r="M42" s="276">
        <f>IFERROR(INDEX('D Fleet'!$C$5:$C$62,MATCH(M$3-$B42,'D Fleet'!$B$5:$B$62,0)),0)*IFERROR(INDEX('D Fleet'!$J$5:$J$36,INT(($B42/M$4))+1)+(($B42/M$4)-INT(($B42/M$4)))*(INDEX('D Fleet'!$J$5:$J$36,INT(($B42/M$4))+2)-INDEX('D Fleet'!$J$5:$J$36,INT(($B42/M$4))+1)),0)</f>
        <v/>
      </c>
      <c r="N42" s="276">
        <f>IFERROR(INDEX('D Fleet'!$C$5:$C$62,MATCH(N$3-$B42,'D Fleet'!$B$5:$B$62,0)),0)*IFERROR(INDEX('D Fleet'!$J$5:$J$36,INT(($B42/N$4))+1)+(($B42/N$4)-INT(($B42/N$4)))*(INDEX('D Fleet'!$J$5:$J$36,INT(($B42/N$4))+2)-INDEX('D Fleet'!$J$5:$J$36,INT(($B42/N$4))+1)),0)</f>
        <v/>
      </c>
      <c r="P42" s="276">
        <f>E42*$D42*'E1 Fleet'!$D$97</f>
        <v/>
      </c>
      <c r="Q42" s="276">
        <f>F42*$D42*'E1 Fleet'!$D$97</f>
        <v/>
      </c>
      <c r="R42" s="276">
        <f>G42*$D42*'E1 Fleet'!$D$97</f>
        <v/>
      </c>
      <c r="S42" s="276">
        <f>H42*$D42*'E1 Fleet'!$D$97</f>
        <v/>
      </c>
      <c r="T42" s="276">
        <f>I42*$D42*'E1 Fleet'!$D$97</f>
        <v/>
      </c>
      <c r="U42" s="276">
        <f>J42*$D42*'E1 Fleet'!$D$97</f>
        <v/>
      </c>
      <c r="V42" s="276">
        <f>K42*$D42*'E1 Fleet'!$D$97</f>
        <v/>
      </c>
      <c r="W42" s="276">
        <f>L42*$D42*'E1 Fleet'!$D$97</f>
        <v/>
      </c>
      <c r="X42" s="276">
        <f>M42*$D42*'E1 Fleet'!$D$97</f>
        <v/>
      </c>
      <c r="Y42" s="276">
        <f>N42*$D42*'E1 Fleet'!$D$97</f>
        <v/>
      </c>
    </row>
    <row r="43">
      <c r="A43" t="inlineStr">
        <is>
          <t>Car</t>
        </is>
      </c>
      <c r="B43" t="n">
        <v>36</v>
      </c>
      <c r="C43" t="n">
        <v>3</v>
      </c>
      <c r="D43" s="275">
        <f>IF($B43=0,'E1 Fleet'!$D$93,1)*EXP(-'E1 Fleet'!$D$94*MAX($B43-6,0))</f>
        <v/>
      </c>
      <c r="E43" s="276">
        <f>IFERROR(INDEX('D Fleet'!$C$5:$C$62,MATCH(E$3-$B43,'D Fleet'!$B$5:$B$62,0)),0)*IFERROR(INDEX('D Fleet'!$J$5:$J$36,INT(($B43/E$4))+1)+(($B43/E$4)-INT(($B43/E$4)))*(INDEX('D Fleet'!$J$5:$J$36,INT(($B43/E$4))+2)-INDEX('D Fleet'!$J$5:$J$36,INT(($B43/E$4))+1)),0)</f>
        <v/>
      </c>
      <c r="F43" s="276">
        <f>IFERROR(INDEX('D Fleet'!$C$5:$C$62,MATCH(F$3-$B43,'D Fleet'!$B$5:$B$62,0)),0)*IFERROR(INDEX('D Fleet'!$J$5:$J$36,INT(($B43/F$4))+1)+(($B43/F$4)-INT(($B43/F$4)))*(INDEX('D Fleet'!$J$5:$J$36,INT(($B43/F$4))+2)-INDEX('D Fleet'!$J$5:$J$36,INT(($B43/F$4))+1)),0)</f>
        <v/>
      </c>
      <c r="G43" s="276">
        <f>IFERROR(INDEX('D Fleet'!$C$5:$C$62,MATCH(G$3-$B43,'D Fleet'!$B$5:$B$62,0)),0)*IFERROR(INDEX('D Fleet'!$J$5:$J$36,INT(($B43/G$4))+1)+(($B43/G$4)-INT(($B43/G$4)))*(INDEX('D Fleet'!$J$5:$J$36,INT(($B43/G$4))+2)-INDEX('D Fleet'!$J$5:$J$36,INT(($B43/G$4))+1)),0)</f>
        <v/>
      </c>
      <c r="H43" s="276">
        <f>IFERROR(INDEX('D Fleet'!$C$5:$C$62,MATCH(H$3-$B43,'D Fleet'!$B$5:$B$62,0)),0)*IFERROR(INDEX('D Fleet'!$J$5:$J$36,INT(($B43/H$4))+1)+(($B43/H$4)-INT(($B43/H$4)))*(INDEX('D Fleet'!$J$5:$J$36,INT(($B43/H$4))+2)-INDEX('D Fleet'!$J$5:$J$36,INT(($B43/H$4))+1)),0)</f>
        <v/>
      </c>
      <c r="I43" s="276">
        <f>IFERROR(INDEX('D Fleet'!$C$5:$C$62,MATCH(I$3-$B43,'D Fleet'!$B$5:$B$62,0)),0)*IFERROR(INDEX('D Fleet'!$J$5:$J$36,INT(($B43/I$4))+1)+(($B43/I$4)-INT(($B43/I$4)))*(INDEX('D Fleet'!$J$5:$J$36,INT(($B43/I$4))+2)-INDEX('D Fleet'!$J$5:$J$36,INT(($B43/I$4))+1)),0)</f>
        <v/>
      </c>
      <c r="J43" s="276">
        <f>IFERROR(INDEX('D Fleet'!$C$5:$C$62,MATCH(J$3-$B43,'D Fleet'!$B$5:$B$62,0)),0)*IFERROR(INDEX('D Fleet'!$J$5:$J$36,INT(($B43/J$4))+1)+(($B43/J$4)-INT(($B43/J$4)))*(INDEX('D Fleet'!$J$5:$J$36,INT(($B43/J$4))+2)-INDEX('D Fleet'!$J$5:$J$36,INT(($B43/J$4))+1)),0)</f>
        <v/>
      </c>
      <c r="K43" s="276">
        <f>IFERROR(INDEX('D Fleet'!$C$5:$C$62,MATCH(K$3-$B43,'D Fleet'!$B$5:$B$62,0)),0)*IFERROR(INDEX('D Fleet'!$J$5:$J$36,INT(($B43/K$4))+1)+(($B43/K$4)-INT(($B43/K$4)))*(INDEX('D Fleet'!$J$5:$J$36,INT(($B43/K$4))+2)-INDEX('D Fleet'!$J$5:$J$36,INT(($B43/K$4))+1)),0)</f>
        <v/>
      </c>
      <c r="L43" s="276">
        <f>IFERROR(INDEX('D Fleet'!$C$5:$C$62,MATCH(L$3-$B43,'D Fleet'!$B$5:$B$62,0)),0)*IFERROR(INDEX('D Fleet'!$J$5:$J$36,INT(($B43/L$4))+1)+(($B43/L$4)-INT(($B43/L$4)))*(INDEX('D Fleet'!$J$5:$J$36,INT(($B43/L$4))+2)-INDEX('D Fleet'!$J$5:$J$36,INT(($B43/L$4))+1)),0)</f>
        <v/>
      </c>
      <c r="M43" s="276">
        <f>IFERROR(INDEX('D Fleet'!$C$5:$C$62,MATCH(M$3-$B43,'D Fleet'!$B$5:$B$62,0)),0)*IFERROR(INDEX('D Fleet'!$J$5:$J$36,INT(($B43/M$4))+1)+(($B43/M$4)-INT(($B43/M$4)))*(INDEX('D Fleet'!$J$5:$J$36,INT(($B43/M$4))+2)-INDEX('D Fleet'!$J$5:$J$36,INT(($B43/M$4))+1)),0)</f>
        <v/>
      </c>
      <c r="N43" s="276">
        <f>IFERROR(INDEX('D Fleet'!$C$5:$C$62,MATCH(N$3-$B43,'D Fleet'!$B$5:$B$62,0)),0)*IFERROR(INDEX('D Fleet'!$J$5:$J$36,INT(($B43/N$4))+1)+(($B43/N$4)-INT(($B43/N$4)))*(INDEX('D Fleet'!$J$5:$J$36,INT(($B43/N$4))+2)-INDEX('D Fleet'!$J$5:$J$36,INT(($B43/N$4))+1)),0)</f>
        <v/>
      </c>
      <c r="P43" s="276">
        <f>E43*$D43*'E1 Fleet'!$D$97</f>
        <v/>
      </c>
      <c r="Q43" s="276">
        <f>F43*$D43*'E1 Fleet'!$D$97</f>
        <v/>
      </c>
      <c r="R43" s="276">
        <f>G43*$D43*'E1 Fleet'!$D$97</f>
        <v/>
      </c>
      <c r="S43" s="276">
        <f>H43*$D43*'E1 Fleet'!$D$97</f>
        <v/>
      </c>
      <c r="T43" s="276">
        <f>I43*$D43*'E1 Fleet'!$D$97</f>
        <v/>
      </c>
      <c r="U43" s="276">
        <f>J43*$D43*'E1 Fleet'!$D$97</f>
        <v/>
      </c>
      <c r="V43" s="276">
        <f>K43*$D43*'E1 Fleet'!$D$97</f>
        <v/>
      </c>
      <c r="W43" s="276">
        <f>L43*$D43*'E1 Fleet'!$D$97</f>
        <v/>
      </c>
      <c r="X43" s="276">
        <f>M43*$D43*'E1 Fleet'!$D$97</f>
        <v/>
      </c>
      <c r="Y43" s="276">
        <f>N43*$D43*'E1 Fleet'!$D$97</f>
        <v/>
      </c>
    </row>
    <row r="44">
      <c r="A44" t="inlineStr">
        <is>
          <t>Car</t>
        </is>
      </c>
      <c r="B44" t="n">
        <v>37</v>
      </c>
      <c r="C44" t="n">
        <v>3</v>
      </c>
      <c r="D44" s="275">
        <f>IF($B44=0,'E1 Fleet'!$D$93,1)*EXP(-'E1 Fleet'!$D$94*MAX($B44-6,0))</f>
        <v/>
      </c>
      <c r="E44" s="276">
        <f>IFERROR(INDEX('D Fleet'!$C$5:$C$62,MATCH(E$3-$B44,'D Fleet'!$B$5:$B$62,0)),0)*IFERROR(INDEX('D Fleet'!$J$5:$J$36,INT(($B44/E$4))+1)+(($B44/E$4)-INT(($B44/E$4)))*(INDEX('D Fleet'!$J$5:$J$36,INT(($B44/E$4))+2)-INDEX('D Fleet'!$J$5:$J$36,INT(($B44/E$4))+1)),0)</f>
        <v/>
      </c>
      <c r="F44" s="276">
        <f>IFERROR(INDEX('D Fleet'!$C$5:$C$62,MATCH(F$3-$B44,'D Fleet'!$B$5:$B$62,0)),0)*IFERROR(INDEX('D Fleet'!$J$5:$J$36,INT(($B44/F$4))+1)+(($B44/F$4)-INT(($B44/F$4)))*(INDEX('D Fleet'!$J$5:$J$36,INT(($B44/F$4))+2)-INDEX('D Fleet'!$J$5:$J$36,INT(($B44/F$4))+1)),0)</f>
        <v/>
      </c>
      <c r="G44" s="276">
        <f>IFERROR(INDEX('D Fleet'!$C$5:$C$62,MATCH(G$3-$B44,'D Fleet'!$B$5:$B$62,0)),0)*IFERROR(INDEX('D Fleet'!$J$5:$J$36,INT(($B44/G$4))+1)+(($B44/G$4)-INT(($B44/G$4)))*(INDEX('D Fleet'!$J$5:$J$36,INT(($B44/G$4))+2)-INDEX('D Fleet'!$J$5:$J$36,INT(($B44/G$4))+1)),0)</f>
        <v/>
      </c>
      <c r="H44" s="276">
        <f>IFERROR(INDEX('D Fleet'!$C$5:$C$62,MATCH(H$3-$B44,'D Fleet'!$B$5:$B$62,0)),0)*IFERROR(INDEX('D Fleet'!$J$5:$J$36,INT(($B44/H$4))+1)+(($B44/H$4)-INT(($B44/H$4)))*(INDEX('D Fleet'!$J$5:$J$36,INT(($B44/H$4))+2)-INDEX('D Fleet'!$J$5:$J$36,INT(($B44/H$4))+1)),0)</f>
        <v/>
      </c>
      <c r="I44" s="276">
        <f>IFERROR(INDEX('D Fleet'!$C$5:$C$62,MATCH(I$3-$B44,'D Fleet'!$B$5:$B$62,0)),0)*IFERROR(INDEX('D Fleet'!$J$5:$J$36,INT(($B44/I$4))+1)+(($B44/I$4)-INT(($B44/I$4)))*(INDEX('D Fleet'!$J$5:$J$36,INT(($B44/I$4))+2)-INDEX('D Fleet'!$J$5:$J$36,INT(($B44/I$4))+1)),0)</f>
        <v/>
      </c>
      <c r="J44" s="276">
        <f>IFERROR(INDEX('D Fleet'!$C$5:$C$62,MATCH(J$3-$B44,'D Fleet'!$B$5:$B$62,0)),0)*IFERROR(INDEX('D Fleet'!$J$5:$J$36,INT(($B44/J$4))+1)+(($B44/J$4)-INT(($B44/J$4)))*(INDEX('D Fleet'!$J$5:$J$36,INT(($B44/J$4))+2)-INDEX('D Fleet'!$J$5:$J$36,INT(($B44/J$4))+1)),0)</f>
        <v/>
      </c>
      <c r="K44" s="276">
        <f>IFERROR(INDEX('D Fleet'!$C$5:$C$62,MATCH(K$3-$B44,'D Fleet'!$B$5:$B$62,0)),0)*IFERROR(INDEX('D Fleet'!$J$5:$J$36,INT(($B44/K$4))+1)+(($B44/K$4)-INT(($B44/K$4)))*(INDEX('D Fleet'!$J$5:$J$36,INT(($B44/K$4))+2)-INDEX('D Fleet'!$J$5:$J$36,INT(($B44/K$4))+1)),0)</f>
        <v/>
      </c>
      <c r="L44" s="276">
        <f>IFERROR(INDEX('D Fleet'!$C$5:$C$62,MATCH(L$3-$B44,'D Fleet'!$B$5:$B$62,0)),0)*IFERROR(INDEX('D Fleet'!$J$5:$J$36,INT(($B44/L$4))+1)+(($B44/L$4)-INT(($B44/L$4)))*(INDEX('D Fleet'!$J$5:$J$36,INT(($B44/L$4))+2)-INDEX('D Fleet'!$J$5:$J$36,INT(($B44/L$4))+1)),0)</f>
        <v/>
      </c>
      <c r="M44" s="276">
        <f>IFERROR(INDEX('D Fleet'!$C$5:$C$62,MATCH(M$3-$B44,'D Fleet'!$B$5:$B$62,0)),0)*IFERROR(INDEX('D Fleet'!$J$5:$J$36,INT(($B44/M$4))+1)+(($B44/M$4)-INT(($B44/M$4)))*(INDEX('D Fleet'!$J$5:$J$36,INT(($B44/M$4))+2)-INDEX('D Fleet'!$J$5:$J$36,INT(($B44/M$4))+1)),0)</f>
        <v/>
      </c>
      <c r="N44" s="276">
        <f>IFERROR(INDEX('D Fleet'!$C$5:$C$62,MATCH(N$3-$B44,'D Fleet'!$B$5:$B$62,0)),0)*IFERROR(INDEX('D Fleet'!$J$5:$J$36,INT(($B44/N$4))+1)+(($B44/N$4)-INT(($B44/N$4)))*(INDEX('D Fleet'!$J$5:$J$36,INT(($B44/N$4))+2)-INDEX('D Fleet'!$J$5:$J$36,INT(($B44/N$4))+1)),0)</f>
        <v/>
      </c>
      <c r="P44" s="276">
        <f>E44*$D44*'E1 Fleet'!$D$97</f>
        <v/>
      </c>
      <c r="Q44" s="276">
        <f>F44*$D44*'E1 Fleet'!$D$97</f>
        <v/>
      </c>
      <c r="R44" s="276">
        <f>G44*$D44*'E1 Fleet'!$D$97</f>
        <v/>
      </c>
      <c r="S44" s="276">
        <f>H44*$D44*'E1 Fleet'!$D$97</f>
        <v/>
      </c>
      <c r="T44" s="276">
        <f>I44*$D44*'E1 Fleet'!$D$97</f>
        <v/>
      </c>
      <c r="U44" s="276">
        <f>J44*$D44*'E1 Fleet'!$D$97</f>
        <v/>
      </c>
      <c r="V44" s="276">
        <f>K44*$D44*'E1 Fleet'!$D$97</f>
        <v/>
      </c>
      <c r="W44" s="276">
        <f>L44*$D44*'E1 Fleet'!$D$97</f>
        <v/>
      </c>
      <c r="X44" s="276">
        <f>M44*$D44*'E1 Fleet'!$D$97</f>
        <v/>
      </c>
      <c r="Y44" s="276">
        <f>N44*$D44*'E1 Fleet'!$D$97</f>
        <v/>
      </c>
    </row>
    <row r="45">
      <c r="A45" t="inlineStr">
        <is>
          <t>Car</t>
        </is>
      </c>
      <c r="B45" t="n">
        <v>38</v>
      </c>
      <c r="C45" t="n">
        <v>3</v>
      </c>
      <c r="D45" s="275">
        <f>IF($B45=0,'E1 Fleet'!$D$93,1)*EXP(-'E1 Fleet'!$D$94*MAX($B45-6,0))</f>
        <v/>
      </c>
      <c r="E45" s="276">
        <f>IFERROR(INDEX('D Fleet'!$C$5:$C$62,MATCH(E$3-$B45,'D Fleet'!$B$5:$B$62,0)),0)*IFERROR(INDEX('D Fleet'!$J$5:$J$36,INT(($B45/E$4))+1)+(($B45/E$4)-INT(($B45/E$4)))*(INDEX('D Fleet'!$J$5:$J$36,INT(($B45/E$4))+2)-INDEX('D Fleet'!$J$5:$J$36,INT(($B45/E$4))+1)),0)</f>
        <v/>
      </c>
      <c r="F45" s="276">
        <f>IFERROR(INDEX('D Fleet'!$C$5:$C$62,MATCH(F$3-$B45,'D Fleet'!$B$5:$B$62,0)),0)*IFERROR(INDEX('D Fleet'!$J$5:$J$36,INT(($B45/F$4))+1)+(($B45/F$4)-INT(($B45/F$4)))*(INDEX('D Fleet'!$J$5:$J$36,INT(($B45/F$4))+2)-INDEX('D Fleet'!$J$5:$J$36,INT(($B45/F$4))+1)),0)</f>
        <v/>
      </c>
      <c r="G45" s="276">
        <f>IFERROR(INDEX('D Fleet'!$C$5:$C$62,MATCH(G$3-$B45,'D Fleet'!$B$5:$B$62,0)),0)*IFERROR(INDEX('D Fleet'!$J$5:$J$36,INT(($B45/G$4))+1)+(($B45/G$4)-INT(($B45/G$4)))*(INDEX('D Fleet'!$J$5:$J$36,INT(($B45/G$4))+2)-INDEX('D Fleet'!$J$5:$J$36,INT(($B45/G$4))+1)),0)</f>
        <v/>
      </c>
      <c r="H45" s="276">
        <f>IFERROR(INDEX('D Fleet'!$C$5:$C$62,MATCH(H$3-$B45,'D Fleet'!$B$5:$B$62,0)),0)*IFERROR(INDEX('D Fleet'!$J$5:$J$36,INT(($B45/H$4))+1)+(($B45/H$4)-INT(($B45/H$4)))*(INDEX('D Fleet'!$J$5:$J$36,INT(($B45/H$4))+2)-INDEX('D Fleet'!$J$5:$J$36,INT(($B45/H$4))+1)),0)</f>
        <v/>
      </c>
      <c r="I45" s="276">
        <f>IFERROR(INDEX('D Fleet'!$C$5:$C$62,MATCH(I$3-$B45,'D Fleet'!$B$5:$B$62,0)),0)*IFERROR(INDEX('D Fleet'!$J$5:$J$36,INT(($B45/I$4))+1)+(($B45/I$4)-INT(($B45/I$4)))*(INDEX('D Fleet'!$J$5:$J$36,INT(($B45/I$4))+2)-INDEX('D Fleet'!$J$5:$J$36,INT(($B45/I$4))+1)),0)</f>
        <v/>
      </c>
      <c r="J45" s="276">
        <f>IFERROR(INDEX('D Fleet'!$C$5:$C$62,MATCH(J$3-$B45,'D Fleet'!$B$5:$B$62,0)),0)*IFERROR(INDEX('D Fleet'!$J$5:$J$36,INT(($B45/J$4))+1)+(($B45/J$4)-INT(($B45/J$4)))*(INDEX('D Fleet'!$J$5:$J$36,INT(($B45/J$4))+2)-INDEX('D Fleet'!$J$5:$J$36,INT(($B45/J$4))+1)),0)</f>
        <v/>
      </c>
      <c r="K45" s="276">
        <f>IFERROR(INDEX('D Fleet'!$C$5:$C$62,MATCH(K$3-$B45,'D Fleet'!$B$5:$B$62,0)),0)*IFERROR(INDEX('D Fleet'!$J$5:$J$36,INT(($B45/K$4))+1)+(($B45/K$4)-INT(($B45/K$4)))*(INDEX('D Fleet'!$J$5:$J$36,INT(($B45/K$4))+2)-INDEX('D Fleet'!$J$5:$J$36,INT(($B45/K$4))+1)),0)</f>
        <v/>
      </c>
      <c r="L45" s="276">
        <f>IFERROR(INDEX('D Fleet'!$C$5:$C$62,MATCH(L$3-$B45,'D Fleet'!$B$5:$B$62,0)),0)*IFERROR(INDEX('D Fleet'!$J$5:$J$36,INT(($B45/L$4))+1)+(($B45/L$4)-INT(($B45/L$4)))*(INDEX('D Fleet'!$J$5:$J$36,INT(($B45/L$4))+2)-INDEX('D Fleet'!$J$5:$J$36,INT(($B45/L$4))+1)),0)</f>
        <v/>
      </c>
      <c r="M45" s="276">
        <f>IFERROR(INDEX('D Fleet'!$C$5:$C$62,MATCH(M$3-$B45,'D Fleet'!$B$5:$B$62,0)),0)*IFERROR(INDEX('D Fleet'!$J$5:$J$36,INT(($B45/M$4))+1)+(($B45/M$4)-INT(($B45/M$4)))*(INDEX('D Fleet'!$J$5:$J$36,INT(($B45/M$4))+2)-INDEX('D Fleet'!$J$5:$J$36,INT(($B45/M$4))+1)),0)</f>
        <v/>
      </c>
      <c r="N45" s="276">
        <f>IFERROR(INDEX('D Fleet'!$C$5:$C$62,MATCH(N$3-$B45,'D Fleet'!$B$5:$B$62,0)),0)*IFERROR(INDEX('D Fleet'!$J$5:$J$36,INT(($B45/N$4))+1)+(($B45/N$4)-INT(($B45/N$4)))*(INDEX('D Fleet'!$J$5:$J$36,INT(($B45/N$4))+2)-INDEX('D Fleet'!$J$5:$J$36,INT(($B45/N$4))+1)),0)</f>
        <v/>
      </c>
      <c r="P45" s="276">
        <f>E45*$D45*'E1 Fleet'!$D$97</f>
        <v/>
      </c>
      <c r="Q45" s="276">
        <f>F45*$D45*'E1 Fleet'!$D$97</f>
        <v/>
      </c>
      <c r="R45" s="276">
        <f>G45*$D45*'E1 Fleet'!$D$97</f>
        <v/>
      </c>
      <c r="S45" s="276">
        <f>H45*$D45*'E1 Fleet'!$D$97</f>
        <v/>
      </c>
      <c r="T45" s="276">
        <f>I45*$D45*'E1 Fleet'!$D$97</f>
        <v/>
      </c>
      <c r="U45" s="276">
        <f>J45*$D45*'E1 Fleet'!$D$97</f>
        <v/>
      </c>
      <c r="V45" s="276">
        <f>K45*$D45*'E1 Fleet'!$D$97</f>
        <v/>
      </c>
      <c r="W45" s="276">
        <f>L45*$D45*'E1 Fleet'!$D$97</f>
        <v/>
      </c>
      <c r="X45" s="276">
        <f>M45*$D45*'E1 Fleet'!$D$97</f>
        <v/>
      </c>
      <c r="Y45" s="276">
        <f>N45*$D45*'E1 Fleet'!$D$97</f>
        <v/>
      </c>
    </row>
    <row r="46">
      <c r="A46" t="inlineStr">
        <is>
          <t>Car</t>
        </is>
      </c>
      <c r="B46" t="n">
        <v>39</v>
      </c>
      <c r="C46" t="n">
        <v>3</v>
      </c>
      <c r="D46" s="275">
        <f>IF($B46=0,'E1 Fleet'!$D$93,1)*EXP(-'E1 Fleet'!$D$94*MAX($B46-6,0))</f>
        <v/>
      </c>
      <c r="E46" s="276">
        <f>IFERROR(INDEX('D Fleet'!$C$5:$C$62,MATCH(E$3-$B46,'D Fleet'!$B$5:$B$62,0)),0)*IFERROR(INDEX('D Fleet'!$J$5:$J$36,INT(($B46/E$4))+1)+(($B46/E$4)-INT(($B46/E$4)))*(INDEX('D Fleet'!$J$5:$J$36,INT(($B46/E$4))+2)-INDEX('D Fleet'!$J$5:$J$36,INT(($B46/E$4))+1)),0)</f>
        <v/>
      </c>
      <c r="F46" s="276">
        <f>IFERROR(INDEX('D Fleet'!$C$5:$C$62,MATCH(F$3-$B46,'D Fleet'!$B$5:$B$62,0)),0)*IFERROR(INDEX('D Fleet'!$J$5:$J$36,INT(($B46/F$4))+1)+(($B46/F$4)-INT(($B46/F$4)))*(INDEX('D Fleet'!$J$5:$J$36,INT(($B46/F$4))+2)-INDEX('D Fleet'!$J$5:$J$36,INT(($B46/F$4))+1)),0)</f>
        <v/>
      </c>
      <c r="G46" s="276">
        <f>IFERROR(INDEX('D Fleet'!$C$5:$C$62,MATCH(G$3-$B46,'D Fleet'!$B$5:$B$62,0)),0)*IFERROR(INDEX('D Fleet'!$J$5:$J$36,INT(($B46/G$4))+1)+(($B46/G$4)-INT(($B46/G$4)))*(INDEX('D Fleet'!$J$5:$J$36,INT(($B46/G$4))+2)-INDEX('D Fleet'!$J$5:$J$36,INT(($B46/G$4))+1)),0)</f>
        <v/>
      </c>
      <c r="H46" s="276">
        <f>IFERROR(INDEX('D Fleet'!$C$5:$C$62,MATCH(H$3-$B46,'D Fleet'!$B$5:$B$62,0)),0)*IFERROR(INDEX('D Fleet'!$J$5:$J$36,INT(($B46/H$4))+1)+(($B46/H$4)-INT(($B46/H$4)))*(INDEX('D Fleet'!$J$5:$J$36,INT(($B46/H$4))+2)-INDEX('D Fleet'!$J$5:$J$36,INT(($B46/H$4))+1)),0)</f>
        <v/>
      </c>
      <c r="I46" s="276">
        <f>IFERROR(INDEX('D Fleet'!$C$5:$C$62,MATCH(I$3-$B46,'D Fleet'!$B$5:$B$62,0)),0)*IFERROR(INDEX('D Fleet'!$J$5:$J$36,INT(($B46/I$4))+1)+(($B46/I$4)-INT(($B46/I$4)))*(INDEX('D Fleet'!$J$5:$J$36,INT(($B46/I$4))+2)-INDEX('D Fleet'!$J$5:$J$36,INT(($B46/I$4))+1)),0)</f>
        <v/>
      </c>
      <c r="J46" s="276">
        <f>IFERROR(INDEX('D Fleet'!$C$5:$C$62,MATCH(J$3-$B46,'D Fleet'!$B$5:$B$62,0)),0)*IFERROR(INDEX('D Fleet'!$J$5:$J$36,INT(($B46/J$4))+1)+(($B46/J$4)-INT(($B46/J$4)))*(INDEX('D Fleet'!$J$5:$J$36,INT(($B46/J$4))+2)-INDEX('D Fleet'!$J$5:$J$36,INT(($B46/J$4))+1)),0)</f>
        <v/>
      </c>
      <c r="K46" s="276">
        <f>IFERROR(INDEX('D Fleet'!$C$5:$C$62,MATCH(K$3-$B46,'D Fleet'!$B$5:$B$62,0)),0)*IFERROR(INDEX('D Fleet'!$J$5:$J$36,INT(($B46/K$4))+1)+(($B46/K$4)-INT(($B46/K$4)))*(INDEX('D Fleet'!$J$5:$J$36,INT(($B46/K$4))+2)-INDEX('D Fleet'!$J$5:$J$36,INT(($B46/K$4))+1)),0)</f>
        <v/>
      </c>
      <c r="L46" s="276">
        <f>IFERROR(INDEX('D Fleet'!$C$5:$C$62,MATCH(L$3-$B46,'D Fleet'!$B$5:$B$62,0)),0)*IFERROR(INDEX('D Fleet'!$J$5:$J$36,INT(($B46/L$4))+1)+(($B46/L$4)-INT(($B46/L$4)))*(INDEX('D Fleet'!$J$5:$J$36,INT(($B46/L$4))+2)-INDEX('D Fleet'!$J$5:$J$36,INT(($B46/L$4))+1)),0)</f>
        <v/>
      </c>
      <c r="M46" s="276">
        <f>IFERROR(INDEX('D Fleet'!$C$5:$C$62,MATCH(M$3-$B46,'D Fleet'!$B$5:$B$62,0)),0)*IFERROR(INDEX('D Fleet'!$J$5:$J$36,INT(($B46/M$4))+1)+(($B46/M$4)-INT(($B46/M$4)))*(INDEX('D Fleet'!$J$5:$J$36,INT(($B46/M$4))+2)-INDEX('D Fleet'!$J$5:$J$36,INT(($B46/M$4))+1)),0)</f>
        <v/>
      </c>
      <c r="N46" s="276">
        <f>IFERROR(INDEX('D Fleet'!$C$5:$C$62,MATCH(N$3-$B46,'D Fleet'!$B$5:$B$62,0)),0)*IFERROR(INDEX('D Fleet'!$J$5:$J$36,INT(($B46/N$4))+1)+(($B46/N$4)-INT(($B46/N$4)))*(INDEX('D Fleet'!$J$5:$J$36,INT(($B46/N$4))+2)-INDEX('D Fleet'!$J$5:$J$36,INT(($B46/N$4))+1)),0)</f>
        <v/>
      </c>
      <c r="P46" s="276">
        <f>E46*$D46*'E1 Fleet'!$D$97</f>
        <v/>
      </c>
      <c r="Q46" s="276">
        <f>F46*$D46*'E1 Fleet'!$D$97</f>
        <v/>
      </c>
      <c r="R46" s="276">
        <f>G46*$D46*'E1 Fleet'!$D$97</f>
        <v/>
      </c>
      <c r="S46" s="276">
        <f>H46*$D46*'E1 Fleet'!$D$97</f>
        <v/>
      </c>
      <c r="T46" s="276">
        <f>I46*$D46*'E1 Fleet'!$D$97</f>
        <v/>
      </c>
      <c r="U46" s="276">
        <f>J46*$D46*'E1 Fleet'!$D$97</f>
        <v/>
      </c>
      <c r="V46" s="276">
        <f>K46*$D46*'E1 Fleet'!$D$97</f>
        <v/>
      </c>
      <c r="W46" s="276">
        <f>L46*$D46*'E1 Fleet'!$D$97</f>
        <v/>
      </c>
      <c r="X46" s="276">
        <f>M46*$D46*'E1 Fleet'!$D$97</f>
        <v/>
      </c>
      <c r="Y46" s="276">
        <f>N46*$D46*'E1 Fleet'!$D$97</f>
        <v/>
      </c>
    </row>
    <row r="47">
      <c r="A47" t="inlineStr">
        <is>
          <t>Car</t>
        </is>
      </c>
      <c r="B47" t="n">
        <v>40</v>
      </c>
      <c r="C47" t="n">
        <v>3</v>
      </c>
      <c r="D47" s="275">
        <f>IF($B47=0,'E1 Fleet'!$D$93,1)*EXP(-'E1 Fleet'!$D$94*MAX($B47-6,0))</f>
        <v/>
      </c>
      <c r="E47" s="276">
        <f>IFERROR(INDEX('D Fleet'!$C$5:$C$62,MATCH(E$3-$B47,'D Fleet'!$B$5:$B$62,0)),0)*IFERROR(INDEX('D Fleet'!$J$5:$J$36,INT(($B47/E$4))+1)+(($B47/E$4)-INT(($B47/E$4)))*(INDEX('D Fleet'!$J$5:$J$36,INT(($B47/E$4))+2)-INDEX('D Fleet'!$J$5:$J$36,INT(($B47/E$4))+1)),0)</f>
        <v/>
      </c>
      <c r="F47" s="276">
        <f>IFERROR(INDEX('D Fleet'!$C$5:$C$62,MATCH(F$3-$B47,'D Fleet'!$B$5:$B$62,0)),0)*IFERROR(INDEX('D Fleet'!$J$5:$J$36,INT(($B47/F$4))+1)+(($B47/F$4)-INT(($B47/F$4)))*(INDEX('D Fleet'!$J$5:$J$36,INT(($B47/F$4))+2)-INDEX('D Fleet'!$J$5:$J$36,INT(($B47/F$4))+1)),0)</f>
        <v/>
      </c>
      <c r="G47" s="276">
        <f>IFERROR(INDEX('D Fleet'!$C$5:$C$62,MATCH(G$3-$B47,'D Fleet'!$B$5:$B$62,0)),0)*IFERROR(INDEX('D Fleet'!$J$5:$J$36,INT(($B47/G$4))+1)+(($B47/G$4)-INT(($B47/G$4)))*(INDEX('D Fleet'!$J$5:$J$36,INT(($B47/G$4))+2)-INDEX('D Fleet'!$J$5:$J$36,INT(($B47/G$4))+1)),0)</f>
        <v/>
      </c>
      <c r="H47" s="276">
        <f>IFERROR(INDEX('D Fleet'!$C$5:$C$62,MATCH(H$3-$B47,'D Fleet'!$B$5:$B$62,0)),0)*IFERROR(INDEX('D Fleet'!$J$5:$J$36,INT(($B47/H$4))+1)+(($B47/H$4)-INT(($B47/H$4)))*(INDEX('D Fleet'!$J$5:$J$36,INT(($B47/H$4))+2)-INDEX('D Fleet'!$J$5:$J$36,INT(($B47/H$4))+1)),0)</f>
        <v/>
      </c>
      <c r="I47" s="276">
        <f>IFERROR(INDEX('D Fleet'!$C$5:$C$62,MATCH(I$3-$B47,'D Fleet'!$B$5:$B$62,0)),0)*IFERROR(INDEX('D Fleet'!$J$5:$J$36,INT(($B47/I$4))+1)+(($B47/I$4)-INT(($B47/I$4)))*(INDEX('D Fleet'!$J$5:$J$36,INT(($B47/I$4))+2)-INDEX('D Fleet'!$J$5:$J$36,INT(($B47/I$4))+1)),0)</f>
        <v/>
      </c>
      <c r="J47" s="276">
        <f>IFERROR(INDEX('D Fleet'!$C$5:$C$62,MATCH(J$3-$B47,'D Fleet'!$B$5:$B$62,0)),0)*IFERROR(INDEX('D Fleet'!$J$5:$J$36,INT(($B47/J$4))+1)+(($B47/J$4)-INT(($B47/J$4)))*(INDEX('D Fleet'!$J$5:$J$36,INT(($B47/J$4))+2)-INDEX('D Fleet'!$J$5:$J$36,INT(($B47/J$4))+1)),0)</f>
        <v/>
      </c>
      <c r="K47" s="276">
        <f>IFERROR(INDEX('D Fleet'!$C$5:$C$62,MATCH(K$3-$B47,'D Fleet'!$B$5:$B$62,0)),0)*IFERROR(INDEX('D Fleet'!$J$5:$J$36,INT(($B47/K$4))+1)+(($B47/K$4)-INT(($B47/K$4)))*(INDEX('D Fleet'!$J$5:$J$36,INT(($B47/K$4))+2)-INDEX('D Fleet'!$J$5:$J$36,INT(($B47/K$4))+1)),0)</f>
        <v/>
      </c>
      <c r="L47" s="276">
        <f>IFERROR(INDEX('D Fleet'!$C$5:$C$62,MATCH(L$3-$B47,'D Fleet'!$B$5:$B$62,0)),0)*IFERROR(INDEX('D Fleet'!$J$5:$J$36,INT(($B47/L$4))+1)+(($B47/L$4)-INT(($B47/L$4)))*(INDEX('D Fleet'!$J$5:$J$36,INT(($B47/L$4))+2)-INDEX('D Fleet'!$J$5:$J$36,INT(($B47/L$4))+1)),0)</f>
        <v/>
      </c>
      <c r="M47" s="276">
        <f>IFERROR(INDEX('D Fleet'!$C$5:$C$62,MATCH(M$3-$B47,'D Fleet'!$B$5:$B$62,0)),0)*IFERROR(INDEX('D Fleet'!$J$5:$J$36,INT(($B47/M$4))+1)+(($B47/M$4)-INT(($B47/M$4)))*(INDEX('D Fleet'!$J$5:$J$36,INT(($B47/M$4))+2)-INDEX('D Fleet'!$J$5:$J$36,INT(($B47/M$4))+1)),0)</f>
        <v/>
      </c>
      <c r="N47" s="276">
        <f>IFERROR(INDEX('D Fleet'!$C$5:$C$62,MATCH(N$3-$B47,'D Fleet'!$B$5:$B$62,0)),0)*IFERROR(INDEX('D Fleet'!$J$5:$J$36,INT(($B47/N$4))+1)+(($B47/N$4)-INT(($B47/N$4)))*(INDEX('D Fleet'!$J$5:$J$36,INT(($B47/N$4))+2)-INDEX('D Fleet'!$J$5:$J$36,INT(($B47/N$4))+1)),0)</f>
        <v/>
      </c>
      <c r="P47" s="276">
        <f>E47*$D47*'E1 Fleet'!$D$97</f>
        <v/>
      </c>
      <c r="Q47" s="276">
        <f>F47*$D47*'E1 Fleet'!$D$97</f>
        <v/>
      </c>
      <c r="R47" s="276">
        <f>G47*$D47*'E1 Fleet'!$D$97</f>
        <v/>
      </c>
      <c r="S47" s="276">
        <f>H47*$D47*'E1 Fleet'!$D$97</f>
        <v/>
      </c>
      <c r="T47" s="276">
        <f>I47*$D47*'E1 Fleet'!$D$97</f>
        <v/>
      </c>
      <c r="U47" s="276">
        <f>J47*$D47*'E1 Fleet'!$D$97</f>
        <v/>
      </c>
      <c r="V47" s="276">
        <f>K47*$D47*'E1 Fleet'!$D$97</f>
        <v/>
      </c>
      <c r="W47" s="276">
        <f>L47*$D47*'E1 Fleet'!$D$97</f>
        <v/>
      </c>
      <c r="X47" s="276">
        <f>M47*$D47*'E1 Fleet'!$D$97</f>
        <v/>
      </c>
      <c r="Y47" s="276">
        <f>N47*$D47*'E1 Fleet'!$D$97</f>
        <v/>
      </c>
    </row>
    <row r="48">
      <c r="A48" t="inlineStr">
        <is>
          <t>Car</t>
        </is>
      </c>
      <c r="B48" t="n">
        <v>41</v>
      </c>
      <c r="C48" t="n">
        <v>3</v>
      </c>
      <c r="D48" s="275">
        <f>IF($B48=0,'E1 Fleet'!$D$93,1)*EXP(-'E1 Fleet'!$D$94*MAX($B48-6,0))</f>
        <v/>
      </c>
      <c r="E48" s="276">
        <f>IFERROR(INDEX('D Fleet'!$C$5:$C$62,MATCH(E$3-$B48,'D Fleet'!$B$5:$B$62,0)),0)*IFERROR(INDEX('D Fleet'!$J$5:$J$36,INT(($B48/E$4))+1)+(($B48/E$4)-INT(($B48/E$4)))*(INDEX('D Fleet'!$J$5:$J$36,INT(($B48/E$4))+2)-INDEX('D Fleet'!$J$5:$J$36,INT(($B48/E$4))+1)),0)</f>
        <v/>
      </c>
      <c r="F48" s="276">
        <f>IFERROR(INDEX('D Fleet'!$C$5:$C$62,MATCH(F$3-$B48,'D Fleet'!$B$5:$B$62,0)),0)*IFERROR(INDEX('D Fleet'!$J$5:$J$36,INT(($B48/F$4))+1)+(($B48/F$4)-INT(($B48/F$4)))*(INDEX('D Fleet'!$J$5:$J$36,INT(($B48/F$4))+2)-INDEX('D Fleet'!$J$5:$J$36,INT(($B48/F$4))+1)),0)</f>
        <v/>
      </c>
      <c r="G48" s="276">
        <f>IFERROR(INDEX('D Fleet'!$C$5:$C$62,MATCH(G$3-$B48,'D Fleet'!$B$5:$B$62,0)),0)*IFERROR(INDEX('D Fleet'!$J$5:$J$36,INT(($B48/G$4))+1)+(($B48/G$4)-INT(($B48/G$4)))*(INDEX('D Fleet'!$J$5:$J$36,INT(($B48/G$4))+2)-INDEX('D Fleet'!$J$5:$J$36,INT(($B48/G$4))+1)),0)</f>
        <v/>
      </c>
      <c r="H48" s="276">
        <f>IFERROR(INDEX('D Fleet'!$C$5:$C$62,MATCH(H$3-$B48,'D Fleet'!$B$5:$B$62,0)),0)*IFERROR(INDEX('D Fleet'!$J$5:$J$36,INT(($B48/H$4))+1)+(($B48/H$4)-INT(($B48/H$4)))*(INDEX('D Fleet'!$J$5:$J$36,INT(($B48/H$4))+2)-INDEX('D Fleet'!$J$5:$J$36,INT(($B48/H$4))+1)),0)</f>
        <v/>
      </c>
      <c r="I48" s="276">
        <f>IFERROR(INDEX('D Fleet'!$C$5:$C$62,MATCH(I$3-$B48,'D Fleet'!$B$5:$B$62,0)),0)*IFERROR(INDEX('D Fleet'!$J$5:$J$36,INT(($B48/I$4))+1)+(($B48/I$4)-INT(($B48/I$4)))*(INDEX('D Fleet'!$J$5:$J$36,INT(($B48/I$4))+2)-INDEX('D Fleet'!$J$5:$J$36,INT(($B48/I$4))+1)),0)</f>
        <v/>
      </c>
      <c r="J48" s="276">
        <f>IFERROR(INDEX('D Fleet'!$C$5:$C$62,MATCH(J$3-$B48,'D Fleet'!$B$5:$B$62,0)),0)*IFERROR(INDEX('D Fleet'!$J$5:$J$36,INT(($B48/J$4))+1)+(($B48/J$4)-INT(($B48/J$4)))*(INDEX('D Fleet'!$J$5:$J$36,INT(($B48/J$4))+2)-INDEX('D Fleet'!$J$5:$J$36,INT(($B48/J$4))+1)),0)</f>
        <v/>
      </c>
      <c r="K48" s="276">
        <f>IFERROR(INDEX('D Fleet'!$C$5:$C$62,MATCH(K$3-$B48,'D Fleet'!$B$5:$B$62,0)),0)*IFERROR(INDEX('D Fleet'!$J$5:$J$36,INT(($B48/K$4))+1)+(($B48/K$4)-INT(($B48/K$4)))*(INDEX('D Fleet'!$J$5:$J$36,INT(($B48/K$4))+2)-INDEX('D Fleet'!$J$5:$J$36,INT(($B48/K$4))+1)),0)</f>
        <v/>
      </c>
      <c r="L48" s="276">
        <f>IFERROR(INDEX('D Fleet'!$C$5:$C$62,MATCH(L$3-$B48,'D Fleet'!$B$5:$B$62,0)),0)*IFERROR(INDEX('D Fleet'!$J$5:$J$36,INT(($B48/L$4))+1)+(($B48/L$4)-INT(($B48/L$4)))*(INDEX('D Fleet'!$J$5:$J$36,INT(($B48/L$4))+2)-INDEX('D Fleet'!$J$5:$J$36,INT(($B48/L$4))+1)),0)</f>
        <v/>
      </c>
      <c r="M48" s="276">
        <f>IFERROR(INDEX('D Fleet'!$C$5:$C$62,MATCH(M$3-$B48,'D Fleet'!$B$5:$B$62,0)),0)*IFERROR(INDEX('D Fleet'!$J$5:$J$36,INT(($B48/M$4))+1)+(($B48/M$4)-INT(($B48/M$4)))*(INDEX('D Fleet'!$J$5:$J$36,INT(($B48/M$4))+2)-INDEX('D Fleet'!$J$5:$J$36,INT(($B48/M$4))+1)),0)</f>
        <v/>
      </c>
      <c r="N48" s="276">
        <f>IFERROR(INDEX('D Fleet'!$C$5:$C$62,MATCH(N$3-$B48,'D Fleet'!$B$5:$B$62,0)),0)*IFERROR(INDEX('D Fleet'!$J$5:$J$36,INT(($B48/N$4))+1)+(($B48/N$4)-INT(($B48/N$4)))*(INDEX('D Fleet'!$J$5:$J$36,INT(($B48/N$4))+2)-INDEX('D Fleet'!$J$5:$J$36,INT(($B48/N$4))+1)),0)</f>
        <v/>
      </c>
      <c r="P48" s="276">
        <f>E48*$D48*'E1 Fleet'!$D$97</f>
        <v/>
      </c>
      <c r="Q48" s="276">
        <f>F48*$D48*'E1 Fleet'!$D$97</f>
        <v/>
      </c>
      <c r="R48" s="276">
        <f>G48*$D48*'E1 Fleet'!$D$97</f>
        <v/>
      </c>
      <c r="S48" s="276">
        <f>H48*$D48*'E1 Fleet'!$D$97</f>
        <v/>
      </c>
      <c r="T48" s="276">
        <f>I48*$D48*'E1 Fleet'!$D$97</f>
        <v/>
      </c>
      <c r="U48" s="276">
        <f>J48*$D48*'E1 Fleet'!$D$97</f>
        <v/>
      </c>
      <c r="V48" s="276">
        <f>K48*$D48*'E1 Fleet'!$D$97</f>
        <v/>
      </c>
      <c r="W48" s="276">
        <f>L48*$D48*'E1 Fleet'!$D$97</f>
        <v/>
      </c>
      <c r="X48" s="276">
        <f>M48*$D48*'E1 Fleet'!$D$97</f>
        <v/>
      </c>
      <c r="Y48" s="276">
        <f>N48*$D48*'E1 Fleet'!$D$97</f>
        <v/>
      </c>
    </row>
    <row r="49">
      <c r="A49" t="inlineStr">
        <is>
          <t>Car</t>
        </is>
      </c>
      <c r="B49" t="n">
        <v>42</v>
      </c>
      <c r="C49" t="n">
        <v>3</v>
      </c>
      <c r="D49" s="275">
        <f>IF($B49=0,'E1 Fleet'!$D$93,1)*EXP(-'E1 Fleet'!$D$94*MAX($B49-6,0))</f>
        <v/>
      </c>
      <c r="E49" s="276">
        <f>IFERROR(INDEX('D Fleet'!$C$5:$C$62,MATCH(E$3-$B49,'D Fleet'!$B$5:$B$62,0)),0)*IFERROR(INDEX('D Fleet'!$J$5:$J$36,INT(($B49/E$4))+1)+(($B49/E$4)-INT(($B49/E$4)))*(INDEX('D Fleet'!$J$5:$J$36,INT(($B49/E$4))+2)-INDEX('D Fleet'!$J$5:$J$36,INT(($B49/E$4))+1)),0)</f>
        <v/>
      </c>
      <c r="F49" s="276">
        <f>IFERROR(INDEX('D Fleet'!$C$5:$C$62,MATCH(F$3-$B49,'D Fleet'!$B$5:$B$62,0)),0)*IFERROR(INDEX('D Fleet'!$J$5:$J$36,INT(($B49/F$4))+1)+(($B49/F$4)-INT(($B49/F$4)))*(INDEX('D Fleet'!$J$5:$J$36,INT(($B49/F$4))+2)-INDEX('D Fleet'!$J$5:$J$36,INT(($B49/F$4))+1)),0)</f>
        <v/>
      </c>
      <c r="G49" s="276">
        <f>IFERROR(INDEX('D Fleet'!$C$5:$C$62,MATCH(G$3-$B49,'D Fleet'!$B$5:$B$62,0)),0)*IFERROR(INDEX('D Fleet'!$J$5:$J$36,INT(($B49/G$4))+1)+(($B49/G$4)-INT(($B49/G$4)))*(INDEX('D Fleet'!$J$5:$J$36,INT(($B49/G$4))+2)-INDEX('D Fleet'!$J$5:$J$36,INT(($B49/G$4))+1)),0)</f>
        <v/>
      </c>
      <c r="H49" s="276">
        <f>IFERROR(INDEX('D Fleet'!$C$5:$C$62,MATCH(H$3-$B49,'D Fleet'!$B$5:$B$62,0)),0)*IFERROR(INDEX('D Fleet'!$J$5:$J$36,INT(($B49/H$4))+1)+(($B49/H$4)-INT(($B49/H$4)))*(INDEX('D Fleet'!$J$5:$J$36,INT(($B49/H$4))+2)-INDEX('D Fleet'!$J$5:$J$36,INT(($B49/H$4))+1)),0)</f>
        <v/>
      </c>
      <c r="I49" s="276">
        <f>IFERROR(INDEX('D Fleet'!$C$5:$C$62,MATCH(I$3-$B49,'D Fleet'!$B$5:$B$62,0)),0)*IFERROR(INDEX('D Fleet'!$J$5:$J$36,INT(($B49/I$4))+1)+(($B49/I$4)-INT(($B49/I$4)))*(INDEX('D Fleet'!$J$5:$J$36,INT(($B49/I$4))+2)-INDEX('D Fleet'!$J$5:$J$36,INT(($B49/I$4))+1)),0)</f>
        <v/>
      </c>
      <c r="J49" s="276">
        <f>IFERROR(INDEX('D Fleet'!$C$5:$C$62,MATCH(J$3-$B49,'D Fleet'!$B$5:$B$62,0)),0)*IFERROR(INDEX('D Fleet'!$J$5:$J$36,INT(($B49/J$4))+1)+(($B49/J$4)-INT(($B49/J$4)))*(INDEX('D Fleet'!$J$5:$J$36,INT(($B49/J$4))+2)-INDEX('D Fleet'!$J$5:$J$36,INT(($B49/J$4))+1)),0)</f>
        <v/>
      </c>
      <c r="K49" s="276">
        <f>IFERROR(INDEX('D Fleet'!$C$5:$C$62,MATCH(K$3-$B49,'D Fleet'!$B$5:$B$62,0)),0)*IFERROR(INDEX('D Fleet'!$J$5:$J$36,INT(($B49/K$4))+1)+(($B49/K$4)-INT(($B49/K$4)))*(INDEX('D Fleet'!$J$5:$J$36,INT(($B49/K$4))+2)-INDEX('D Fleet'!$J$5:$J$36,INT(($B49/K$4))+1)),0)</f>
        <v/>
      </c>
      <c r="L49" s="276">
        <f>IFERROR(INDEX('D Fleet'!$C$5:$C$62,MATCH(L$3-$B49,'D Fleet'!$B$5:$B$62,0)),0)*IFERROR(INDEX('D Fleet'!$J$5:$J$36,INT(($B49/L$4))+1)+(($B49/L$4)-INT(($B49/L$4)))*(INDEX('D Fleet'!$J$5:$J$36,INT(($B49/L$4))+2)-INDEX('D Fleet'!$J$5:$J$36,INT(($B49/L$4))+1)),0)</f>
        <v/>
      </c>
      <c r="M49" s="276">
        <f>IFERROR(INDEX('D Fleet'!$C$5:$C$62,MATCH(M$3-$B49,'D Fleet'!$B$5:$B$62,0)),0)*IFERROR(INDEX('D Fleet'!$J$5:$J$36,INT(($B49/M$4))+1)+(($B49/M$4)-INT(($B49/M$4)))*(INDEX('D Fleet'!$J$5:$J$36,INT(($B49/M$4))+2)-INDEX('D Fleet'!$J$5:$J$36,INT(($B49/M$4))+1)),0)</f>
        <v/>
      </c>
      <c r="N49" s="276">
        <f>IFERROR(INDEX('D Fleet'!$C$5:$C$62,MATCH(N$3-$B49,'D Fleet'!$B$5:$B$62,0)),0)*IFERROR(INDEX('D Fleet'!$J$5:$J$36,INT(($B49/N$4))+1)+(($B49/N$4)-INT(($B49/N$4)))*(INDEX('D Fleet'!$J$5:$J$36,INT(($B49/N$4))+2)-INDEX('D Fleet'!$J$5:$J$36,INT(($B49/N$4))+1)),0)</f>
        <v/>
      </c>
      <c r="P49" s="276">
        <f>E49*$D49*'E1 Fleet'!$D$97</f>
        <v/>
      </c>
      <c r="Q49" s="276">
        <f>F49*$D49*'E1 Fleet'!$D$97</f>
        <v/>
      </c>
      <c r="R49" s="276">
        <f>G49*$D49*'E1 Fleet'!$D$97</f>
        <v/>
      </c>
      <c r="S49" s="276">
        <f>H49*$D49*'E1 Fleet'!$D$97</f>
        <v/>
      </c>
      <c r="T49" s="276">
        <f>I49*$D49*'E1 Fleet'!$D$97</f>
        <v/>
      </c>
      <c r="U49" s="276">
        <f>J49*$D49*'E1 Fleet'!$D$97</f>
        <v/>
      </c>
      <c r="V49" s="276">
        <f>K49*$D49*'E1 Fleet'!$D$97</f>
        <v/>
      </c>
      <c r="W49" s="276">
        <f>L49*$D49*'E1 Fleet'!$D$97</f>
        <v/>
      </c>
      <c r="X49" s="276">
        <f>M49*$D49*'E1 Fleet'!$D$97</f>
        <v/>
      </c>
      <c r="Y49" s="276">
        <f>N49*$D49*'E1 Fleet'!$D$97</f>
        <v/>
      </c>
    </row>
    <row r="50">
      <c r="A50" t="inlineStr">
        <is>
          <t>Car</t>
        </is>
      </c>
      <c r="B50" t="n">
        <v>43</v>
      </c>
      <c r="C50" t="n">
        <v>3</v>
      </c>
      <c r="D50" s="275">
        <f>IF($B50=0,'E1 Fleet'!$D$93,1)*EXP(-'E1 Fleet'!$D$94*MAX($B50-6,0))</f>
        <v/>
      </c>
      <c r="E50" s="276">
        <f>IFERROR(INDEX('D Fleet'!$C$5:$C$62,MATCH(E$3-$B50,'D Fleet'!$B$5:$B$62,0)),0)*IFERROR(INDEX('D Fleet'!$J$5:$J$36,INT(($B50/E$4))+1)+(($B50/E$4)-INT(($B50/E$4)))*(INDEX('D Fleet'!$J$5:$J$36,INT(($B50/E$4))+2)-INDEX('D Fleet'!$J$5:$J$36,INT(($B50/E$4))+1)),0)</f>
        <v/>
      </c>
      <c r="F50" s="276">
        <f>IFERROR(INDEX('D Fleet'!$C$5:$C$62,MATCH(F$3-$B50,'D Fleet'!$B$5:$B$62,0)),0)*IFERROR(INDEX('D Fleet'!$J$5:$J$36,INT(($B50/F$4))+1)+(($B50/F$4)-INT(($B50/F$4)))*(INDEX('D Fleet'!$J$5:$J$36,INT(($B50/F$4))+2)-INDEX('D Fleet'!$J$5:$J$36,INT(($B50/F$4))+1)),0)</f>
        <v/>
      </c>
      <c r="G50" s="276">
        <f>IFERROR(INDEX('D Fleet'!$C$5:$C$62,MATCH(G$3-$B50,'D Fleet'!$B$5:$B$62,0)),0)*IFERROR(INDEX('D Fleet'!$J$5:$J$36,INT(($B50/G$4))+1)+(($B50/G$4)-INT(($B50/G$4)))*(INDEX('D Fleet'!$J$5:$J$36,INT(($B50/G$4))+2)-INDEX('D Fleet'!$J$5:$J$36,INT(($B50/G$4))+1)),0)</f>
        <v/>
      </c>
      <c r="H50" s="276">
        <f>IFERROR(INDEX('D Fleet'!$C$5:$C$62,MATCH(H$3-$B50,'D Fleet'!$B$5:$B$62,0)),0)*IFERROR(INDEX('D Fleet'!$J$5:$J$36,INT(($B50/H$4))+1)+(($B50/H$4)-INT(($B50/H$4)))*(INDEX('D Fleet'!$J$5:$J$36,INT(($B50/H$4))+2)-INDEX('D Fleet'!$J$5:$J$36,INT(($B50/H$4))+1)),0)</f>
        <v/>
      </c>
      <c r="I50" s="276">
        <f>IFERROR(INDEX('D Fleet'!$C$5:$C$62,MATCH(I$3-$B50,'D Fleet'!$B$5:$B$62,0)),0)*IFERROR(INDEX('D Fleet'!$J$5:$J$36,INT(($B50/I$4))+1)+(($B50/I$4)-INT(($B50/I$4)))*(INDEX('D Fleet'!$J$5:$J$36,INT(($B50/I$4))+2)-INDEX('D Fleet'!$J$5:$J$36,INT(($B50/I$4))+1)),0)</f>
        <v/>
      </c>
      <c r="J50" s="276">
        <f>IFERROR(INDEX('D Fleet'!$C$5:$C$62,MATCH(J$3-$B50,'D Fleet'!$B$5:$B$62,0)),0)*IFERROR(INDEX('D Fleet'!$J$5:$J$36,INT(($B50/J$4))+1)+(($B50/J$4)-INT(($B50/J$4)))*(INDEX('D Fleet'!$J$5:$J$36,INT(($B50/J$4))+2)-INDEX('D Fleet'!$J$5:$J$36,INT(($B50/J$4))+1)),0)</f>
        <v/>
      </c>
      <c r="K50" s="276">
        <f>IFERROR(INDEX('D Fleet'!$C$5:$C$62,MATCH(K$3-$B50,'D Fleet'!$B$5:$B$62,0)),0)*IFERROR(INDEX('D Fleet'!$J$5:$J$36,INT(($B50/K$4))+1)+(($B50/K$4)-INT(($B50/K$4)))*(INDEX('D Fleet'!$J$5:$J$36,INT(($B50/K$4))+2)-INDEX('D Fleet'!$J$5:$J$36,INT(($B50/K$4))+1)),0)</f>
        <v/>
      </c>
      <c r="L50" s="276">
        <f>IFERROR(INDEX('D Fleet'!$C$5:$C$62,MATCH(L$3-$B50,'D Fleet'!$B$5:$B$62,0)),0)*IFERROR(INDEX('D Fleet'!$J$5:$J$36,INT(($B50/L$4))+1)+(($B50/L$4)-INT(($B50/L$4)))*(INDEX('D Fleet'!$J$5:$J$36,INT(($B50/L$4))+2)-INDEX('D Fleet'!$J$5:$J$36,INT(($B50/L$4))+1)),0)</f>
        <v/>
      </c>
      <c r="M50" s="276">
        <f>IFERROR(INDEX('D Fleet'!$C$5:$C$62,MATCH(M$3-$B50,'D Fleet'!$B$5:$B$62,0)),0)*IFERROR(INDEX('D Fleet'!$J$5:$J$36,INT(($B50/M$4))+1)+(($B50/M$4)-INT(($B50/M$4)))*(INDEX('D Fleet'!$J$5:$J$36,INT(($B50/M$4))+2)-INDEX('D Fleet'!$J$5:$J$36,INT(($B50/M$4))+1)),0)</f>
        <v/>
      </c>
      <c r="N50" s="276">
        <f>IFERROR(INDEX('D Fleet'!$C$5:$C$62,MATCH(N$3-$B50,'D Fleet'!$B$5:$B$62,0)),0)*IFERROR(INDEX('D Fleet'!$J$5:$J$36,INT(($B50/N$4))+1)+(($B50/N$4)-INT(($B50/N$4)))*(INDEX('D Fleet'!$J$5:$J$36,INT(($B50/N$4))+2)-INDEX('D Fleet'!$J$5:$J$36,INT(($B50/N$4))+1)),0)</f>
        <v/>
      </c>
      <c r="P50" s="276">
        <f>E50*$D50*'E1 Fleet'!$D$97</f>
        <v/>
      </c>
      <c r="Q50" s="276">
        <f>F50*$D50*'E1 Fleet'!$D$97</f>
        <v/>
      </c>
      <c r="R50" s="276">
        <f>G50*$D50*'E1 Fleet'!$D$97</f>
        <v/>
      </c>
      <c r="S50" s="276">
        <f>H50*$D50*'E1 Fleet'!$D$97</f>
        <v/>
      </c>
      <c r="T50" s="276">
        <f>I50*$D50*'E1 Fleet'!$D$97</f>
        <v/>
      </c>
      <c r="U50" s="276">
        <f>J50*$D50*'E1 Fleet'!$D$97</f>
        <v/>
      </c>
      <c r="V50" s="276">
        <f>K50*$D50*'E1 Fleet'!$D$97</f>
        <v/>
      </c>
      <c r="W50" s="276">
        <f>L50*$D50*'E1 Fleet'!$D$97</f>
        <v/>
      </c>
      <c r="X50" s="276">
        <f>M50*$D50*'E1 Fleet'!$D$97</f>
        <v/>
      </c>
      <c r="Y50" s="276">
        <f>N50*$D50*'E1 Fleet'!$D$97</f>
        <v/>
      </c>
    </row>
    <row r="51">
      <c r="A51" t="inlineStr">
        <is>
          <t>Car</t>
        </is>
      </c>
      <c r="B51" t="n">
        <v>44</v>
      </c>
      <c r="C51" t="n">
        <v>3</v>
      </c>
      <c r="D51" s="275">
        <f>IF($B51=0,'E1 Fleet'!$D$93,1)*EXP(-'E1 Fleet'!$D$94*MAX($B51-6,0))</f>
        <v/>
      </c>
      <c r="E51" s="276">
        <f>IFERROR(INDEX('D Fleet'!$C$5:$C$62,MATCH(E$3-$B51,'D Fleet'!$B$5:$B$62,0)),0)*IFERROR(INDEX('D Fleet'!$J$5:$J$36,INT(($B51/E$4))+1)+(($B51/E$4)-INT(($B51/E$4)))*(INDEX('D Fleet'!$J$5:$J$36,INT(($B51/E$4))+2)-INDEX('D Fleet'!$J$5:$J$36,INT(($B51/E$4))+1)),0)</f>
        <v/>
      </c>
      <c r="F51" s="276">
        <f>IFERROR(INDEX('D Fleet'!$C$5:$C$62,MATCH(F$3-$B51,'D Fleet'!$B$5:$B$62,0)),0)*IFERROR(INDEX('D Fleet'!$J$5:$J$36,INT(($B51/F$4))+1)+(($B51/F$4)-INT(($B51/F$4)))*(INDEX('D Fleet'!$J$5:$J$36,INT(($B51/F$4))+2)-INDEX('D Fleet'!$J$5:$J$36,INT(($B51/F$4))+1)),0)</f>
        <v/>
      </c>
      <c r="G51" s="276">
        <f>IFERROR(INDEX('D Fleet'!$C$5:$C$62,MATCH(G$3-$B51,'D Fleet'!$B$5:$B$62,0)),0)*IFERROR(INDEX('D Fleet'!$J$5:$J$36,INT(($B51/G$4))+1)+(($B51/G$4)-INT(($B51/G$4)))*(INDEX('D Fleet'!$J$5:$J$36,INT(($B51/G$4))+2)-INDEX('D Fleet'!$J$5:$J$36,INT(($B51/G$4))+1)),0)</f>
        <v/>
      </c>
      <c r="H51" s="276">
        <f>IFERROR(INDEX('D Fleet'!$C$5:$C$62,MATCH(H$3-$B51,'D Fleet'!$B$5:$B$62,0)),0)*IFERROR(INDEX('D Fleet'!$J$5:$J$36,INT(($B51/H$4))+1)+(($B51/H$4)-INT(($B51/H$4)))*(INDEX('D Fleet'!$J$5:$J$36,INT(($B51/H$4))+2)-INDEX('D Fleet'!$J$5:$J$36,INT(($B51/H$4))+1)),0)</f>
        <v/>
      </c>
      <c r="I51" s="276">
        <f>IFERROR(INDEX('D Fleet'!$C$5:$C$62,MATCH(I$3-$B51,'D Fleet'!$B$5:$B$62,0)),0)*IFERROR(INDEX('D Fleet'!$J$5:$J$36,INT(($B51/I$4))+1)+(($B51/I$4)-INT(($B51/I$4)))*(INDEX('D Fleet'!$J$5:$J$36,INT(($B51/I$4))+2)-INDEX('D Fleet'!$J$5:$J$36,INT(($B51/I$4))+1)),0)</f>
        <v/>
      </c>
      <c r="J51" s="276">
        <f>IFERROR(INDEX('D Fleet'!$C$5:$C$62,MATCH(J$3-$B51,'D Fleet'!$B$5:$B$62,0)),0)*IFERROR(INDEX('D Fleet'!$J$5:$J$36,INT(($B51/J$4))+1)+(($B51/J$4)-INT(($B51/J$4)))*(INDEX('D Fleet'!$J$5:$J$36,INT(($B51/J$4))+2)-INDEX('D Fleet'!$J$5:$J$36,INT(($B51/J$4))+1)),0)</f>
        <v/>
      </c>
      <c r="K51" s="276">
        <f>IFERROR(INDEX('D Fleet'!$C$5:$C$62,MATCH(K$3-$B51,'D Fleet'!$B$5:$B$62,0)),0)*IFERROR(INDEX('D Fleet'!$J$5:$J$36,INT(($B51/K$4))+1)+(($B51/K$4)-INT(($B51/K$4)))*(INDEX('D Fleet'!$J$5:$J$36,INT(($B51/K$4))+2)-INDEX('D Fleet'!$J$5:$J$36,INT(($B51/K$4))+1)),0)</f>
        <v/>
      </c>
      <c r="L51" s="276">
        <f>IFERROR(INDEX('D Fleet'!$C$5:$C$62,MATCH(L$3-$B51,'D Fleet'!$B$5:$B$62,0)),0)*IFERROR(INDEX('D Fleet'!$J$5:$J$36,INT(($B51/L$4))+1)+(($B51/L$4)-INT(($B51/L$4)))*(INDEX('D Fleet'!$J$5:$J$36,INT(($B51/L$4))+2)-INDEX('D Fleet'!$J$5:$J$36,INT(($B51/L$4))+1)),0)</f>
        <v/>
      </c>
      <c r="M51" s="276">
        <f>IFERROR(INDEX('D Fleet'!$C$5:$C$62,MATCH(M$3-$B51,'D Fleet'!$B$5:$B$62,0)),0)*IFERROR(INDEX('D Fleet'!$J$5:$J$36,INT(($B51/M$4))+1)+(($B51/M$4)-INT(($B51/M$4)))*(INDEX('D Fleet'!$J$5:$J$36,INT(($B51/M$4))+2)-INDEX('D Fleet'!$J$5:$J$36,INT(($B51/M$4))+1)),0)</f>
        <v/>
      </c>
      <c r="N51" s="276">
        <f>IFERROR(INDEX('D Fleet'!$C$5:$C$62,MATCH(N$3-$B51,'D Fleet'!$B$5:$B$62,0)),0)*IFERROR(INDEX('D Fleet'!$J$5:$J$36,INT(($B51/N$4))+1)+(($B51/N$4)-INT(($B51/N$4)))*(INDEX('D Fleet'!$J$5:$J$36,INT(($B51/N$4))+2)-INDEX('D Fleet'!$J$5:$J$36,INT(($B51/N$4))+1)),0)</f>
        <v/>
      </c>
      <c r="P51" s="276">
        <f>E51*$D51*'E1 Fleet'!$D$97</f>
        <v/>
      </c>
      <c r="Q51" s="276">
        <f>F51*$D51*'E1 Fleet'!$D$97</f>
        <v/>
      </c>
      <c r="R51" s="276">
        <f>G51*$D51*'E1 Fleet'!$D$97</f>
        <v/>
      </c>
      <c r="S51" s="276">
        <f>H51*$D51*'E1 Fleet'!$D$97</f>
        <v/>
      </c>
      <c r="T51" s="276">
        <f>I51*$D51*'E1 Fleet'!$D$97</f>
        <v/>
      </c>
      <c r="U51" s="276">
        <f>J51*$D51*'E1 Fleet'!$D$97</f>
        <v/>
      </c>
      <c r="V51" s="276">
        <f>K51*$D51*'E1 Fleet'!$D$97</f>
        <v/>
      </c>
      <c r="W51" s="276">
        <f>L51*$D51*'E1 Fleet'!$D$97</f>
        <v/>
      </c>
      <c r="X51" s="276">
        <f>M51*$D51*'E1 Fleet'!$D$97</f>
        <v/>
      </c>
      <c r="Y51" s="276">
        <f>N51*$D51*'E1 Fleet'!$D$97</f>
        <v/>
      </c>
    </row>
    <row r="52">
      <c r="A52" t="inlineStr">
        <is>
          <t>Car</t>
        </is>
      </c>
      <c r="B52" t="n">
        <v>45</v>
      </c>
      <c r="C52" t="n">
        <v>3</v>
      </c>
      <c r="D52" s="275">
        <f>IF($B52=0,'E1 Fleet'!$D$93,1)*EXP(-'E1 Fleet'!$D$94*MAX($B52-6,0))</f>
        <v/>
      </c>
      <c r="E52" s="276">
        <f>IFERROR(INDEX('D Fleet'!$C$5:$C$62,MATCH(E$3-$B52,'D Fleet'!$B$5:$B$62,0)),0)*IFERROR(INDEX('D Fleet'!$J$5:$J$36,INT(($B52/E$4))+1)+(($B52/E$4)-INT(($B52/E$4)))*(INDEX('D Fleet'!$J$5:$J$36,INT(($B52/E$4))+2)-INDEX('D Fleet'!$J$5:$J$36,INT(($B52/E$4))+1)),0)</f>
        <v/>
      </c>
      <c r="F52" s="276">
        <f>IFERROR(INDEX('D Fleet'!$C$5:$C$62,MATCH(F$3-$B52,'D Fleet'!$B$5:$B$62,0)),0)*IFERROR(INDEX('D Fleet'!$J$5:$J$36,INT(($B52/F$4))+1)+(($B52/F$4)-INT(($B52/F$4)))*(INDEX('D Fleet'!$J$5:$J$36,INT(($B52/F$4))+2)-INDEX('D Fleet'!$J$5:$J$36,INT(($B52/F$4))+1)),0)</f>
        <v/>
      </c>
      <c r="G52" s="276">
        <f>IFERROR(INDEX('D Fleet'!$C$5:$C$62,MATCH(G$3-$B52,'D Fleet'!$B$5:$B$62,0)),0)*IFERROR(INDEX('D Fleet'!$J$5:$J$36,INT(($B52/G$4))+1)+(($B52/G$4)-INT(($B52/G$4)))*(INDEX('D Fleet'!$J$5:$J$36,INT(($B52/G$4))+2)-INDEX('D Fleet'!$J$5:$J$36,INT(($B52/G$4))+1)),0)</f>
        <v/>
      </c>
      <c r="H52" s="276">
        <f>IFERROR(INDEX('D Fleet'!$C$5:$C$62,MATCH(H$3-$B52,'D Fleet'!$B$5:$B$62,0)),0)*IFERROR(INDEX('D Fleet'!$J$5:$J$36,INT(($B52/H$4))+1)+(($B52/H$4)-INT(($B52/H$4)))*(INDEX('D Fleet'!$J$5:$J$36,INT(($B52/H$4))+2)-INDEX('D Fleet'!$J$5:$J$36,INT(($B52/H$4))+1)),0)</f>
        <v/>
      </c>
      <c r="I52" s="276">
        <f>IFERROR(INDEX('D Fleet'!$C$5:$C$62,MATCH(I$3-$B52,'D Fleet'!$B$5:$B$62,0)),0)*IFERROR(INDEX('D Fleet'!$J$5:$J$36,INT(($B52/I$4))+1)+(($B52/I$4)-INT(($B52/I$4)))*(INDEX('D Fleet'!$J$5:$J$36,INT(($B52/I$4))+2)-INDEX('D Fleet'!$J$5:$J$36,INT(($B52/I$4))+1)),0)</f>
        <v/>
      </c>
      <c r="J52" s="276">
        <f>IFERROR(INDEX('D Fleet'!$C$5:$C$62,MATCH(J$3-$B52,'D Fleet'!$B$5:$B$62,0)),0)*IFERROR(INDEX('D Fleet'!$J$5:$J$36,INT(($B52/J$4))+1)+(($B52/J$4)-INT(($B52/J$4)))*(INDEX('D Fleet'!$J$5:$J$36,INT(($B52/J$4))+2)-INDEX('D Fleet'!$J$5:$J$36,INT(($B52/J$4))+1)),0)</f>
        <v/>
      </c>
      <c r="K52" s="276">
        <f>IFERROR(INDEX('D Fleet'!$C$5:$C$62,MATCH(K$3-$B52,'D Fleet'!$B$5:$B$62,0)),0)*IFERROR(INDEX('D Fleet'!$J$5:$J$36,INT(($B52/K$4))+1)+(($B52/K$4)-INT(($B52/K$4)))*(INDEX('D Fleet'!$J$5:$J$36,INT(($B52/K$4))+2)-INDEX('D Fleet'!$J$5:$J$36,INT(($B52/K$4))+1)),0)</f>
        <v/>
      </c>
      <c r="L52" s="276">
        <f>IFERROR(INDEX('D Fleet'!$C$5:$C$62,MATCH(L$3-$B52,'D Fleet'!$B$5:$B$62,0)),0)*IFERROR(INDEX('D Fleet'!$J$5:$J$36,INT(($B52/L$4))+1)+(($B52/L$4)-INT(($B52/L$4)))*(INDEX('D Fleet'!$J$5:$J$36,INT(($B52/L$4))+2)-INDEX('D Fleet'!$J$5:$J$36,INT(($B52/L$4))+1)),0)</f>
        <v/>
      </c>
      <c r="M52" s="276">
        <f>IFERROR(INDEX('D Fleet'!$C$5:$C$62,MATCH(M$3-$B52,'D Fleet'!$B$5:$B$62,0)),0)*IFERROR(INDEX('D Fleet'!$J$5:$J$36,INT(($B52/M$4))+1)+(($B52/M$4)-INT(($B52/M$4)))*(INDEX('D Fleet'!$J$5:$J$36,INT(($B52/M$4))+2)-INDEX('D Fleet'!$J$5:$J$36,INT(($B52/M$4))+1)),0)</f>
        <v/>
      </c>
      <c r="N52" s="276">
        <f>IFERROR(INDEX('D Fleet'!$C$5:$C$62,MATCH(N$3-$B52,'D Fleet'!$B$5:$B$62,0)),0)*IFERROR(INDEX('D Fleet'!$J$5:$J$36,INT(($B52/N$4))+1)+(($B52/N$4)-INT(($B52/N$4)))*(INDEX('D Fleet'!$J$5:$J$36,INT(($B52/N$4))+2)-INDEX('D Fleet'!$J$5:$J$36,INT(($B52/N$4))+1)),0)</f>
        <v/>
      </c>
      <c r="P52" s="276">
        <f>E52*$D52*'E1 Fleet'!$D$97</f>
        <v/>
      </c>
      <c r="Q52" s="276">
        <f>F52*$D52*'E1 Fleet'!$D$97</f>
        <v/>
      </c>
      <c r="R52" s="276">
        <f>G52*$D52*'E1 Fleet'!$D$97</f>
        <v/>
      </c>
      <c r="S52" s="276">
        <f>H52*$D52*'E1 Fleet'!$D$97</f>
        <v/>
      </c>
      <c r="T52" s="276">
        <f>I52*$D52*'E1 Fleet'!$D$97</f>
        <v/>
      </c>
      <c r="U52" s="276">
        <f>J52*$D52*'E1 Fleet'!$D$97</f>
        <v/>
      </c>
      <c r="V52" s="276">
        <f>K52*$D52*'E1 Fleet'!$D$97</f>
        <v/>
      </c>
      <c r="W52" s="276">
        <f>L52*$D52*'E1 Fleet'!$D$97</f>
        <v/>
      </c>
      <c r="X52" s="276">
        <f>M52*$D52*'E1 Fleet'!$D$97</f>
        <v/>
      </c>
      <c r="Y52" s="276">
        <f>N52*$D52*'E1 Fleet'!$D$97</f>
        <v/>
      </c>
    </row>
    <row r="53">
      <c r="A53" t="inlineStr">
        <is>
          <t>SUV</t>
        </is>
      </c>
      <c r="B53" t="n">
        <v>0</v>
      </c>
      <c r="C53" t="n">
        <v>0</v>
      </c>
      <c r="D53" s="275">
        <f>IF($B53=0,'E1 Fleet'!$D$93,1)*EXP(-'E1 Fleet'!$D$94*MAX($B53-6,0))</f>
        <v/>
      </c>
      <c r="E53" s="276">
        <f>IFERROR(INDEX('D Fleet'!$D$5:$D$62,MATCH(E$3-$B53,'D Fleet'!$B$5:$B$62,0)),0)*IFERROR(INDEX('D Fleet'!$K$5:$K$36,INT(($B53/E$5))+1)+(($B53/E$5)-INT(($B53/E$5)))*(INDEX('D Fleet'!$K$5:$K$36,INT(($B53/E$5))+2)-INDEX('D Fleet'!$K$5:$K$36,INT(($B53/E$5))+1)),0)</f>
        <v/>
      </c>
      <c r="F53" s="276">
        <f>IFERROR(INDEX('D Fleet'!$D$5:$D$62,MATCH(F$3-$B53,'D Fleet'!$B$5:$B$62,0)),0)*IFERROR(INDEX('D Fleet'!$K$5:$K$36,INT(($B53/F$5))+1)+(($B53/F$5)-INT(($B53/F$5)))*(INDEX('D Fleet'!$K$5:$K$36,INT(($B53/F$5))+2)-INDEX('D Fleet'!$K$5:$K$36,INT(($B53/F$5))+1)),0)</f>
        <v/>
      </c>
      <c r="G53" s="276">
        <f>IFERROR(INDEX('D Fleet'!$D$5:$D$62,MATCH(G$3-$B53,'D Fleet'!$B$5:$B$62,0)),0)*IFERROR(INDEX('D Fleet'!$K$5:$K$36,INT(($B53/G$5))+1)+(($B53/G$5)-INT(($B53/G$5)))*(INDEX('D Fleet'!$K$5:$K$36,INT(($B53/G$5))+2)-INDEX('D Fleet'!$K$5:$K$36,INT(($B53/G$5))+1)),0)</f>
        <v/>
      </c>
      <c r="H53" s="276">
        <f>IFERROR(INDEX('D Fleet'!$D$5:$D$62,MATCH(H$3-$B53,'D Fleet'!$B$5:$B$62,0)),0)*IFERROR(INDEX('D Fleet'!$K$5:$K$36,INT(($B53/H$5))+1)+(($B53/H$5)-INT(($B53/H$5)))*(INDEX('D Fleet'!$K$5:$K$36,INT(($B53/H$5))+2)-INDEX('D Fleet'!$K$5:$K$36,INT(($B53/H$5))+1)),0)</f>
        <v/>
      </c>
      <c r="I53" s="276">
        <f>IFERROR(INDEX('D Fleet'!$D$5:$D$62,MATCH(I$3-$B53,'D Fleet'!$B$5:$B$62,0)),0)*IFERROR(INDEX('D Fleet'!$K$5:$K$36,INT(($B53/I$5))+1)+(($B53/I$5)-INT(($B53/I$5)))*(INDEX('D Fleet'!$K$5:$K$36,INT(($B53/I$5))+2)-INDEX('D Fleet'!$K$5:$K$36,INT(($B53/I$5))+1)),0)</f>
        <v/>
      </c>
      <c r="J53" s="276">
        <f>IFERROR(INDEX('D Fleet'!$D$5:$D$62,MATCH(J$3-$B53,'D Fleet'!$B$5:$B$62,0)),0)*IFERROR(INDEX('D Fleet'!$K$5:$K$36,INT(($B53/J$5))+1)+(($B53/J$5)-INT(($B53/J$5)))*(INDEX('D Fleet'!$K$5:$K$36,INT(($B53/J$5))+2)-INDEX('D Fleet'!$K$5:$K$36,INT(($B53/J$5))+1)),0)</f>
        <v/>
      </c>
      <c r="K53" s="276">
        <f>IFERROR(INDEX('D Fleet'!$D$5:$D$62,MATCH(K$3-$B53,'D Fleet'!$B$5:$B$62,0)),0)*IFERROR(INDEX('D Fleet'!$K$5:$K$36,INT(($B53/K$5))+1)+(($B53/K$5)-INT(($B53/K$5)))*(INDEX('D Fleet'!$K$5:$K$36,INT(($B53/K$5))+2)-INDEX('D Fleet'!$K$5:$K$36,INT(($B53/K$5))+1)),0)</f>
        <v/>
      </c>
      <c r="L53" s="276">
        <f>IFERROR(INDEX('D Fleet'!$D$5:$D$62,MATCH(L$3-$B53,'D Fleet'!$B$5:$B$62,0)),0)*IFERROR(INDEX('D Fleet'!$K$5:$K$36,INT(($B53/L$5))+1)+(($B53/L$5)-INT(($B53/L$5)))*(INDEX('D Fleet'!$K$5:$K$36,INT(($B53/L$5))+2)-INDEX('D Fleet'!$K$5:$K$36,INT(($B53/L$5))+1)),0)</f>
        <v/>
      </c>
      <c r="M53" s="276">
        <f>IFERROR(INDEX('D Fleet'!$D$5:$D$62,MATCH(M$3-$B53,'D Fleet'!$B$5:$B$62,0)),0)*IFERROR(INDEX('D Fleet'!$K$5:$K$36,INT(($B53/M$5))+1)+(($B53/M$5)-INT(($B53/M$5)))*(INDEX('D Fleet'!$K$5:$K$36,INT(($B53/M$5))+2)-INDEX('D Fleet'!$K$5:$K$36,INT(($B53/M$5))+1)),0)</f>
        <v/>
      </c>
      <c r="N53" s="276">
        <f>IFERROR(INDEX('D Fleet'!$D$5:$D$62,MATCH(N$3-$B53,'D Fleet'!$B$5:$B$62,0)),0)*IFERROR(INDEX('D Fleet'!$K$5:$K$36,INT(($B53/N$5))+1)+(($B53/N$5)-INT(($B53/N$5)))*(INDEX('D Fleet'!$K$5:$K$36,INT(($B53/N$5))+2)-INDEX('D Fleet'!$K$5:$K$36,INT(($B53/N$5))+1)),0)</f>
        <v/>
      </c>
      <c r="P53" s="276">
        <f>E53*$D53*'E1 Fleet'!$D$98</f>
        <v/>
      </c>
      <c r="Q53" s="276">
        <f>F53*$D53*'E1 Fleet'!$D$98</f>
        <v/>
      </c>
      <c r="R53" s="276">
        <f>G53*$D53*'E1 Fleet'!$D$98</f>
        <v/>
      </c>
      <c r="S53" s="276">
        <f>H53*$D53*'E1 Fleet'!$D$98</f>
        <v/>
      </c>
      <c r="T53" s="276">
        <f>I53*$D53*'E1 Fleet'!$D$98</f>
        <v/>
      </c>
      <c r="U53" s="276">
        <f>J53*$D53*'E1 Fleet'!$D$98</f>
        <v/>
      </c>
      <c r="V53" s="276">
        <f>K53*$D53*'E1 Fleet'!$D$98</f>
        <v/>
      </c>
      <c r="W53" s="276">
        <f>L53*$D53*'E1 Fleet'!$D$98</f>
        <v/>
      </c>
      <c r="X53" s="276">
        <f>M53*$D53*'E1 Fleet'!$D$98</f>
        <v/>
      </c>
      <c r="Y53" s="276">
        <f>N53*$D53*'E1 Fleet'!$D$98</f>
        <v/>
      </c>
    </row>
    <row r="54">
      <c r="A54" t="inlineStr">
        <is>
          <t>SUV</t>
        </is>
      </c>
      <c r="B54" t="n">
        <v>1</v>
      </c>
      <c r="C54" t="n">
        <v>1</v>
      </c>
      <c r="D54" s="275">
        <f>IF($B54=0,'E1 Fleet'!$D$93,1)*EXP(-'E1 Fleet'!$D$94*MAX($B54-6,0))</f>
        <v/>
      </c>
      <c r="E54" s="276">
        <f>IFERROR(INDEX('D Fleet'!$D$5:$D$62,MATCH(E$3-$B54,'D Fleet'!$B$5:$B$62,0)),0)*IFERROR(INDEX('D Fleet'!$K$5:$K$36,INT(($B54/E$5))+1)+(($B54/E$5)-INT(($B54/E$5)))*(INDEX('D Fleet'!$K$5:$K$36,INT(($B54/E$5))+2)-INDEX('D Fleet'!$K$5:$K$36,INT(($B54/E$5))+1)),0)</f>
        <v/>
      </c>
      <c r="F54" s="276">
        <f>IFERROR(INDEX('D Fleet'!$D$5:$D$62,MATCH(F$3-$B54,'D Fleet'!$B$5:$B$62,0)),0)*IFERROR(INDEX('D Fleet'!$K$5:$K$36,INT(($B54/F$5))+1)+(($B54/F$5)-INT(($B54/F$5)))*(INDEX('D Fleet'!$K$5:$K$36,INT(($B54/F$5))+2)-INDEX('D Fleet'!$K$5:$K$36,INT(($B54/F$5))+1)),0)</f>
        <v/>
      </c>
      <c r="G54" s="276">
        <f>IFERROR(INDEX('D Fleet'!$D$5:$D$62,MATCH(G$3-$B54,'D Fleet'!$B$5:$B$62,0)),0)*IFERROR(INDEX('D Fleet'!$K$5:$K$36,INT(($B54/G$5))+1)+(($B54/G$5)-INT(($B54/G$5)))*(INDEX('D Fleet'!$K$5:$K$36,INT(($B54/G$5))+2)-INDEX('D Fleet'!$K$5:$K$36,INT(($B54/G$5))+1)),0)</f>
        <v/>
      </c>
      <c r="H54" s="276">
        <f>IFERROR(INDEX('D Fleet'!$D$5:$D$62,MATCH(H$3-$B54,'D Fleet'!$B$5:$B$62,0)),0)*IFERROR(INDEX('D Fleet'!$K$5:$K$36,INT(($B54/H$5))+1)+(($B54/H$5)-INT(($B54/H$5)))*(INDEX('D Fleet'!$K$5:$K$36,INT(($B54/H$5))+2)-INDEX('D Fleet'!$K$5:$K$36,INT(($B54/H$5))+1)),0)</f>
        <v/>
      </c>
      <c r="I54" s="276">
        <f>IFERROR(INDEX('D Fleet'!$D$5:$D$62,MATCH(I$3-$B54,'D Fleet'!$B$5:$B$62,0)),0)*IFERROR(INDEX('D Fleet'!$K$5:$K$36,INT(($B54/I$5))+1)+(($B54/I$5)-INT(($B54/I$5)))*(INDEX('D Fleet'!$K$5:$K$36,INT(($B54/I$5))+2)-INDEX('D Fleet'!$K$5:$K$36,INT(($B54/I$5))+1)),0)</f>
        <v/>
      </c>
      <c r="J54" s="276">
        <f>IFERROR(INDEX('D Fleet'!$D$5:$D$62,MATCH(J$3-$B54,'D Fleet'!$B$5:$B$62,0)),0)*IFERROR(INDEX('D Fleet'!$K$5:$K$36,INT(($B54/J$5))+1)+(($B54/J$5)-INT(($B54/J$5)))*(INDEX('D Fleet'!$K$5:$K$36,INT(($B54/J$5))+2)-INDEX('D Fleet'!$K$5:$K$36,INT(($B54/J$5))+1)),0)</f>
        <v/>
      </c>
      <c r="K54" s="276">
        <f>IFERROR(INDEX('D Fleet'!$D$5:$D$62,MATCH(K$3-$B54,'D Fleet'!$B$5:$B$62,0)),0)*IFERROR(INDEX('D Fleet'!$K$5:$K$36,INT(($B54/K$5))+1)+(($B54/K$5)-INT(($B54/K$5)))*(INDEX('D Fleet'!$K$5:$K$36,INT(($B54/K$5))+2)-INDEX('D Fleet'!$K$5:$K$36,INT(($B54/K$5))+1)),0)</f>
        <v/>
      </c>
      <c r="L54" s="276">
        <f>IFERROR(INDEX('D Fleet'!$D$5:$D$62,MATCH(L$3-$B54,'D Fleet'!$B$5:$B$62,0)),0)*IFERROR(INDEX('D Fleet'!$K$5:$K$36,INT(($B54/L$5))+1)+(($B54/L$5)-INT(($B54/L$5)))*(INDEX('D Fleet'!$K$5:$K$36,INT(($B54/L$5))+2)-INDEX('D Fleet'!$K$5:$K$36,INT(($B54/L$5))+1)),0)</f>
        <v/>
      </c>
      <c r="M54" s="276">
        <f>IFERROR(INDEX('D Fleet'!$D$5:$D$62,MATCH(M$3-$B54,'D Fleet'!$B$5:$B$62,0)),0)*IFERROR(INDEX('D Fleet'!$K$5:$K$36,INT(($B54/M$5))+1)+(($B54/M$5)-INT(($B54/M$5)))*(INDEX('D Fleet'!$K$5:$K$36,INT(($B54/M$5))+2)-INDEX('D Fleet'!$K$5:$K$36,INT(($B54/M$5))+1)),0)</f>
        <v/>
      </c>
      <c r="N54" s="276">
        <f>IFERROR(INDEX('D Fleet'!$D$5:$D$62,MATCH(N$3-$B54,'D Fleet'!$B$5:$B$62,0)),0)*IFERROR(INDEX('D Fleet'!$K$5:$K$36,INT(($B54/N$5))+1)+(($B54/N$5)-INT(($B54/N$5)))*(INDEX('D Fleet'!$K$5:$K$36,INT(($B54/N$5))+2)-INDEX('D Fleet'!$K$5:$K$36,INT(($B54/N$5))+1)),0)</f>
        <v/>
      </c>
      <c r="P54" s="276">
        <f>E54*$D54*'E1 Fleet'!$D$98</f>
        <v/>
      </c>
      <c r="Q54" s="276">
        <f>F54*$D54*'E1 Fleet'!$D$98</f>
        <v/>
      </c>
      <c r="R54" s="276">
        <f>G54*$D54*'E1 Fleet'!$D$98</f>
        <v/>
      </c>
      <c r="S54" s="276">
        <f>H54*$D54*'E1 Fleet'!$D$98</f>
        <v/>
      </c>
      <c r="T54" s="276">
        <f>I54*$D54*'E1 Fleet'!$D$98</f>
        <v/>
      </c>
      <c r="U54" s="276">
        <f>J54*$D54*'E1 Fleet'!$D$98</f>
        <v/>
      </c>
      <c r="V54" s="276">
        <f>K54*$D54*'E1 Fleet'!$D$98</f>
        <v/>
      </c>
      <c r="W54" s="276">
        <f>L54*$D54*'E1 Fleet'!$D$98</f>
        <v/>
      </c>
      <c r="X54" s="276">
        <f>M54*$D54*'E1 Fleet'!$D$98</f>
        <v/>
      </c>
      <c r="Y54" s="276">
        <f>N54*$D54*'E1 Fleet'!$D$98</f>
        <v/>
      </c>
    </row>
    <row r="55">
      <c r="A55" t="inlineStr">
        <is>
          <t>SUV</t>
        </is>
      </c>
      <c r="B55" t="n">
        <v>2</v>
      </c>
      <c r="C55" t="n">
        <v>1</v>
      </c>
      <c r="D55" s="275">
        <f>IF($B55=0,'E1 Fleet'!$D$93,1)*EXP(-'E1 Fleet'!$D$94*MAX($B55-6,0))</f>
        <v/>
      </c>
      <c r="E55" s="276">
        <f>IFERROR(INDEX('D Fleet'!$D$5:$D$62,MATCH(E$3-$B55,'D Fleet'!$B$5:$B$62,0)),0)*IFERROR(INDEX('D Fleet'!$K$5:$K$36,INT(($B55/E$5))+1)+(($B55/E$5)-INT(($B55/E$5)))*(INDEX('D Fleet'!$K$5:$K$36,INT(($B55/E$5))+2)-INDEX('D Fleet'!$K$5:$K$36,INT(($B55/E$5))+1)),0)</f>
        <v/>
      </c>
      <c r="F55" s="276">
        <f>IFERROR(INDEX('D Fleet'!$D$5:$D$62,MATCH(F$3-$B55,'D Fleet'!$B$5:$B$62,0)),0)*IFERROR(INDEX('D Fleet'!$K$5:$K$36,INT(($B55/F$5))+1)+(($B55/F$5)-INT(($B55/F$5)))*(INDEX('D Fleet'!$K$5:$K$36,INT(($B55/F$5))+2)-INDEX('D Fleet'!$K$5:$K$36,INT(($B55/F$5))+1)),0)</f>
        <v/>
      </c>
      <c r="G55" s="276">
        <f>IFERROR(INDEX('D Fleet'!$D$5:$D$62,MATCH(G$3-$B55,'D Fleet'!$B$5:$B$62,0)),0)*IFERROR(INDEX('D Fleet'!$K$5:$K$36,INT(($B55/G$5))+1)+(($B55/G$5)-INT(($B55/G$5)))*(INDEX('D Fleet'!$K$5:$K$36,INT(($B55/G$5))+2)-INDEX('D Fleet'!$K$5:$K$36,INT(($B55/G$5))+1)),0)</f>
        <v/>
      </c>
      <c r="H55" s="276">
        <f>IFERROR(INDEX('D Fleet'!$D$5:$D$62,MATCH(H$3-$B55,'D Fleet'!$B$5:$B$62,0)),0)*IFERROR(INDEX('D Fleet'!$K$5:$K$36,INT(($B55/H$5))+1)+(($B55/H$5)-INT(($B55/H$5)))*(INDEX('D Fleet'!$K$5:$K$36,INT(($B55/H$5))+2)-INDEX('D Fleet'!$K$5:$K$36,INT(($B55/H$5))+1)),0)</f>
        <v/>
      </c>
      <c r="I55" s="276">
        <f>IFERROR(INDEX('D Fleet'!$D$5:$D$62,MATCH(I$3-$B55,'D Fleet'!$B$5:$B$62,0)),0)*IFERROR(INDEX('D Fleet'!$K$5:$K$36,INT(($B55/I$5))+1)+(($B55/I$5)-INT(($B55/I$5)))*(INDEX('D Fleet'!$K$5:$K$36,INT(($B55/I$5))+2)-INDEX('D Fleet'!$K$5:$K$36,INT(($B55/I$5))+1)),0)</f>
        <v/>
      </c>
      <c r="J55" s="276">
        <f>IFERROR(INDEX('D Fleet'!$D$5:$D$62,MATCH(J$3-$B55,'D Fleet'!$B$5:$B$62,0)),0)*IFERROR(INDEX('D Fleet'!$K$5:$K$36,INT(($B55/J$5))+1)+(($B55/J$5)-INT(($B55/J$5)))*(INDEX('D Fleet'!$K$5:$K$36,INT(($B55/J$5))+2)-INDEX('D Fleet'!$K$5:$K$36,INT(($B55/J$5))+1)),0)</f>
        <v/>
      </c>
      <c r="K55" s="276">
        <f>IFERROR(INDEX('D Fleet'!$D$5:$D$62,MATCH(K$3-$B55,'D Fleet'!$B$5:$B$62,0)),0)*IFERROR(INDEX('D Fleet'!$K$5:$K$36,INT(($B55/K$5))+1)+(($B55/K$5)-INT(($B55/K$5)))*(INDEX('D Fleet'!$K$5:$K$36,INT(($B55/K$5))+2)-INDEX('D Fleet'!$K$5:$K$36,INT(($B55/K$5))+1)),0)</f>
        <v/>
      </c>
      <c r="L55" s="276">
        <f>IFERROR(INDEX('D Fleet'!$D$5:$D$62,MATCH(L$3-$B55,'D Fleet'!$B$5:$B$62,0)),0)*IFERROR(INDEX('D Fleet'!$K$5:$K$36,INT(($B55/L$5))+1)+(($B55/L$5)-INT(($B55/L$5)))*(INDEX('D Fleet'!$K$5:$K$36,INT(($B55/L$5))+2)-INDEX('D Fleet'!$K$5:$K$36,INT(($B55/L$5))+1)),0)</f>
        <v/>
      </c>
      <c r="M55" s="276">
        <f>IFERROR(INDEX('D Fleet'!$D$5:$D$62,MATCH(M$3-$B55,'D Fleet'!$B$5:$B$62,0)),0)*IFERROR(INDEX('D Fleet'!$K$5:$K$36,INT(($B55/M$5))+1)+(($B55/M$5)-INT(($B55/M$5)))*(INDEX('D Fleet'!$K$5:$K$36,INT(($B55/M$5))+2)-INDEX('D Fleet'!$K$5:$K$36,INT(($B55/M$5))+1)),0)</f>
        <v/>
      </c>
      <c r="N55" s="276">
        <f>IFERROR(INDEX('D Fleet'!$D$5:$D$62,MATCH(N$3-$B55,'D Fleet'!$B$5:$B$62,0)),0)*IFERROR(INDEX('D Fleet'!$K$5:$K$36,INT(($B55/N$5))+1)+(($B55/N$5)-INT(($B55/N$5)))*(INDEX('D Fleet'!$K$5:$K$36,INT(($B55/N$5))+2)-INDEX('D Fleet'!$K$5:$K$36,INT(($B55/N$5))+1)),0)</f>
        <v/>
      </c>
      <c r="P55" s="276">
        <f>E55*$D55*'E1 Fleet'!$D$98</f>
        <v/>
      </c>
      <c r="Q55" s="276">
        <f>F55*$D55*'E1 Fleet'!$D$98</f>
        <v/>
      </c>
      <c r="R55" s="276">
        <f>G55*$D55*'E1 Fleet'!$D$98</f>
        <v/>
      </c>
      <c r="S55" s="276">
        <f>H55*$D55*'E1 Fleet'!$D$98</f>
        <v/>
      </c>
      <c r="T55" s="276">
        <f>I55*$D55*'E1 Fleet'!$D$98</f>
        <v/>
      </c>
      <c r="U55" s="276">
        <f>J55*$D55*'E1 Fleet'!$D$98</f>
        <v/>
      </c>
      <c r="V55" s="276">
        <f>K55*$D55*'E1 Fleet'!$D$98</f>
        <v/>
      </c>
      <c r="W55" s="276">
        <f>L55*$D55*'E1 Fleet'!$D$98</f>
        <v/>
      </c>
      <c r="X55" s="276">
        <f>M55*$D55*'E1 Fleet'!$D$98</f>
        <v/>
      </c>
      <c r="Y55" s="276">
        <f>N55*$D55*'E1 Fleet'!$D$98</f>
        <v/>
      </c>
    </row>
    <row r="56">
      <c r="A56" t="inlineStr">
        <is>
          <t>SUV</t>
        </is>
      </c>
      <c r="B56" t="n">
        <v>3</v>
      </c>
      <c r="C56" t="n">
        <v>1</v>
      </c>
      <c r="D56" s="275">
        <f>IF($B56=0,'E1 Fleet'!$D$93,1)*EXP(-'E1 Fleet'!$D$94*MAX($B56-6,0))</f>
        <v/>
      </c>
      <c r="E56" s="276">
        <f>IFERROR(INDEX('D Fleet'!$D$5:$D$62,MATCH(E$3-$B56,'D Fleet'!$B$5:$B$62,0)),0)*IFERROR(INDEX('D Fleet'!$K$5:$K$36,INT(($B56/E$5))+1)+(($B56/E$5)-INT(($B56/E$5)))*(INDEX('D Fleet'!$K$5:$K$36,INT(($B56/E$5))+2)-INDEX('D Fleet'!$K$5:$K$36,INT(($B56/E$5))+1)),0)</f>
        <v/>
      </c>
      <c r="F56" s="276">
        <f>IFERROR(INDEX('D Fleet'!$D$5:$D$62,MATCH(F$3-$B56,'D Fleet'!$B$5:$B$62,0)),0)*IFERROR(INDEX('D Fleet'!$K$5:$K$36,INT(($B56/F$5))+1)+(($B56/F$5)-INT(($B56/F$5)))*(INDEX('D Fleet'!$K$5:$K$36,INT(($B56/F$5))+2)-INDEX('D Fleet'!$K$5:$K$36,INT(($B56/F$5))+1)),0)</f>
        <v/>
      </c>
      <c r="G56" s="276">
        <f>IFERROR(INDEX('D Fleet'!$D$5:$D$62,MATCH(G$3-$B56,'D Fleet'!$B$5:$B$62,0)),0)*IFERROR(INDEX('D Fleet'!$K$5:$K$36,INT(($B56/G$5))+1)+(($B56/G$5)-INT(($B56/G$5)))*(INDEX('D Fleet'!$K$5:$K$36,INT(($B56/G$5))+2)-INDEX('D Fleet'!$K$5:$K$36,INT(($B56/G$5))+1)),0)</f>
        <v/>
      </c>
      <c r="H56" s="276">
        <f>IFERROR(INDEX('D Fleet'!$D$5:$D$62,MATCH(H$3-$B56,'D Fleet'!$B$5:$B$62,0)),0)*IFERROR(INDEX('D Fleet'!$K$5:$K$36,INT(($B56/H$5))+1)+(($B56/H$5)-INT(($B56/H$5)))*(INDEX('D Fleet'!$K$5:$K$36,INT(($B56/H$5))+2)-INDEX('D Fleet'!$K$5:$K$36,INT(($B56/H$5))+1)),0)</f>
        <v/>
      </c>
      <c r="I56" s="276">
        <f>IFERROR(INDEX('D Fleet'!$D$5:$D$62,MATCH(I$3-$B56,'D Fleet'!$B$5:$B$62,0)),0)*IFERROR(INDEX('D Fleet'!$K$5:$K$36,INT(($B56/I$5))+1)+(($B56/I$5)-INT(($B56/I$5)))*(INDEX('D Fleet'!$K$5:$K$36,INT(($B56/I$5))+2)-INDEX('D Fleet'!$K$5:$K$36,INT(($B56/I$5))+1)),0)</f>
        <v/>
      </c>
      <c r="J56" s="276">
        <f>IFERROR(INDEX('D Fleet'!$D$5:$D$62,MATCH(J$3-$B56,'D Fleet'!$B$5:$B$62,0)),0)*IFERROR(INDEX('D Fleet'!$K$5:$K$36,INT(($B56/J$5))+1)+(($B56/J$5)-INT(($B56/J$5)))*(INDEX('D Fleet'!$K$5:$K$36,INT(($B56/J$5))+2)-INDEX('D Fleet'!$K$5:$K$36,INT(($B56/J$5))+1)),0)</f>
        <v/>
      </c>
      <c r="K56" s="276">
        <f>IFERROR(INDEX('D Fleet'!$D$5:$D$62,MATCH(K$3-$B56,'D Fleet'!$B$5:$B$62,0)),0)*IFERROR(INDEX('D Fleet'!$K$5:$K$36,INT(($B56/K$5))+1)+(($B56/K$5)-INT(($B56/K$5)))*(INDEX('D Fleet'!$K$5:$K$36,INT(($B56/K$5))+2)-INDEX('D Fleet'!$K$5:$K$36,INT(($B56/K$5))+1)),0)</f>
        <v/>
      </c>
      <c r="L56" s="276">
        <f>IFERROR(INDEX('D Fleet'!$D$5:$D$62,MATCH(L$3-$B56,'D Fleet'!$B$5:$B$62,0)),0)*IFERROR(INDEX('D Fleet'!$K$5:$K$36,INT(($B56/L$5))+1)+(($B56/L$5)-INT(($B56/L$5)))*(INDEX('D Fleet'!$K$5:$K$36,INT(($B56/L$5))+2)-INDEX('D Fleet'!$K$5:$K$36,INT(($B56/L$5))+1)),0)</f>
        <v/>
      </c>
      <c r="M56" s="276">
        <f>IFERROR(INDEX('D Fleet'!$D$5:$D$62,MATCH(M$3-$B56,'D Fleet'!$B$5:$B$62,0)),0)*IFERROR(INDEX('D Fleet'!$K$5:$K$36,INT(($B56/M$5))+1)+(($B56/M$5)-INT(($B56/M$5)))*(INDEX('D Fleet'!$K$5:$K$36,INT(($B56/M$5))+2)-INDEX('D Fleet'!$K$5:$K$36,INT(($B56/M$5))+1)),0)</f>
        <v/>
      </c>
      <c r="N56" s="276">
        <f>IFERROR(INDEX('D Fleet'!$D$5:$D$62,MATCH(N$3-$B56,'D Fleet'!$B$5:$B$62,0)),0)*IFERROR(INDEX('D Fleet'!$K$5:$K$36,INT(($B56/N$5))+1)+(($B56/N$5)-INT(($B56/N$5)))*(INDEX('D Fleet'!$K$5:$K$36,INT(($B56/N$5))+2)-INDEX('D Fleet'!$K$5:$K$36,INT(($B56/N$5))+1)),0)</f>
        <v/>
      </c>
      <c r="P56" s="276">
        <f>E56*$D56*'E1 Fleet'!$D$98</f>
        <v/>
      </c>
      <c r="Q56" s="276">
        <f>F56*$D56*'E1 Fleet'!$D$98</f>
        <v/>
      </c>
      <c r="R56" s="276">
        <f>G56*$D56*'E1 Fleet'!$D$98</f>
        <v/>
      </c>
      <c r="S56" s="276">
        <f>H56*$D56*'E1 Fleet'!$D$98</f>
        <v/>
      </c>
      <c r="T56" s="276">
        <f>I56*$D56*'E1 Fleet'!$D$98</f>
        <v/>
      </c>
      <c r="U56" s="276">
        <f>J56*$D56*'E1 Fleet'!$D$98</f>
        <v/>
      </c>
      <c r="V56" s="276">
        <f>K56*$D56*'E1 Fleet'!$D$98</f>
        <v/>
      </c>
      <c r="W56" s="276">
        <f>L56*$D56*'E1 Fleet'!$D$98</f>
        <v/>
      </c>
      <c r="X56" s="276">
        <f>M56*$D56*'E1 Fleet'!$D$98</f>
        <v/>
      </c>
      <c r="Y56" s="276">
        <f>N56*$D56*'E1 Fleet'!$D$98</f>
        <v/>
      </c>
    </row>
    <row r="57">
      <c r="A57" t="inlineStr">
        <is>
          <t>SUV</t>
        </is>
      </c>
      <c r="B57" t="n">
        <v>4</v>
      </c>
      <c r="C57" t="n">
        <v>2</v>
      </c>
      <c r="D57" s="275">
        <f>IF($B57=0,'E1 Fleet'!$D$93,1)*EXP(-'E1 Fleet'!$D$94*MAX($B57-6,0))</f>
        <v/>
      </c>
      <c r="E57" s="276">
        <f>IFERROR(INDEX('D Fleet'!$D$5:$D$62,MATCH(E$3-$B57,'D Fleet'!$B$5:$B$62,0)),0)*IFERROR(INDEX('D Fleet'!$K$5:$K$36,INT(($B57/E$5))+1)+(($B57/E$5)-INT(($B57/E$5)))*(INDEX('D Fleet'!$K$5:$K$36,INT(($B57/E$5))+2)-INDEX('D Fleet'!$K$5:$K$36,INT(($B57/E$5))+1)),0)</f>
        <v/>
      </c>
      <c r="F57" s="276">
        <f>IFERROR(INDEX('D Fleet'!$D$5:$D$62,MATCH(F$3-$B57,'D Fleet'!$B$5:$B$62,0)),0)*IFERROR(INDEX('D Fleet'!$K$5:$K$36,INT(($B57/F$5))+1)+(($B57/F$5)-INT(($B57/F$5)))*(INDEX('D Fleet'!$K$5:$K$36,INT(($B57/F$5))+2)-INDEX('D Fleet'!$K$5:$K$36,INT(($B57/F$5))+1)),0)</f>
        <v/>
      </c>
      <c r="G57" s="276">
        <f>IFERROR(INDEX('D Fleet'!$D$5:$D$62,MATCH(G$3-$B57,'D Fleet'!$B$5:$B$62,0)),0)*IFERROR(INDEX('D Fleet'!$K$5:$K$36,INT(($B57/G$5))+1)+(($B57/G$5)-INT(($B57/G$5)))*(INDEX('D Fleet'!$K$5:$K$36,INT(($B57/G$5))+2)-INDEX('D Fleet'!$K$5:$K$36,INT(($B57/G$5))+1)),0)</f>
        <v/>
      </c>
      <c r="H57" s="276">
        <f>IFERROR(INDEX('D Fleet'!$D$5:$D$62,MATCH(H$3-$B57,'D Fleet'!$B$5:$B$62,0)),0)*IFERROR(INDEX('D Fleet'!$K$5:$K$36,INT(($B57/H$5))+1)+(($B57/H$5)-INT(($B57/H$5)))*(INDEX('D Fleet'!$K$5:$K$36,INT(($B57/H$5))+2)-INDEX('D Fleet'!$K$5:$K$36,INT(($B57/H$5))+1)),0)</f>
        <v/>
      </c>
      <c r="I57" s="276">
        <f>IFERROR(INDEX('D Fleet'!$D$5:$D$62,MATCH(I$3-$B57,'D Fleet'!$B$5:$B$62,0)),0)*IFERROR(INDEX('D Fleet'!$K$5:$K$36,INT(($B57/I$5))+1)+(($B57/I$5)-INT(($B57/I$5)))*(INDEX('D Fleet'!$K$5:$K$36,INT(($B57/I$5))+2)-INDEX('D Fleet'!$K$5:$K$36,INT(($B57/I$5))+1)),0)</f>
        <v/>
      </c>
      <c r="J57" s="276">
        <f>IFERROR(INDEX('D Fleet'!$D$5:$D$62,MATCH(J$3-$B57,'D Fleet'!$B$5:$B$62,0)),0)*IFERROR(INDEX('D Fleet'!$K$5:$K$36,INT(($B57/J$5))+1)+(($B57/J$5)-INT(($B57/J$5)))*(INDEX('D Fleet'!$K$5:$K$36,INT(($B57/J$5))+2)-INDEX('D Fleet'!$K$5:$K$36,INT(($B57/J$5))+1)),0)</f>
        <v/>
      </c>
      <c r="K57" s="276">
        <f>IFERROR(INDEX('D Fleet'!$D$5:$D$62,MATCH(K$3-$B57,'D Fleet'!$B$5:$B$62,0)),0)*IFERROR(INDEX('D Fleet'!$K$5:$K$36,INT(($B57/K$5))+1)+(($B57/K$5)-INT(($B57/K$5)))*(INDEX('D Fleet'!$K$5:$K$36,INT(($B57/K$5))+2)-INDEX('D Fleet'!$K$5:$K$36,INT(($B57/K$5))+1)),0)</f>
        <v/>
      </c>
      <c r="L57" s="276">
        <f>IFERROR(INDEX('D Fleet'!$D$5:$D$62,MATCH(L$3-$B57,'D Fleet'!$B$5:$B$62,0)),0)*IFERROR(INDEX('D Fleet'!$K$5:$K$36,INT(($B57/L$5))+1)+(($B57/L$5)-INT(($B57/L$5)))*(INDEX('D Fleet'!$K$5:$K$36,INT(($B57/L$5))+2)-INDEX('D Fleet'!$K$5:$K$36,INT(($B57/L$5))+1)),0)</f>
        <v/>
      </c>
      <c r="M57" s="276">
        <f>IFERROR(INDEX('D Fleet'!$D$5:$D$62,MATCH(M$3-$B57,'D Fleet'!$B$5:$B$62,0)),0)*IFERROR(INDEX('D Fleet'!$K$5:$K$36,INT(($B57/M$5))+1)+(($B57/M$5)-INT(($B57/M$5)))*(INDEX('D Fleet'!$K$5:$K$36,INT(($B57/M$5))+2)-INDEX('D Fleet'!$K$5:$K$36,INT(($B57/M$5))+1)),0)</f>
        <v/>
      </c>
      <c r="N57" s="276">
        <f>IFERROR(INDEX('D Fleet'!$D$5:$D$62,MATCH(N$3-$B57,'D Fleet'!$B$5:$B$62,0)),0)*IFERROR(INDEX('D Fleet'!$K$5:$K$36,INT(($B57/N$5))+1)+(($B57/N$5)-INT(($B57/N$5)))*(INDEX('D Fleet'!$K$5:$K$36,INT(($B57/N$5))+2)-INDEX('D Fleet'!$K$5:$K$36,INT(($B57/N$5))+1)),0)</f>
        <v/>
      </c>
      <c r="P57" s="276">
        <f>E57*$D57*'E1 Fleet'!$D$98</f>
        <v/>
      </c>
      <c r="Q57" s="276">
        <f>F57*$D57*'E1 Fleet'!$D$98</f>
        <v/>
      </c>
      <c r="R57" s="276">
        <f>G57*$D57*'E1 Fleet'!$D$98</f>
        <v/>
      </c>
      <c r="S57" s="276">
        <f>H57*$D57*'E1 Fleet'!$D$98</f>
        <v/>
      </c>
      <c r="T57" s="276">
        <f>I57*$D57*'E1 Fleet'!$D$98</f>
        <v/>
      </c>
      <c r="U57" s="276">
        <f>J57*$D57*'E1 Fleet'!$D$98</f>
        <v/>
      </c>
      <c r="V57" s="276">
        <f>K57*$D57*'E1 Fleet'!$D$98</f>
        <v/>
      </c>
      <c r="W57" s="276">
        <f>L57*$D57*'E1 Fleet'!$D$98</f>
        <v/>
      </c>
      <c r="X57" s="276">
        <f>M57*$D57*'E1 Fleet'!$D$98</f>
        <v/>
      </c>
      <c r="Y57" s="276">
        <f>N57*$D57*'E1 Fleet'!$D$98</f>
        <v/>
      </c>
    </row>
    <row r="58">
      <c r="A58" t="inlineStr">
        <is>
          <t>SUV</t>
        </is>
      </c>
      <c r="B58" t="n">
        <v>5</v>
      </c>
      <c r="C58" t="n">
        <v>2</v>
      </c>
      <c r="D58" s="275">
        <f>IF($B58=0,'E1 Fleet'!$D$93,1)*EXP(-'E1 Fleet'!$D$94*MAX($B58-6,0))</f>
        <v/>
      </c>
      <c r="E58" s="276">
        <f>IFERROR(INDEX('D Fleet'!$D$5:$D$62,MATCH(E$3-$B58,'D Fleet'!$B$5:$B$62,0)),0)*IFERROR(INDEX('D Fleet'!$K$5:$K$36,INT(($B58/E$5))+1)+(($B58/E$5)-INT(($B58/E$5)))*(INDEX('D Fleet'!$K$5:$K$36,INT(($B58/E$5))+2)-INDEX('D Fleet'!$K$5:$K$36,INT(($B58/E$5))+1)),0)</f>
        <v/>
      </c>
      <c r="F58" s="276">
        <f>IFERROR(INDEX('D Fleet'!$D$5:$D$62,MATCH(F$3-$B58,'D Fleet'!$B$5:$B$62,0)),0)*IFERROR(INDEX('D Fleet'!$K$5:$K$36,INT(($B58/F$5))+1)+(($B58/F$5)-INT(($B58/F$5)))*(INDEX('D Fleet'!$K$5:$K$36,INT(($B58/F$5))+2)-INDEX('D Fleet'!$K$5:$K$36,INT(($B58/F$5))+1)),0)</f>
        <v/>
      </c>
      <c r="G58" s="276">
        <f>IFERROR(INDEX('D Fleet'!$D$5:$D$62,MATCH(G$3-$B58,'D Fleet'!$B$5:$B$62,0)),0)*IFERROR(INDEX('D Fleet'!$K$5:$K$36,INT(($B58/G$5))+1)+(($B58/G$5)-INT(($B58/G$5)))*(INDEX('D Fleet'!$K$5:$K$36,INT(($B58/G$5))+2)-INDEX('D Fleet'!$K$5:$K$36,INT(($B58/G$5))+1)),0)</f>
        <v/>
      </c>
      <c r="H58" s="276">
        <f>IFERROR(INDEX('D Fleet'!$D$5:$D$62,MATCH(H$3-$B58,'D Fleet'!$B$5:$B$62,0)),0)*IFERROR(INDEX('D Fleet'!$K$5:$K$36,INT(($B58/H$5))+1)+(($B58/H$5)-INT(($B58/H$5)))*(INDEX('D Fleet'!$K$5:$K$36,INT(($B58/H$5))+2)-INDEX('D Fleet'!$K$5:$K$36,INT(($B58/H$5))+1)),0)</f>
        <v/>
      </c>
      <c r="I58" s="276">
        <f>IFERROR(INDEX('D Fleet'!$D$5:$D$62,MATCH(I$3-$B58,'D Fleet'!$B$5:$B$62,0)),0)*IFERROR(INDEX('D Fleet'!$K$5:$K$36,INT(($B58/I$5))+1)+(($B58/I$5)-INT(($B58/I$5)))*(INDEX('D Fleet'!$K$5:$K$36,INT(($B58/I$5))+2)-INDEX('D Fleet'!$K$5:$K$36,INT(($B58/I$5))+1)),0)</f>
        <v/>
      </c>
      <c r="J58" s="276">
        <f>IFERROR(INDEX('D Fleet'!$D$5:$D$62,MATCH(J$3-$B58,'D Fleet'!$B$5:$B$62,0)),0)*IFERROR(INDEX('D Fleet'!$K$5:$K$36,INT(($B58/J$5))+1)+(($B58/J$5)-INT(($B58/J$5)))*(INDEX('D Fleet'!$K$5:$K$36,INT(($B58/J$5))+2)-INDEX('D Fleet'!$K$5:$K$36,INT(($B58/J$5))+1)),0)</f>
        <v/>
      </c>
      <c r="K58" s="276">
        <f>IFERROR(INDEX('D Fleet'!$D$5:$D$62,MATCH(K$3-$B58,'D Fleet'!$B$5:$B$62,0)),0)*IFERROR(INDEX('D Fleet'!$K$5:$K$36,INT(($B58/K$5))+1)+(($B58/K$5)-INT(($B58/K$5)))*(INDEX('D Fleet'!$K$5:$K$36,INT(($B58/K$5))+2)-INDEX('D Fleet'!$K$5:$K$36,INT(($B58/K$5))+1)),0)</f>
        <v/>
      </c>
      <c r="L58" s="276">
        <f>IFERROR(INDEX('D Fleet'!$D$5:$D$62,MATCH(L$3-$B58,'D Fleet'!$B$5:$B$62,0)),0)*IFERROR(INDEX('D Fleet'!$K$5:$K$36,INT(($B58/L$5))+1)+(($B58/L$5)-INT(($B58/L$5)))*(INDEX('D Fleet'!$K$5:$K$36,INT(($B58/L$5))+2)-INDEX('D Fleet'!$K$5:$K$36,INT(($B58/L$5))+1)),0)</f>
        <v/>
      </c>
      <c r="M58" s="276">
        <f>IFERROR(INDEX('D Fleet'!$D$5:$D$62,MATCH(M$3-$B58,'D Fleet'!$B$5:$B$62,0)),0)*IFERROR(INDEX('D Fleet'!$K$5:$K$36,INT(($B58/M$5))+1)+(($B58/M$5)-INT(($B58/M$5)))*(INDEX('D Fleet'!$K$5:$K$36,INT(($B58/M$5))+2)-INDEX('D Fleet'!$K$5:$K$36,INT(($B58/M$5))+1)),0)</f>
        <v/>
      </c>
      <c r="N58" s="276">
        <f>IFERROR(INDEX('D Fleet'!$D$5:$D$62,MATCH(N$3-$B58,'D Fleet'!$B$5:$B$62,0)),0)*IFERROR(INDEX('D Fleet'!$K$5:$K$36,INT(($B58/N$5))+1)+(($B58/N$5)-INT(($B58/N$5)))*(INDEX('D Fleet'!$K$5:$K$36,INT(($B58/N$5))+2)-INDEX('D Fleet'!$K$5:$K$36,INT(($B58/N$5))+1)),0)</f>
        <v/>
      </c>
      <c r="P58" s="276">
        <f>E58*$D58*'E1 Fleet'!$D$98</f>
        <v/>
      </c>
      <c r="Q58" s="276">
        <f>F58*$D58*'E1 Fleet'!$D$98</f>
        <v/>
      </c>
      <c r="R58" s="276">
        <f>G58*$D58*'E1 Fleet'!$D$98</f>
        <v/>
      </c>
      <c r="S58" s="276">
        <f>H58*$D58*'E1 Fleet'!$D$98</f>
        <v/>
      </c>
      <c r="T58" s="276">
        <f>I58*$D58*'E1 Fleet'!$D$98</f>
        <v/>
      </c>
      <c r="U58" s="276">
        <f>J58*$D58*'E1 Fleet'!$D$98</f>
        <v/>
      </c>
      <c r="V58" s="276">
        <f>K58*$D58*'E1 Fleet'!$D$98</f>
        <v/>
      </c>
      <c r="W58" s="276">
        <f>L58*$D58*'E1 Fleet'!$D$98</f>
        <v/>
      </c>
      <c r="X58" s="276">
        <f>M58*$D58*'E1 Fleet'!$D$98</f>
        <v/>
      </c>
      <c r="Y58" s="276">
        <f>N58*$D58*'E1 Fleet'!$D$98</f>
        <v/>
      </c>
    </row>
    <row r="59">
      <c r="A59" t="inlineStr">
        <is>
          <t>SUV</t>
        </is>
      </c>
      <c r="B59" t="n">
        <v>6</v>
      </c>
      <c r="C59" t="n">
        <v>2</v>
      </c>
      <c r="D59" s="275">
        <f>IF($B59=0,'E1 Fleet'!$D$93,1)*EXP(-'E1 Fleet'!$D$94*MAX($B59-6,0))</f>
        <v/>
      </c>
      <c r="E59" s="276">
        <f>IFERROR(INDEX('D Fleet'!$D$5:$D$62,MATCH(E$3-$B59,'D Fleet'!$B$5:$B$62,0)),0)*IFERROR(INDEX('D Fleet'!$K$5:$K$36,INT(($B59/E$5))+1)+(($B59/E$5)-INT(($B59/E$5)))*(INDEX('D Fleet'!$K$5:$K$36,INT(($B59/E$5))+2)-INDEX('D Fleet'!$K$5:$K$36,INT(($B59/E$5))+1)),0)</f>
        <v/>
      </c>
      <c r="F59" s="276">
        <f>IFERROR(INDEX('D Fleet'!$D$5:$D$62,MATCH(F$3-$B59,'D Fleet'!$B$5:$B$62,0)),0)*IFERROR(INDEX('D Fleet'!$K$5:$K$36,INT(($B59/F$5))+1)+(($B59/F$5)-INT(($B59/F$5)))*(INDEX('D Fleet'!$K$5:$K$36,INT(($B59/F$5))+2)-INDEX('D Fleet'!$K$5:$K$36,INT(($B59/F$5))+1)),0)</f>
        <v/>
      </c>
      <c r="G59" s="276">
        <f>IFERROR(INDEX('D Fleet'!$D$5:$D$62,MATCH(G$3-$B59,'D Fleet'!$B$5:$B$62,0)),0)*IFERROR(INDEX('D Fleet'!$K$5:$K$36,INT(($B59/G$5))+1)+(($B59/G$5)-INT(($B59/G$5)))*(INDEX('D Fleet'!$K$5:$K$36,INT(($B59/G$5))+2)-INDEX('D Fleet'!$K$5:$K$36,INT(($B59/G$5))+1)),0)</f>
        <v/>
      </c>
      <c r="H59" s="276">
        <f>IFERROR(INDEX('D Fleet'!$D$5:$D$62,MATCH(H$3-$B59,'D Fleet'!$B$5:$B$62,0)),0)*IFERROR(INDEX('D Fleet'!$K$5:$K$36,INT(($B59/H$5))+1)+(($B59/H$5)-INT(($B59/H$5)))*(INDEX('D Fleet'!$K$5:$K$36,INT(($B59/H$5))+2)-INDEX('D Fleet'!$K$5:$K$36,INT(($B59/H$5))+1)),0)</f>
        <v/>
      </c>
      <c r="I59" s="276">
        <f>IFERROR(INDEX('D Fleet'!$D$5:$D$62,MATCH(I$3-$B59,'D Fleet'!$B$5:$B$62,0)),0)*IFERROR(INDEX('D Fleet'!$K$5:$K$36,INT(($B59/I$5))+1)+(($B59/I$5)-INT(($B59/I$5)))*(INDEX('D Fleet'!$K$5:$K$36,INT(($B59/I$5))+2)-INDEX('D Fleet'!$K$5:$K$36,INT(($B59/I$5))+1)),0)</f>
        <v/>
      </c>
      <c r="J59" s="276">
        <f>IFERROR(INDEX('D Fleet'!$D$5:$D$62,MATCH(J$3-$B59,'D Fleet'!$B$5:$B$62,0)),0)*IFERROR(INDEX('D Fleet'!$K$5:$K$36,INT(($B59/J$5))+1)+(($B59/J$5)-INT(($B59/J$5)))*(INDEX('D Fleet'!$K$5:$K$36,INT(($B59/J$5))+2)-INDEX('D Fleet'!$K$5:$K$36,INT(($B59/J$5))+1)),0)</f>
        <v/>
      </c>
      <c r="K59" s="276">
        <f>IFERROR(INDEX('D Fleet'!$D$5:$D$62,MATCH(K$3-$B59,'D Fleet'!$B$5:$B$62,0)),0)*IFERROR(INDEX('D Fleet'!$K$5:$K$36,INT(($B59/K$5))+1)+(($B59/K$5)-INT(($B59/K$5)))*(INDEX('D Fleet'!$K$5:$K$36,INT(($B59/K$5))+2)-INDEX('D Fleet'!$K$5:$K$36,INT(($B59/K$5))+1)),0)</f>
        <v/>
      </c>
      <c r="L59" s="276">
        <f>IFERROR(INDEX('D Fleet'!$D$5:$D$62,MATCH(L$3-$B59,'D Fleet'!$B$5:$B$62,0)),0)*IFERROR(INDEX('D Fleet'!$K$5:$K$36,INT(($B59/L$5))+1)+(($B59/L$5)-INT(($B59/L$5)))*(INDEX('D Fleet'!$K$5:$K$36,INT(($B59/L$5))+2)-INDEX('D Fleet'!$K$5:$K$36,INT(($B59/L$5))+1)),0)</f>
        <v/>
      </c>
      <c r="M59" s="276">
        <f>IFERROR(INDEX('D Fleet'!$D$5:$D$62,MATCH(M$3-$B59,'D Fleet'!$B$5:$B$62,0)),0)*IFERROR(INDEX('D Fleet'!$K$5:$K$36,INT(($B59/M$5))+1)+(($B59/M$5)-INT(($B59/M$5)))*(INDEX('D Fleet'!$K$5:$K$36,INT(($B59/M$5))+2)-INDEX('D Fleet'!$K$5:$K$36,INT(($B59/M$5))+1)),0)</f>
        <v/>
      </c>
      <c r="N59" s="276">
        <f>IFERROR(INDEX('D Fleet'!$D$5:$D$62,MATCH(N$3-$B59,'D Fleet'!$B$5:$B$62,0)),0)*IFERROR(INDEX('D Fleet'!$K$5:$K$36,INT(($B59/N$5))+1)+(($B59/N$5)-INT(($B59/N$5)))*(INDEX('D Fleet'!$K$5:$K$36,INT(($B59/N$5))+2)-INDEX('D Fleet'!$K$5:$K$36,INT(($B59/N$5))+1)),0)</f>
        <v/>
      </c>
      <c r="P59" s="276">
        <f>E59*$D59*'E1 Fleet'!$D$98</f>
        <v/>
      </c>
      <c r="Q59" s="276">
        <f>F59*$D59*'E1 Fleet'!$D$98</f>
        <v/>
      </c>
      <c r="R59" s="276">
        <f>G59*$D59*'E1 Fleet'!$D$98</f>
        <v/>
      </c>
      <c r="S59" s="276">
        <f>H59*$D59*'E1 Fleet'!$D$98</f>
        <v/>
      </c>
      <c r="T59" s="276">
        <f>I59*$D59*'E1 Fleet'!$D$98</f>
        <v/>
      </c>
      <c r="U59" s="276">
        <f>J59*$D59*'E1 Fleet'!$D$98</f>
        <v/>
      </c>
      <c r="V59" s="276">
        <f>K59*$D59*'E1 Fleet'!$D$98</f>
        <v/>
      </c>
      <c r="W59" s="276">
        <f>L59*$D59*'E1 Fleet'!$D$98</f>
        <v/>
      </c>
      <c r="X59" s="276">
        <f>M59*$D59*'E1 Fleet'!$D$98</f>
        <v/>
      </c>
      <c r="Y59" s="276">
        <f>N59*$D59*'E1 Fleet'!$D$98</f>
        <v/>
      </c>
    </row>
    <row r="60">
      <c r="A60" t="inlineStr">
        <is>
          <t>SUV</t>
        </is>
      </c>
      <c r="B60" t="n">
        <v>7</v>
      </c>
      <c r="C60" t="n">
        <v>3</v>
      </c>
      <c r="D60" s="275">
        <f>IF($B60=0,'E1 Fleet'!$D$93,1)*EXP(-'E1 Fleet'!$D$94*MAX($B60-6,0))</f>
        <v/>
      </c>
      <c r="E60" s="276">
        <f>IFERROR(INDEX('D Fleet'!$D$5:$D$62,MATCH(E$3-$B60,'D Fleet'!$B$5:$B$62,0)),0)*IFERROR(INDEX('D Fleet'!$K$5:$K$36,INT(($B60/E$5))+1)+(($B60/E$5)-INT(($B60/E$5)))*(INDEX('D Fleet'!$K$5:$K$36,INT(($B60/E$5))+2)-INDEX('D Fleet'!$K$5:$K$36,INT(($B60/E$5))+1)),0)</f>
        <v/>
      </c>
      <c r="F60" s="276">
        <f>IFERROR(INDEX('D Fleet'!$D$5:$D$62,MATCH(F$3-$B60,'D Fleet'!$B$5:$B$62,0)),0)*IFERROR(INDEX('D Fleet'!$K$5:$K$36,INT(($B60/F$5))+1)+(($B60/F$5)-INT(($B60/F$5)))*(INDEX('D Fleet'!$K$5:$K$36,INT(($B60/F$5))+2)-INDEX('D Fleet'!$K$5:$K$36,INT(($B60/F$5))+1)),0)</f>
        <v/>
      </c>
      <c r="G60" s="276">
        <f>IFERROR(INDEX('D Fleet'!$D$5:$D$62,MATCH(G$3-$B60,'D Fleet'!$B$5:$B$62,0)),0)*IFERROR(INDEX('D Fleet'!$K$5:$K$36,INT(($B60/G$5))+1)+(($B60/G$5)-INT(($B60/G$5)))*(INDEX('D Fleet'!$K$5:$K$36,INT(($B60/G$5))+2)-INDEX('D Fleet'!$K$5:$K$36,INT(($B60/G$5))+1)),0)</f>
        <v/>
      </c>
      <c r="H60" s="276">
        <f>IFERROR(INDEX('D Fleet'!$D$5:$D$62,MATCH(H$3-$B60,'D Fleet'!$B$5:$B$62,0)),0)*IFERROR(INDEX('D Fleet'!$K$5:$K$36,INT(($B60/H$5))+1)+(($B60/H$5)-INT(($B60/H$5)))*(INDEX('D Fleet'!$K$5:$K$36,INT(($B60/H$5))+2)-INDEX('D Fleet'!$K$5:$K$36,INT(($B60/H$5))+1)),0)</f>
        <v/>
      </c>
      <c r="I60" s="276">
        <f>IFERROR(INDEX('D Fleet'!$D$5:$D$62,MATCH(I$3-$B60,'D Fleet'!$B$5:$B$62,0)),0)*IFERROR(INDEX('D Fleet'!$K$5:$K$36,INT(($B60/I$5))+1)+(($B60/I$5)-INT(($B60/I$5)))*(INDEX('D Fleet'!$K$5:$K$36,INT(($B60/I$5))+2)-INDEX('D Fleet'!$K$5:$K$36,INT(($B60/I$5))+1)),0)</f>
        <v/>
      </c>
      <c r="J60" s="276">
        <f>IFERROR(INDEX('D Fleet'!$D$5:$D$62,MATCH(J$3-$B60,'D Fleet'!$B$5:$B$62,0)),0)*IFERROR(INDEX('D Fleet'!$K$5:$K$36,INT(($B60/J$5))+1)+(($B60/J$5)-INT(($B60/J$5)))*(INDEX('D Fleet'!$K$5:$K$36,INT(($B60/J$5))+2)-INDEX('D Fleet'!$K$5:$K$36,INT(($B60/J$5))+1)),0)</f>
        <v/>
      </c>
      <c r="K60" s="276">
        <f>IFERROR(INDEX('D Fleet'!$D$5:$D$62,MATCH(K$3-$B60,'D Fleet'!$B$5:$B$62,0)),0)*IFERROR(INDEX('D Fleet'!$K$5:$K$36,INT(($B60/K$5))+1)+(($B60/K$5)-INT(($B60/K$5)))*(INDEX('D Fleet'!$K$5:$K$36,INT(($B60/K$5))+2)-INDEX('D Fleet'!$K$5:$K$36,INT(($B60/K$5))+1)),0)</f>
        <v/>
      </c>
      <c r="L60" s="276">
        <f>IFERROR(INDEX('D Fleet'!$D$5:$D$62,MATCH(L$3-$B60,'D Fleet'!$B$5:$B$62,0)),0)*IFERROR(INDEX('D Fleet'!$K$5:$K$36,INT(($B60/L$5))+1)+(($B60/L$5)-INT(($B60/L$5)))*(INDEX('D Fleet'!$K$5:$K$36,INT(($B60/L$5))+2)-INDEX('D Fleet'!$K$5:$K$36,INT(($B60/L$5))+1)),0)</f>
        <v/>
      </c>
      <c r="M60" s="276">
        <f>IFERROR(INDEX('D Fleet'!$D$5:$D$62,MATCH(M$3-$B60,'D Fleet'!$B$5:$B$62,0)),0)*IFERROR(INDEX('D Fleet'!$K$5:$K$36,INT(($B60/M$5))+1)+(($B60/M$5)-INT(($B60/M$5)))*(INDEX('D Fleet'!$K$5:$K$36,INT(($B60/M$5))+2)-INDEX('D Fleet'!$K$5:$K$36,INT(($B60/M$5))+1)),0)</f>
        <v/>
      </c>
      <c r="N60" s="276">
        <f>IFERROR(INDEX('D Fleet'!$D$5:$D$62,MATCH(N$3-$B60,'D Fleet'!$B$5:$B$62,0)),0)*IFERROR(INDEX('D Fleet'!$K$5:$K$36,INT(($B60/N$5))+1)+(($B60/N$5)-INT(($B60/N$5)))*(INDEX('D Fleet'!$K$5:$K$36,INT(($B60/N$5))+2)-INDEX('D Fleet'!$K$5:$K$36,INT(($B60/N$5))+1)),0)</f>
        <v/>
      </c>
      <c r="P60" s="276">
        <f>E60*$D60*'E1 Fleet'!$D$98</f>
        <v/>
      </c>
      <c r="Q60" s="276">
        <f>F60*$D60*'E1 Fleet'!$D$98</f>
        <v/>
      </c>
      <c r="R60" s="276">
        <f>G60*$D60*'E1 Fleet'!$D$98</f>
        <v/>
      </c>
      <c r="S60" s="276">
        <f>H60*$D60*'E1 Fleet'!$D$98</f>
        <v/>
      </c>
      <c r="T60" s="276">
        <f>I60*$D60*'E1 Fleet'!$D$98</f>
        <v/>
      </c>
      <c r="U60" s="276">
        <f>J60*$D60*'E1 Fleet'!$D$98</f>
        <v/>
      </c>
      <c r="V60" s="276">
        <f>K60*$D60*'E1 Fleet'!$D$98</f>
        <v/>
      </c>
      <c r="W60" s="276">
        <f>L60*$D60*'E1 Fleet'!$D$98</f>
        <v/>
      </c>
      <c r="X60" s="276">
        <f>M60*$D60*'E1 Fleet'!$D$98</f>
        <v/>
      </c>
      <c r="Y60" s="276">
        <f>N60*$D60*'E1 Fleet'!$D$98</f>
        <v/>
      </c>
    </row>
    <row r="61">
      <c r="A61" t="inlineStr">
        <is>
          <t>SUV</t>
        </is>
      </c>
      <c r="B61" t="n">
        <v>8</v>
      </c>
      <c r="C61" t="n">
        <v>3</v>
      </c>
      <c r="D61" s="275">
        <f>IF($B61=0,'E1 Fleet'!$D$93,1)*EXP(-'E1 Fleet'!$D$94*MAX($B61-6,0))</f>
        <v/>
      </c>
      <c r="E61" s="276">
        <f>IFERROR(INDEX('D Fleet'!$D$5:$D$62,MATCH(E$3-$B61,'D Fleet'!$B$5:$B$62,0)),0)*IFERROR(INDEX('D Fleet'!$K$5:$K$36,INT(($B61/E$5))+1)+(($B61/E$5)-INT(($B61/E$5)))*(INDEX('D Fleet'!$K$5:$K$36,INT(($B61/E$5))+2)-INDEX('D Fleet'!$K$5:$K$36,INT(($B61/E$5))+1)),0)</f>
        <v/>
      </c>
      <c r="F61" s="276">
        <f>IFERROR(INDEX('D Fleet'!$D$5:$D$62,MATCH(F$3-$B61,'D Fleet'!$B$5:$B$62,0)),0)*IFERROR(INDEX('D Fleet'!$K$5:$K$36,INT(($B61/F$5))+1)+(($B61/F$5)-INT(($B61/F$5)))*(INDEX('D Fleet'!$K$5:$K$36,INT(($B61/F$5))+2)-INDEX('D Fleet'!$K$5:$K$36,INT(($B61/F$5))+1)),0)</f>
        <v/>
      </c>
      <c r="G61" s="276">
        <f>IFERROR(INDEX('D Fleet'!$D$5:$D$62,MATCH(G$3-$B61,'D Fleet'!$B$5:$B$62,0)),0)*IFERROR(INDEX('D Fleet'!$K$5:$K$36,INT(($B61/G$5))+1)+(($B61/G$5)-INT(($B61/G$5)))*(INDEX('D Fleet'!$K$5:$K$36,INT(($B61/G$5))+2)-INDEX('D Fleet'!$K$5:$K$36,INT(($B61/G$5))+1)),0)</f>
        <v/>
      </c>
      <c r="H61" s="276">
        <f>IFERROR(INDEX('D Fleet'!$D$5:$D$62,MATCH(H$3-$B61,'D Fleet'!$B$5:$B$62,0)),0)*IFERROR(INDEX('D Fleet'!$K$5:$K$36,INT(($B61/H$5))+1)+(($B61/H$5)-INT(($B61/H$5)))*(INDEX('D Fleet'!$K$5:$K$36,INT(($B61/H$5))+2)-INDEX('D Fleet'!$K$5:$K$36,INT(($B61/H$5))+1)),0)</f>
        <v/>
      </c>
      <c r="I61" s="276">
        <f>IFERROR(INDEX('D Fleet'!$D$5:$D$62,MATCH(I$3-$B61,'D Fleet'!$B$5:$B$62,0)),0)*IFERROR(INDEX('D Fleet'!$K$5:$K$36,INT(($B61/I$5))+1)+(($B61/I$5)-INT(($B61/I$5)))*(INDEX('D Fleet'!$K$5:$K$36,INT(($B61/I$5))+2)-INDEX('D Fleet'!$K$5:$K$36,INT(($B61/I$5))+1)),0)</f>
        <v/>
      </c>
      <c r="J61" s="276">
        <f>IFERROR(INDEX('D Fleet'!$D$5:$D$62,MATCH(J$3-$B61,'D Fleet'!$B$5:$B$62,0)),0)*IFERROR(INDEX('D Fleet'!$K$5:$K$36,INT(($B61/J$5))+1)+(($B61/J$5)-INT(($B61/J$5)))*(INDEX('D Fleet'!$K$5:$K$36,INT(($B61/J$5))+2)-INDEX('D Fleet'!$K$5:$K$36,INT(($B61/J$5))+1)),0)</f>
        <v/>
      </c>
      <c r="K61" s="276">
        <f>IFERROR(INDEX('D Fleet'!$D$5:$D$62,MATCH(K$3-$B61,'D Fleet'!$B$5:$B$62,0)),0)*IFERROR(INDEX('D Fleet'!$K$5:$K$36,INT(($B61/K$5))+1)+(($B61/K$5)-INT(($B61/K$5)))*(INDEX('D Fleet'!$K$5:$K$36,INT(($B61/K$5))+2)-INDEX('D Fleet'!$K$5:$K$36,INT(($B61/K$5))+1)),0)</f>
        <v/>
      </c>
      <c r="L61" s="276">
        <f>IFERROR(INDEX('D Fleet'!$D$5:$D$62,MATCH(L$3-$B61,'D Fleet'!$B$5:$B$62,0)),0)*IFERROR(INDEX('D Fleet'!$K$5:$K$36,INT(($B61/L$5))+1)+(($B61/L$5)-INT(($B61/L$5)))*(INDEX('D Fleet'!$K$5:$K$36,INT(($B61/L$5))+2)-INDEX('D Fleet'!$K$5:$K$36,INT(($B61/L$5))+1)),0)</f>
        <v/>
      </c>
      <c r="M61" s="276">
        <f>IFERROR(INDEX('D Fleet'!$D$5:$D$62,MATCH(M$3-$B61,'D Fleet'!$B$5:$B$62,0)),0)*IFERROR(INDEX('D Fleet'!$K$5:$K$36,INT(($B61/M$5))+1)+(($B61/M$5)-INT(($B61/M$5)))*(INDEX('D Fleet'!$K$5:$K$36,INT(($B61/M$5))+2)-INDEX('D Fleet'!$K$5:$K$36,INT(($B61/M$5))+1)),0)</f>
        <v/>
      </c>
      <c r="N61" s="276">
        <f>IFERROR(INDEX('D Fleet'!$D$5:$D$62,MATCH(N$3-$B61,'D Fleet'!$B$5:$B$62,0)),0)*IFERROR(INDEX('D Fleet'!$K$5:$K$36,INT(($B61/N$5))+1)+(($B61/N$5)-INT(($B61/N$5)))*(INDEX('D Fleet'!$K$5:$K$36,INT(($B61/N$5))+2)-INDEX('D Fleet'!$K$5:$K$36,INT(($B61/N$5))+1)),0)</f>
        <v/>
      </c>
      <c r="P61" s="276">
        <f>E61*$D61*'E1 Fleet'!$D$98</f>
        <v/>
      </c>
      <c r="Q61" s="276">
        <f>F61*$D61*'E1 Fleet'!$D$98</f>
        <v/>
      </c>
      <c r="R61" s="276">
        <f>G61*$D61*'E1 Fleet'!$D$98</f>
        <v/>
      </c>
      <c r="S61" s="276">
        <f>H61*$D61*'E1 Fleet'!$D$98</f>
        <v/>
      </c>
      <c r="T61" s="276">
        <f>I61*$D61*'E1 Fleet'!$D$98</f>
        <v/>
      </c>
      <c r="U61" s="276">
        <f>J61*$D61*'E1 Fleet'!$D$98</f>
        <v/>
      </c>
      <c r="V61" s="276">
        <f>K61*$D61*'E1 Fleet'!$D$98</f>
        <v/>
      </c>
      <c r="W61" s="276">
        <f>L61*$D61*'E1 Fleet'!$D$98</f>
        <v/>
      </c>
      <c r="X61" s="276">
        <f>M61*$D61*'E1 Fleet'!$D$98</f>
        <v/>
      </c>
      <c r="Y61" s="276">
        <f>N61*$D61*'E1 Fleet'!$D$98</f>
        <v/>
      </c>
    </row>
    <row r="62">
      <c r="A62" t="inlineStr">
        <is>
          <t>SUV</t>
        </is>
      </c>
      <c r="B62" t="n">
        <v>9</v>
      </c>
      <c r="C62" t="n">
        <v>3</v>
      </c>
      <c r="D62" s="275">
        <f>IF($B62=0,'E1 Fleet'!$D$93,1)*EXP(-'E1 Fleet'!$D$94*MAX($B62-6,0))</f>
        <v/>
      </c>
      <c r="E62" s="276">
        <f>IFERROR(INDEX('D Fleet'!$D$5:$D$62,MATCH(E$3-$B62,'D Fleet'!$B$5:$B$62,0)),0)*IFERROR(INDEX('D Fleet'!$K$5:$K$36,INT(($B62/E$5))+1)+(($B62/E$5)-INT(($B62/E$5)))*(INDEX('D Fleet'!$K$5:$K$36,INT(($B62/E$5))+2)-INDEX('D Fleet'!$K$5:$K$36,INT(($B62/E$5))+1)),0)</f>
        <v/>
      </c>
      <c r="F62" s="276">
        <f>IFERROR(INDEX('D Fleet'!$D$5:$D$62,MATCH(F$3-$B62,'D Fleet'!$B$5:$B$62,0)),0)*IFERROR(INDEX('D Fleet'!$K$5:$K$36,INT(($B62/F$5))+1)+(($B62/F$5)-INT(($B62/F$5)))*(INDEX('D Fleet'!$K$5:$K$36,INT(($B62/F$5))+2)-INDEX('D Fleet'!$K$5:$K$36,INT(($B62/F$5))+1)),0)</f>
        <v/>
      </c>
      <c r="G62" s="276">
        <f>IFERROR(INDEX('D Fleet'!$D$5:$D$62,MATCH(G$3-$B62,'D Fleet'!$B$5:$B$62,0)),0)*IFERROR(INDEX('D Fleet'!$K$5:$K$36,INT(($B62/G$5))+1)+(($B62/G$5)-INT(($B62/G$5)))*(INDEX('D Fleet'!$K$5:$K$36,INT(($B62/G$5))+2)-INDEX('D Fleet'!$K$5:$K$36,INT(($B62/G$5))+1)),0)</f>
        <v/>
      </c>
      <c r="H62" s="276">
        <f>IFERROR(INDEX('D Fleet'!$D$5:$D$62,MATCH(H$3-$B62,'D Fleet'!$B$5:$B$62,0)),0)*IFERROR(INDEX('D Fleet'!$K$5:$K$36,INT(($B62/H$5))+1)+(($B62/H$5)-INT(($B62/H$5)))*(INDEX('D Fleet'!$K$5:$K$36,INT(($B62/H$5))+2)-INDEX('D Fleet'!$K$5:$K$36,INT(($B62/H$5))+1)),0)</f>
        <v/>
      </c>
      <c r="I62" s="276">
        <f>IFERROR(INDEX('D Fleet'!$D$5:$D$62,MATCH(I$3-$B62,'D Fleet'!$B$5:$B$62,0)),0)*IFERROR(INDEX('D Fleet'!$K$5:$K$36,INT(($B62/I$5))+1)+(($B62/I$5)-INT(($B62/I$5)))*(INDEX('D Fleet'!$K$5:$K$36,INT(($B62/I$5))+2)-INDEX('D Fleet'!$K$5:$K$36,INT(($B62/I$5))+1)),0)</f>
        <v/>
      </c>
      <c r="J62" s="276">
        <f>IFERROR(INDEX('D Fleet'!$D$5:$D$62,MATCH(J$3-$B62,'D Fleet'!$B$5:$B$62,0)),0)*IFERROR(INDEX('D Fleet'!$K$5:$K$36,INT(($B62/J$5))+1)+(($B62/J$5)-INT(($B62/J$5)))*(INDEX('D Fleet'!$K$5:$K$36,INT(($B62/J$5))+2)-INDEX('D Fleet'!$K$5:$K$36,INT(($B62/J$5))+1)),0)</f>
        <v/>
      </c>
      <c r="K62" s="276">
        <f>IFERROR(INDEX('D Fleet'!$D$5:$D$62,MATCH(K$3-$B62,'D Fleet'!$B$5:$B$62,0)),0)*IFERROR(INDEX('D Fleet'!$K$5:$K$36,INT(($B62/K$5))+1)+(($B62/K$5)-INT(($B62/K$5)))*(INDEX('D Fleet'!$K$5:$K$36,INT(($B62/K$5))+2)-INDEX('D Fleet'!$K$5:$K$36,INT(($B62/K$5))+1)),0)</f>
        <v/>
      </c>
      <c r="L62" s="276">
        <f>IFERROR(INDEX('D Fleet'!$D$5:$D$62,MATCH(L$3-$B62,'D Fleet'!$B$5:$B$62,0)),0)*IFERROR(INDEX('D Fleet'!$K$5:$K$36,INT(($B62/L$5))+1)+(($B62/L$5)-INT(($B62/L$5)))*(INDEX('D Fleet'!$K$5:$K$36,INT(($B62/L$5))+2)-INDEX('D Fleet'!$K$5:$K$36,INT(($B62/L$5))+1)),0)</f>
        <v/>
      </c>
      <c r="M62" s="276">
        <f>IFERROR(INDEX('D Fleet'!$D$5:$D$62,MATCH(M$3-$B62,'D Fleet'!$B$5:$B$62,0)),0)*IFERROR(INDEX('D Fleet'!$K$5:$K$36,INT(($B62/M$5))+1)+(($B62/M$5)-INT(($B62/M$5)))*(INDEX('D Fleet'!$K$5:$K$36,INT(($B62/M$5))+2)-INDEX('D Fleet'!$K$5:$K$36,INT(($B62/M$5))+1)),0)</f>
        <v/>
      </c>
      <c r="N62" s="276">
        <f>IFERROR(INDEX('D Fleet'!$D$5:$D$62,MATCH(N$3-$B62,'D Fleet'!$B$5:$B$62,0)),0)*IFERROR(INDEX('D Fleet'!$K$5:$K$36,INT(($B62/N$5))+1)+(($B62/N$5)-INT(($B62/N$5)))*(INDEX('D Fleet'!$K$5:$K$36,INT(($B62/N$5))+2)-INDEX('D Fleet'!$K$5:$K$36,INT(($B62/N$5))+1)),0)</f>
        <v/>
      </c>
      <c r="P62" s="276">
        <f>E62*$D62*'E1 Fleet'!$D$98</f>
        <v/>
      </c>
      <c r="Q62" s="276">
        <f>F62*$D62*'E1 Fleet'!$D$98</f>
        <v/>
      </c>
      <c r="R62" s="276">
        <f>G62*$D62*'E1 Fleet'!$D$98</f>
        <v/>
      </c>
      <c r="S62" s="276">
        <f>H62*$D62*'E1 Fleet'!$D$98</f>
        <v/>
      </c>
      <c r="T62" s="276">
        <f>I62*$D62*'E1 Fleet'!$D$98</f>
        <v/>
      </c>
      <c r="U62" s="276">
        <f>J62*$D62*'E1 Fleet'!$D$98</f>
        <v/>
      </c>
      <c r="V62" s="276">
        <f>K62*$D62*'E1 Fleet'!$D$98</f>
        <v/>
      </c>
      <c r="W62" s="276">
        <f>L62*$D62*'E1 Fleet'!$D$98</f>
        <v/>
      </c>
      <c r="X62" s="276">
        <f>M62*$D62*'E1 Fleet'!$D$98</f>
        <v/>
      </c>
      <c r="Y62" s="276">
        <f>N62*$D62*'E1 Fleet'!$D$98</f>
        <v/>
      </c>
    </row>
    <row r="63">
      <c r="A63" t="inlineStr">
        <is>
          <t>SUV</t>
        </is>
      </c>
      <c r="B63" t="n">
        <v>10</v>
      </c>
      <c r="C63" t="n">
        <v>3</v>
      </c>
      <c r="D63" s="275">
        <f>IF($B63=0,'E1 Fleet'!$D$93,1)*EXP(-'E1 Fleet'!$D$94*MAX($B63-6,0))</f>
        <v/>
      </c>
      <c r="E63" s="276">
        <f>IFERROR(INDEX('D Fleet'!$D$5:$D$62,MATCH(E$3-$B63,'D Fleet'!$B$5:$B$62,0)),0)*IFERROR(INDEX('D Fleet'!$K$5:$K$36,INT(($B63/E$5))+1)+(($B63/E$5)-INT(($B63/E$5)))*(INDEX('D Fleet'!$K$5:$K$36,INT(($B63/E$5))+2)-INDEX('D Fleet'!$K$5:$K$36,INT(($B63/E$5))+1)),0)</f>
        <v/>
      </c>
      <c r="F63" s="276">
        <f>IFERROR(INDEX('D Fleet'!$D$5:$D$62,MATCH(F$3-$B63,'D Fleet'!$B$5:$B$62,0)),0)*IFERROR(INDEX('D Fleet'!$K$5:$K$36,INT(($B63/F$5))+1)+(($B63/F$5)-INT(($B63/F$5)))*(INDEX('D Fleet'!$K$5:$K$36,INT(($B63/F$5))+2)-INDEX('D Fleet'!$K$5:$K$36,INT(($B63/F$5))+1)),0)</f>
        <v/>
      </c>
      <c r="G63" s="276">
        <f>IFERROR(INDEX('D Fleet'!$D$5:$D$62,MATCH(G$3-$B63,'D Fleet'!$B$5:$B$62,0)),0)*IFERROR(INDEX('D Fleet'!$K$5:$K$36,INT(($B63/G$5))+1)+(($B63/G$5)-INT(($B63/G$5)))*(INDEX('D Fleet'!$K$5:$K$36,INT(($B63/G$5))+2)-INDEX('D Fleet'!$K$5:$K$36,INT(($B63/G$5))+1)),0)</f>
        <v/>
      </c>
      <c r="H63" s="276">
        <f>IFERROR(INDEX('D Fleet'!$D$5:$D$62,MATCH(H$3-$B63,'D Fleet'!$B$5:$B$62,0)),0)*IFERROR(INDEX('D Fleet'!$K$5:$K$36,INT(($B63/H$5))+1)+(($B63/H$5)-INT(($B63/H$5)))*(INDEX('D Fleet'!$K$5:$K$36,INT(($B63/H$5))+2)-INDEX('D Fleet'!$K$5:$K$36,INT(($B63/H$5))+1)),0)</f>
        <v/>
      </c>
      <c r="I63" s="276">
        <f>IFERROR(INDEX('D Fleet'!$D$5:$D$62,MATCH(I$3-$B63,'D Fleet'!$B$5:$B$62,0)),0)*IFERROR(INDEX('D Fleet'!$K$5:$K$36,INT(($B63/I$5))+1)+(($B63/I$5)-INT(($B63/I$5)))*(INDEX('D Fleet'!$K$5:$K$36,INT(($B63/I$5))+2)-INDEX('D Fleet'!$K$5:$K$36,INT(($B63/I$5))+1)),0)</f>
        <v/>
      </c>
      <c r="J63" s="276">
        <f>IFERROR(INDEX('D Fleet'!$D$5:$D$62,MATCH(J$3-$B63,'D Fleet'!$B$5:$B$62,0)),0)*IFERROR(INDEX('D Fleet'!$K$5:$K$36,INT(($B63/J$5))+1)+(($B63/J$5)-INT(($B63/J$5)))*(INDEX('D Fleet'!$K$5:$K$36,INT(($B63/J$5))+2)-INDEX('D Fleet'!$K$5:$K$36,INT(($B63/J$5))+1)),0)</f>
        <v/>
      </c>
      <c r="K63" s="276">
        <f>IFERROR(INDEX('D Fleet'!$D$5:$D$62,MATCH(K$3-$B63,'D Fleet'!$B$5:$B$62,0)),0)*IFERROR(INDEX('D Fleet'!$K$5:$K$36,INT(($B63/K$5))+1)+(($B63/K$5)-INT(($B63/K$5)))*(INDEX('D Fleet'!$K$5:$K$36,INT(($B63/K$5))+2)-INDEX('D Fleet'!$K$5:$K$36,INT(($B63/K$5))+1)),0)</f>
        <v/>
      </c>
      <c r="L63" s="276">
        <f>IFERROR(INDEX('D Fleet'!$D$5:$D$62,MATCH(L$3-$B63,'D Fleet'!$B$5:$B$62,0)),0)*IFERROR(INDEX('D Fleet'!$K$5:$K$36,INT(($B63/L$5))+1)+(($B63/L$5)-INT(($B63/L$5)))*(INDEX('D Fleet'!$K$5:$K$36,INT(($B63/L$5))+2)-INDEX('D Fleet'!$K$5:$K$36,INT(($B63/L$5))+1)),0)</f>
        <v/>
      </c>
      <c r="M63" s="276">
        <f>IFERROR(INDEX('D Fleet'!$D$5:$D$62,MATCH(M$3-$B63,'D Fleet'!$B$5:$B$62,0)),0)*IFERROR(INDEX('D Fleet'!$K$5:$K$36,INT(($B63/M$5))+1)+(($B63/M$5)-INT(($B63/M$5)))*(INDEX('D Fleet'!$K$5:$K$36,INT(($B63/M$5))+2)-INDEX('D Fleet'!$K$5:$K$36,INT(($B63/M$5))+1)),0)</f>
        <v/>
      </c>
      <c r="N63" s="276">
        <f>IFERROR(INDEX('D Fleet'!$D$5:$D$62,MATCH(N$3-$B63,'D Fleet'!$B$5:$B$62,0)),0)*IFERROR(INDEX('D Fleet'!$K$5:$K$36,INT(($B63/N$5))+1)+(($B63/N$5)-INT(($B63/N$5)))*(INDEX('D Fleet'!$K$5:$K$36,INT(($B63/N$5))+2)-INDEX('D Fleet'!$K$5:$K$36,INT(($B63/N$5))+1)),0)</f>
        <v/>
      </c>
      <c r="P63" s="276">
        <f>E63*$D63*'E1 Fleet'!$D$98</f>
        <v/>
      </c>
      <c r="Q63" s="276">
        <f>F63*$D63*'E1 Fleet'!$D$98</f>
        <v/>
      </c>
      <c r="R63" s="276">
        <f>G63*$D63*'E1 Fleet'!$D$98</f>
        <v/>
      </c>
      <c r="S63" s="276">
        <f>H63*$D63*'E1 Fleet'!$D$98</f>
        <v/>
      </c>
      <c r="T63" s="276">
        <f>I63*$D63*'E1 Fleet'!$D$98</f>
        <v/>
      </c>
      <c r="U63" s="276">
        <f>J63*$D63*'E1 Fleet'!$D$98</f>
        <v/>
      </c>
      <c r="V63" s="276">
        <f>K63*$D63*'E1 Fleet'!$D$98</f>
        <v/>
      </c>
      <c r="W63" s="276">
        <f>L63*$D63*'E1 Fleet'!$D$98</f>
        <v/>
      </c>
      <c r="X63" s="276">
        <f>M63*$D63*'E1 Fleet'!$D$98</f>
        <v/>
      </c>
      <c r="Y63" s="276">
        <f>N63*$D63*'E1 Fleet'!$D$98</f>
        <v/>
      </c>
    </row>
    <row r="64">
      <c r="A64" t="inlineStr">
        <is>
          <t>SUV</t>
        </is>
      </c>
      <c r="B64" t="n">
        <v>11</v>
      </c>
      <c r="C64" t="n">
        <v>3</v>
      </c>
      <c r="D64" s="275">
        <f>IF($B64=0,'E1 Fleet'!$D$93,1)*EXP(-'E1 Fleet'!$D$94*MAX($B64-6,0))</f>
        <v/>
      </c>
      <c r="E64" s="276">
        <f>IFERROR(INDEX('D Fleet'!$D$5:$D$62,MATCH(E$3-$B64,'D Fleet'!$B$5:$B$62,0)),0)*IFERROR(INDEX('D Fleet'!$K$5:$K$36,INT(($B64/E$5))+1)+(($B64/E$5)-INT(($B64/E$5)))*(INDEX('D Fleet'!$K$5:$K$36,INT(($B64/E$5))+2)-INDEX('D Fleet'!$K$5:$K$36,INT(($B64/E$5))+1)),0)</f>
        <v/>
      </c>
      <c r="F64" s="276">
        <f>IFERROR(INDEX('D Fleet'!$D$5:$D$62,MATCH(F$3-$B64,'D Fleet'!$B$5:$B$62,0)),0)*IFERROR(INDEX('D Fleet'!$K$5:$K$36,INT(($B64/F$5))+1)+(($B64/F$5)-INT(($B64/F$5)))*(INDEX('D Fleet'!$K$5:$K$36,INT(($B64/F$5))+2)-INDEX('D Fleet'!$K$5:$K$36,INT(($B64/F$5))+1)),0)</f>
        <v/>
      </c>
      <c r="G64" s="276">
        <f>IFERROR(INDEX('D Fleet'!$D$5:$D$62,MATCH(G$3-$B64,'D Fleet'!$B$5:$B$62,0)),0)*IFERROR(INDEX('D Fleet'!$K$5:$K$36,INT(($B64/G$5))+1)+(($B64/G$5)-INT(($B64/G$5)))*(INDEX('D Fleet'!$K$5:$K$36,INT(($B64/G$5))+2)-INDEX('D Fleet'!$K$5:$K$36,INT(($B64/G$5))+1)),0)</f>
        <v/>
      </c>
      <c r="H64" s="276">
        <f>IFERROR(INDEX('D Fleet'!$D$5:$D$62,MATCH(H$3-$B64,'D Fleet'!$B$5:$B$62,0)),0)*IFERROR(INDEX('D Fleet'!$K$5:$K$36,INT(($B64/H$5))+1)+(($B64/H$5)-INT(($B64/H$5)))*(INDEX('D Fleet'!$K$5:$K$36,INT(($B64/H$5))+2)-INDEX('D Fleet'!$K$5:$K$36,INT(($B64/H$5))+1)),0)</f>
        <v/>
      </c>
      <c r="I64" s="276">
        <f>IFERROR(INDEX('D Fleet'!$D$5:$D$62,MATCH(I$3-$B64,'D Fleet'!$B$5:$B$62,0)),0)*IFERROR(INDEX('D Fleet'!$K$5:$K$36,INT(($B64/I$5))+1)+(($B64/I$5)-INT(($B64/I$5)))*(INDEX('D Fleet'!$K$5:$K$36,INT(($B64/I$5))+2)-INDEX('D Fleet'!$K$5:$K$36,INT(($B64/I$5))+1)),0)</f>
        <v/>
      </c>
      <c r="J64" s="276">
        <f>IFERROR(INDEX('D Fleet'!$D$5:$D$62,MATCH(J$3-$B64,'D Fleet'!$B$5:$B$62,0)),0)*IFERROR(INDEX('D Fleet'!$K$5:$K$36,INT(($B64/J$5))+1)+(($B64/J$5)-INT(($B64/J$5)))*(INDEX('D Fleet'!$K$5:$K$36,INT(($B64/J$5))+2)-INDEX('D Fleet'!$K$5:$K$36,INT(($B64/J$5))+1)),0)</f>
        <v/>
      </c>
      <c r="K64" s="276">
        <f>IFERROR(INDEX('D Fleet'!$D$5:$D$62,MATCH(K$3-$B64,'D Fleet'!$B$5:$B$62,0)),0)*IFERROR(INDEX('D Fleet'!$K$5:$K$36,INT(($B64/K$5))+1)+(($B64/K$5)-INT(($B64/K$5)))*(INDEX('D Fleet'!$K$5:$K$36,INT(($B64/K$5))+2)-INDEX('D Fleet'!$K$5:$K$36,INT(($B64/K$5))+1)),0)</f>
        <v/>
      </c>
      <c r="L64" s="276">
        <f>IFERROR(INDEX('D Fleet'!$D$5:$D$62,MATCH(L$3-$B64,'D Fleet'!$B$5:$B$62,0)),0)*IFERROR(INDEX('D Fleet'!$K$5:$K$36,INT(($B64/L$5))+1)+(($B64/L$5)-INT(($B64/L$5)))*(INDEX('D Fleet'!$K$5:$K$36,INT(($B64/L$5))+2)-INDEX('D Fleet'!$K$5:$K$36,INT(($B64/L$5))+1)),0)</f>
        <v/>
      </c>
      <c r="M64" s="276">
        <f>IFERROR(INDEX('D Fleet'!$D$5:$D$62,MATCH(M$3-$B64,'D Fleet'!$B$5:$B$62,0)),0)*IFERROR(INDEX('D Fleet'!$K$5:$K$36,INT(($B64/M$5))+1)+(($B64/M$5)-INT(($B64/M$5)))*(INDEX('D Fleet'!$K$5:$K$36,INT(($B64/M$5))+2)-INDEX('D Fleet'!$K$5:$K$36,INT(($B64/M$5))+1)),0)</f>
        <v/>
      </c>
      <c r="N64" s="276">
        <f>IFERROR(INDEX('D Fleet'!$D$5:$D$62,MATCH(N$3-$B64,'D Fleet'!$B$5:$B$62,0)),0)*IFERROR(INDEX('D Fleet'!$K$5:$K$36,INT(($B64/N$5))+1)+(($B64/N$5)-INT(($B64/N$5)))*(INDEX('D Fleet'!$K$5:$K$36,INT(($B64/N$5))+2)-INDEX('D Fleet'!$K$5:$K$36,INT(($B64/N$5))+1)),0)</f>
        <v/>
      </c>
      <c r="P64" s="276">
        <f>E64*$D64*'E1 Fleet'!$D$98</f>
        <v/>
      </c>
      <c r="Q64" s="276">
        <f>F64*$D64*'E1 Fleet'!$D$98</f>
        <v/>
      </c>
      <c r="R64" s="276">
        <f>G64*$D64*'E1 Fleet'!$D$98</f>
        <v/>
      </c>
      <c r="S64" s="276">
        <f>H64*$D64*'E1 Fleet'!$D$98</f>
        <v/>
      </c>
      <c r="T64" s="276">
        <f>I64*$D64*'E1 Fleet'!$D$98</f>
        <v/>
      </c>
      <c r="U64" s="276">
        <f>J64*$D64*'E1 Fleet'!$D$98</f>
        <v/>
      </c>
      <c r="V64" s="276">
        <f>K64*$D64*'E1 Fleet'!$D$98</f>
        <v/>
      </c>
      <c r="W64" s="276">
        <f>L64*$D64*'E1 Fleet'!$D$98</f>
        <v/>
      </c>
      <c r="X64" s="276">
        <f>M64*$D64*'E1 Fleet'!$D$98</f>
        <v/>
      </c>
      <c r="Y64" s="276">
        <f>N64*$D64*'E1 Fleet'!$D$98</f>
        <v/>
      </c>
    </row>
    <row r="65">
      <c r="A65" t="inlineStr">
        <is>
          <t>SUV</t>
        </is>
      </c>
      <c r="B65" t="n">
        <v>12</v>
      </c>
      <c r="C65" t="n">
        <v>3</v>
      </c>
      <c r="D65" s="275">
        <f>IF($B65=0,'E1 Fleet'!$D$93,1)*EXP(-'E1 Fleet'!$D$94*MAX($B65-6,0))</f>
        <v/>
      </c>
      <c r="E65" s="276">
        <f>IFERROR(INDEX('D Fleet'!$D$5:$D$62,MATCH(E$3-$B65,'D Fleet'!$B$5:$B$62,0)),0)*IFERROR(INDEX('D Fleet'!$K$5:$K$36,INT(($B65/E$5))+1)+(($B65/E$5)-INT(($B65/E$5)))*(INDEX('D Fleet'!$K$5:$K$36,INT(($B65/E$5))+2)-INDEX('D Fleet'!$K$5:$K$36,INT(($B65/E$5))+1)),0)</f>
        <v/>
      </c>
      <c r="F65" s="276">
        <f>IFERROR(INDEX('D Fleet'!$D$5:$D$62,MATCH(F$3-$B65,'D Fleet'!$B$5:$B$62,0)),0)*IFERROR(INDEX('D Fleet'!$K$5:$K$36,INT(($B65/F$5))+1)+(($B65/F$5)-INT(($B65/F$5)))*(INDEX('D Fleet'!$K$5:$K$36,INT(($B65/F$5))+2)-INDEX('D Fleet'!$K$5:$K$36,INT(($B65/F$5))+1)),0)</f>
        <v/>
      </c>
      <c r="G65" s="276">
        <f>IFERROR(INDEX('D Fleet'!$D$5:$D$62,MATCH(G$3-$B65,'D Fleet'!$B$5:$B$62,0)),0)*IFERROR(INDEX('D Fleet'!$K$5:$K$36,INT(($B65/G$5))+1)+(($B65/G$5)-INT(($B65/G$5)))*(INDEX('D Fleet'!$K$5:$K$36,INT(($B65/G$5))+2)-INDEX('D Fleet'!$K$5:$K$36,INT(($B65/G$5))+1)),0)</f>
        <v/>
      </c>
      <c r="H65" s="276">
        <f>IFERROR(INDEX('D Fleet'!$D$5:$D$62,MATCH(H$3-$B65,'D Fleet'!$B$5:$B$62,0)),0)*IFERROR(INDEX('D Fleet'!$K$5:$K$36,INT(($B65/H$5))+1)+(($B65/H$5)-INT(($B65/H$5)))*(INDEX('D Fleet'!$K$5:$K$36,INT(($B65/H$5))+2)-INDEX('D Fleet'!$K$5:$K$36,INT(($B65/H$5))+1)),0)</f>
        <v/>
      </c>
      <c r="I65" s="276">
        <f>IFERROR(INDEX('D Fleet'!$D$5:$D$62,MATCH(I$3-$B65,'D Fleet'!$B$5:$B$62,0)),0)*IFERROR(INDEX('D Fleet'!$K$5:$K$36,INT(($B65/I$5))+1)+(($B65/I$5)-INT(($B65/I$5)))*(INDEX('D Fleet'!$K$5:$K$36,INT(($B65/I$5))+2)-INDEX('D Fleet'!$K$5:$K$36,INT(($B65/I$5))+1)),0)</f>
        <v/>
      </c>
      <c r="J65" s="276">
        <f>IFERROR(INDEX('D Fleet'!$D$5:$D$62,MATCH(J$3-$B65,'D Fleet'!$B$5:$B$62,0)),0)*IFERROR(INDEX('D Fleet'!$K$5:$K$36,INT(($B65/J$5))+1)+(($B65/J$5)-INT(($B65/J$5)))*(INDEX('D Fleet'!$K$5:$K$36,INT(($B65/J$5))+2)-INDEX('D Fleet'!$K$5:$K$36,INT(($B65/J$5))+1)),0)</f>
        <v/>
      </c>
      <c r="K65" s="276">
        <f>IFERROR(INDEX('D Fleet'!$D$5:$D$62,MATCH(K$3-$B65,'D Fleet'!$B$5:$B$62,0)),0)*IFERROR(INDEX('D Fleet'!$K$5:$K$36,INT(($B65/K$5))+1)+(($B65/K$5)-INT(($B65/K$5)))*(INDEX('D Fleet'!$K$5:$K$36,INT(($B65/K$5))+2)-INDEX('D Fleet'!$K$5:$K$36,INT(($B65/K$5))+1)),0)</f>
        <v/>
      </c>
      <c r="L65" s="276">
        <f>IFERROR(INDEX('D Fleet'!$D$5:$D$62,MATCH(L$3-$B65,'D Fleet'!$B$5:$B$62,0)),0)*IFERROR(INDEX('D Fleet'!$K$5:$K$36,INT(($B65/L$5))+1)+(($B65/L$5)-INT(($B65/L$5)))*(INDEX('D Fleet'!$K$5:$K$36,INT(($B65/L$5))+2)-INDEX('D Fleet'!$K$5:$K$36,INT(($B65/L$5))+1)),0)</f>
        <v/>
      </c>
      <c r="M65" s="276">
        <f>IFERROR(INDEX('D Fleet'!$D$5:$D$62,MATCH(M$3-$B65,'D Fleet'!$B$5:$B$62,0)),0)*IFERROR(INDEX('D Fleet'!$K$5:$K$36,INT(($B65/M$5))+1)+(($B65/M$5)-INT(($B65/M$5)))*(INDEX('D Fleet'!$K$5:$K$36,INT(($B65/M$5))+2)-INDEX('D Fleet'!$K$5:$K$36,INT(($B65/M$5))+1)),0)</f>
        <v/>
      </c>
      <c r="N65" s="276">
        <f>IFERROR(INDEX('D Fleet'!$D$5:$D$62,MATCH(N$3-$B65,'D Fleet'!$B$5:$B$62,0)),0)*IFERROR(INDEX('D Fleet'!$K$5:$K$36,INT(($B65/N$5))+1)+(($B65/N$5)-INT(($B65/N$5)))*(INDEX('D Fleet'!$K$5:$K$36,INT(($B65/N$5))+2)-INDEX('D Fleet'!$K$5:$K$36,INT(($B65/N$5))+1)),0)</f>
        <v/>
      </c>
      <c r="P65" s="276">
        <f>E65*$D65*'E1 Fleet'!$D$98</f>
        <v/>
      </c>
      <c r="Q65" s="276">
        <f>F65*$D65*'E1 Fleet'!$D$98</f>
        <v/>
      </c>
      <c r="R65" s="276">
        <f>G65*$D65*'E1 Fleet'!$D$98</f>
        <v/>
      </c>
      <c r="S65" s="276">
        <f>H65*$D65*'E1 Fleet'!$D$98</f>
        <v/>
      </c>
      <c r="T65" s="276">
        <f>I65*$D65*'E1 Fleet'!$D$98</f>
        <v/>
      </c>
      <c r="U65" s="276">
        <f>J65*$D65*'E1 Fleet'!$D$98</f>
        <v/>
      </c>
      <c r="V65" s="276">
        <f>K65*$D65*'E1 Fleet'!$D$98</f>
        <v/>
      </c>
      <c r="W65" s="276">
        <f>L65*$D65*'E1 Fleet'!$D$98</f>
        <v/>
      </c>
      <c r="X65" s="276">
        <f>M65*$D65*'E1 Fleet'!$D$98</f>
        <v/>
      </c>
      <c r="Y65" s="276">
        <f>N65*$D65*'E1 Fleet'!$D$98</f>
        <v/>
      </c>
    </row>
    <row r="66">
      <c r="A66" t="inlineStr">
        <is>
          <t>SUV</t>
        </is>
      </c>
      <c r="B66" t="n">
        <v>13</v>
      </c>
      <c r="C66" t="n">
        <v>3</v>
      </c>
      <c r="D66" s="275">
        <f>IF($B66=0,'E1 Fleet'!$D$93,1)*EXP(-'E1 Fleet'!$D$94*MAX($B66-6,0))</f>
        <v/>
      </c>
      <c r="E66" s="276">
        <f>IFERROR(INDEX('D Fleet'!$D$5:$D$62,MATCH(E$3-$B66,'D Fleet'!$B$5:$B$62,0)),0)*IFERROR(INDEX('D Fleet'!$K$5:$K$36,INT(($B66/E$5))+1)+(($B66/E$5)-INT(($B66/E$5)))*(INDEX('D Fleet'!$K$5:$K$36,INT(($B66/E$5))+2)-INDEX('D Fleet'!$K$5:$K$36,INT(($B66/E$5))+1)),0)</f>
        <v/>
      </c>
      <c r="F66" s="276">
        <f>IFERROR(INDEX('D Fleet'!$D$5:$D$62,MATCH(F$3-$B66,'D Fleet'!$B$5:$B$62,0)),0)*IFERROR(INDEX('D Fleet'!$K$5:$K$36,INT(($B66/F$5))+1)+(($B66/F$5)-INT(($B66/F$5)))*(INDEX('D Fleet'!$K$5:$K$36,INT(($B66/F$5))+2)-INDEX('D Fleet'!$K$5:$K$36,INT(($B66/F$5))+1)),0)</f>
        <v/>
      </c>
      <c r="G66" s="276">
        <f>IFERROR(INDEX('D Fleet'!$D$5:$D$62,MATCH(G$3-$B66,'D Fleet'!$B$5:$B$62,0)),0)*IFERROR(INDEX('D Fleet'!$K$5:$K$36,INT(($B66/G$5))+1)+(($B66/G$5)-INT(($B66/G$5)))*(INDEX('D Fleet'!$K$5:$K$36,INT(($B66/G$5))+2)-INDEX('D Fleet'!$K$5:$K$36,INT(($B66/G$5))+1)),0)</f>
        <v/>
      </c>
      <c r="H66" s="276">
        <f>IFERROR(INDEX('D Fleet'!$D$5:$D$62,MATCH(H$3-$B66,'D Fleet'!$B$5:$B$62,0)),0)*IFERROR(INDEX('D Fleet'!$K$5:$K$36,INT(($B66/H$5))+1)+(($B66/H$5)-INT(($B66/H$5)))*(INDEX('D Fleet'!$K$5:$K$36,INT(($B66/H$5))+2)-INDEX('D Fleet'!$K$5:$K$36,INT(($B66/H$5))+1)),0)</f>
        <v/>
      </c>
      <c r="I66" s="276">
        <f>IFERROR(INDEX('D Fleet'!$D$5:$D$62,MATCH(I$3-$B66,'D Fleet'!$B$5:$B$62,0)),0)*IFERROR(INDEX('D Fleet'!$K$5:$K$36,INT(($B66/I$5))+1)+(($B66/I$5)-INT(($B66/I$5)))*(INDEX('D Fleet'!$K$5:$K$36,INT(($B66/I$5))+2)-INDEX('D Fleet'!$K$5:$K$36,INT(($B66/I$5))+1)),0)</f>
        <v/>
      </c>
      <c r="J66" s="276">
        <f>IFERROR(INDEX('D Fleet'!$D$5:$D$62,MATCH(J$3-$B66,'D Fleet'!$B$5:$B$62,0)),0)*IFERROR(INDEX('D Fleet'!$K$5:$K$36,INT(($B66/J$5))+1)+(($B66/J$5)-INT(($B66/J$5)))*(INDEX('D Fleet'!$K$5:$K$36,INT(($B66/J$5))+2)-INDEX('D Fleet'!$K$5:$K$36,INT(($B66/J$5))+1)),0)</f>
        <v/>
      </c>
      <c r="K66" s="276">
        <f>IFERROR(INDEX('D Fleet'!$D$5:$D$62,MATCH(K$3-$B66,'D Fleet'!$B$5:$B$62,0)),0)*IFERROR(INDEX('D Fleet'!$K$5:$K$36,INT(($B66/K$5))+1)+(($B66/K$5)-INT(($B66/K$5)))*(INDEX('D Fleet'!$K$5:$K$36,INT(($B66/K$5))+2)-INDEX('D Fleet'!$K$5:$K$36,INT(($B66/K$5))+1)),0)</f>
        <v/>
      </c>
      <c r="L66" s="276">
        <f>IFERROR(INDEX('D Fleet'!$D$5:$D$62,MATCH(L$3-$B66,'D Fleet'!$B$5:$B$62,0)),0)*IFERROR(INDEX('D Fleet'!$K$5:$K$36,INT(($B66/L$5))+1)+(($B66/L$5)-INT(($B66/L$5)))*(INDEX('D Fleet'!$K$5:$K$36,INT(($B66/L$5))+2)-INDEX('D Fleet'!$K$5:$K$36,INT(($B66/L$5))+1)),0)</f>
        <v/>
      </c>
      <c r="M66" s="276">
        <f>IFERROR(INDEX('D Fleet'!$D$5:$D$62,MATCH(M$3-$B66,'D Fleet'!$B$5:$B$62,0)),0)*IFERROR(INDEX('D Fleet'!$K$5:$K$36,INT(($B66/M$5))+1)+(($B66/M$5)-INT(($B66/M$5)))*(INDEX('D Fleet'!$K$5:$K$36,INT(($B66/M$5))+2)-INDEX('D Fleet'!$K$5:$K$36,INT(($B66/M$5))+1)),0)</f>
        <v/>
      </c>
      <c r="N66" s="276">
        <f>IFERROR(INDEX('D Fleet'!$D$5:$D$62,MATCH(N$3-$B66,'D Fleet'!$B$5:$B$62,0)),0)*IFERROR(INDEX('D Fleet'!$K$5:$K$36,INT(($B66/N$5))+1)+(($B66/N$5)-INT(($B66/N$5)))*(INDEX('D Fleet'!$K$5:$K$36,INT(($B66/N$5))+2)-INDEX('D Fleet'!$K$5:$K$36,INT(($B66/N$5))+1)),0)</f>
        <v/>
      </c>
      <c r="P66" s="276">
        <f>E66*$D66*'E1 Fleet'!$D$98</f>
        <v/>
      </c>
      <c r="Q66" s="276">
        <f>F66*$D66*'E1 Fleet'!$D$98</f>
        <v/>
      </c>
      <c r="R66" s="276">
        <f>G66*$D66*'E1 Fleet'!$D$98</f>
        <v/>
      </c>
      <c r="S66" s="276">
        <f>H66*$D66*'E1 Fleet'!$D$98</f>
        <v/>
      </c>
      <c r="T66" s="276">
        <f>I66*$D66*'E1 Fleet'!$D$98</f>
        <v/>
      </c>
      <c r="U66" s="276">
        <f>J66*$D66*'E1 Fleet'!$D$98</f>
        <v/>
      </c>
      <c r="V66" s="276">
        <f>K66*$D66*'E1 Fleet'!$D$98</f>
        <v/>
      </c>
      <c r="W66" s="276">
        <f>L66*$D66*'E1 Fleet'!$D$98</f>
        <v/>
      </c>
      <c r="X66" s="276">
        <f>M66*$D66*'E1 Fleet'!$D$98</f>
        <v/>
      </c>
      <c r="Y66" s="276">
        <f>N66*$D66*'E1 Fleet'!$D$98</f>
        <v/>
      </c>
    </row>
    <row r="67">
      <c r="A67" t="inlineStr">
        <is>
          <t>SUV</t>
        </is>
      </c>
      <c r="B67" t="n">
        <v>14</v>
      </c>
      <c r="C67" t="n">
        <v>3</v>
      </c>
      <c r="D67" s="275">
        <f>IF($B67=0,'E1 Fleet'!$D$93,1)*EXP(-'E1 Fleet'!$D$94*MAX($B67-6,0))</f>
        <v/>
      </c>
      <c r="E67" s="276">
        <f>IFERROR(INDEX('D Fleet'!$D$5:$D$62,MATCH(E$3-$B67,'D Fleet'!$B$5:$B$62,0)),0)*IFERROR(INDEX('D Fleet'!$K$5:$K$36,INT(($B67/E$5))+1)+(($B67/E$5)-INT(($B67/E$5)))*(INDEX('D Fleet'!$K$5:$K$36,INT(($B67/E$5))+2)-INDEX('D Fleet'!$K$5:$K$36,INT(($B67/E$5))+1)),0)</f>
        <v/>
      </c>
      <c r="F67" s="276">
        <f>IFERROR(INDEX('D Fleet'!$D$5:$D$62,MATCH(F$3-$B67,'D Fleet'!$B$5:$B$62,0)),0)*IFERROR(INDEX('D Fleet'!$K$5:$K$36,INT(($B67/F$5))+1)+(($B67/F$5)-INT(($B67/F$5)))*(INDEX('D Fleet'!$K$5:$K$36,INT(($B67/F$5))+2)-INDEX('D Fleet'!$K$5:$K$36,INT(($B67/F$5))+1)),0)</f>
        <v/>
      </c>
      <c r="G67" s="276">
        <f>IFERROR(INDEX('D Fleet'!$D$5:$D$62,MATCH(G$3-$B67,'D Fleet'!$B$5:$B$62,0)),0)*IFERROR(INDEX('D Fleet'!$K$5:$K$36,INT(($B67/G$5))+1)+(($B67/G$5)-INT(($B67/G$5)))*(INDEX('D Fleet'!$K$5:$K$36,INT(($B67/G$5))+2)-INDEX('D Fleet'!$K$5:$K$36,INT(($B67/G$5))+1)),0)</f>
        <v/>
      </c>
      <c r="H67" s="276">
        <f>IFERROR(INDEX('D Fleet'!$D$5:$D$62,MATCH(H$3-$B67,'D Fleet'!$B$5:$B$62,0)),0)*IFERROR(INDEX('D Fleet'!$K$5:$K$36,INT(($B67/H$5))+1)+(($B67/H$5)-INT(($B67/H$5)))*(INDEX('D Fleet'!$K$5:$K$36,INT(($B67/H$5))+2)-INDEX('D Fleet'!$K$5:$K$36,INT(($B67/H$5))+1)),0)</f>
        <v/>
      </c>
      <c r="I67" s="276">
        <f>IFERROR(INDEX('D Fleet'!$D$5:$D$62,MATCH(I$3-$B67,'D Fleet'!$B$5:$B$62,0)),0)*IFERROR(INDEX('D Fleet'!$K$5:$K$36,INT(($B67/I$5))+1)+(($B67/I$5)-INT(($B67/I$5)))*(INDEX('D Fleet'!$K$5:$K$36,INT(($B67/I$5))+2)-INDEX('D Fleet'!$K$5:$K$36,INT(($B67/I$5))+1)),0)</f>
        <v/>
      </c>
      <c r="J67" s="276">
        <f>IFERROR(INDEX('D Fleet'!$D$5:$D$62,MATCH(J$3-$B67,'D Fleet'!$B$5:$B$62,0)),0)*IFERROR(INDEX('D Fleet'!$K$5:$K$36,INT(($B67/J$5))+1)+(($B67/J$5)-INT(($B67/J$5)))*(INDEX('D Fleet'!$K$5:$K$36,INT(($B67/J$5))+2)-INDEX('D Fleet'!$K$5:$K$36,INT(($B67/J$5))+1)),0)</f>
        <v/>
      </c>
      <c r="K67" s="276">
        <f>IFERROR(INDEX('D Fleet'!$D$5:$D$62,MATCH(K$3-$B67,'D Fleet'!$B$5:$B$62,0)),0)*IFERROR(INDEX('D Fleet'!$K$5:$K$36,INT(($B67/K$5))+1)+(($B67/K$5)-INT(($B67/K$5)))*(INDEX('D Fleet'!$K$5:$K$36,INT(($B67/K$5))+2)-INDEX('D Fleet'!$K$5:$K$36,INT(($B67/K$5))+1)),0)</f>
        <v/>
      </c>
      <c r="L67" s="276">
        <f>IFERROR(INDEX('D Fleet'!$D$5:$D$62,MATCH(L$3-$B67,'D Fleet'!$B$5:$B$62,0)),0)*IFERROR(INDEX('D Fleet'!$K$5:$K$36,INT(($B67/L$5))+1)+(($B67/L$5)-INT(($B67/L$5)))*(INDEX('D Fleet'!$K$5:$K$36,INT(($B67/L$5))+2)-INDEX('D Fleet'!$K$5:$K$36,INT(($B67/L$5))+1)),0)</f>
        <v/>
      </c>
      <c r="M67" s="276">
        <f>IFERROR(INDEX('D Fleet'!$D$5:$D$62,MATCH(M$3-$B67,'D Fleet'!$B$5:$B$62,0)),0)*IFERROR(INDEX('D Fleet'!$K$5:$K$36,INT(($B67/M$5))+1)+(($B67/M$5)-INT(($B67/M$5)))*(INDEX('D Fleet'!$K$5:$K$36,INT(($B67/M$5))+2)-INDEX('D Fleet'!$K$5:$K$36,INT(($B67/M$5))+1)),0)</f>
        <v/>
      </c>
      <c r="N67" s="276">
        <f>IFERROR(INDEX('D Fleet'!$D$5:$D$62,MATCH(N$3-$B67,'D Fleet'!$B$5:$B$62,0)),0)*IFERROR(INDEX('D Fleet'!$K$5:$K$36,INT(($B67/N$5))+1)+(($B67/N$5)-INT(($B67/N$5)))*(INDEX('D Fleet'!$K$5:$K$36,INT(($B67/N$5))+2)-INDEX('D Fleet'!$K$5:$K$36,INT(($B67/N$5))+1)),0)</f>
        <v/>
      </c>
      <c r="P67" s="276">
        <f>E67*$D67*'E1 Fleet'!$D$98</f>
        <v/>
      </c>
      <c r="Q67" s="276">
        <f>F67*$D67*'E1 Fleet'!$D$98</f>
        <v/>
      </c>
      <c r="R67" s="276">
        <f>G67*$D67*'E1 Fleet'!$D$98</f>
        <v/>
      </c>
      <c r="S67" s="276">
        <f>H67*$D67*'E1 Fleet'!$D$98</f>
        <v/>
      </c>
      <c r="T67" s="276">
        <f>I67*$D67*'E1 Fleet'!$D$98</f>
        <v/>
      </c>
      <c r="U67" s="276">
        <f>J67*$D67*'E1 Fleet'!$D$98</f>
        <v/>
      </c>
      <c r="V67" s="276">
        <f>K67*$D67*'E1 Fleet'!$D$98</f>
        <v/>
      </c>
      <c r="W67" s="276">
        <f>L67*$D67*'E1 Fleet'!$D$98</f>
        <v/>
      </c>
      <c r="X67" s="276">
        <f>M67*$D67*'E1 Fleet'!$D$98</f>
        <v/>
      </c>
      <c r="Y67" s="276">
        <f>N67*$D67*'E1 Fleet'!$D$98</f>
        <v/>
      </c>
    </row>
    <row r="68">
      <c r="A68" t="inlineStr">
        <is>
          <t>SUV</t>
        </is>
      </c>
      <c r="B68" t="n">
        <v>15</v>
      </c>
      <c r="C68" t="n">
        <v>3</v>
      </c>
      <c r="D68" s="275">
        <f>IF($B68=0,'E1 Fleet'!$D$93,1)*EXP(-'E1 Fleet'!$D$94*MAX($B68-6,0))</f>
        <v/>
      </c>
      <c r="E68" s="276">
        <f>IFERROR(INDEX('D Fleet'!$D$5:$D$62,MATCH(E$3-$B68,'D Fleet'!$B$5:$B$62,0)),0)*IFERROR(INDEX('D Fleet'!$K$5:$K$36,INT(($B68/E$5))+1)+(($B68/E$5)-INT(($B68/E$5)))*(INDEX('D Fleet'!$K$5:$K$36,INT(($B68/E$5))+2)-INDEX('D Fleet'!$K$5:$K$36,INT(($B68/E$5))+1)),0)</f>
        <v/>
      </c>
      <c r="F68" s="276">
        <f>IFERROR(INDEX('D Fleet'!$D$5:$D$62,MATCH(F$3-$B68,'D Fleet'!$B$5:$B$62,0)),0)*IFERROR(INDEX('D Fleet'!$K$5:$K$36,INT(($B68/F$5))+1)+(($B68/F$5)-INT(($B68/F$5)))*(INDEX('D Fleet'!$K$5:$K$36,INT(($B68/F$5))+2)-INDEX('D Fleet'!$K$5:$K$36,INT(($B68/F$5))+1)),0)</f>
        <v/>
      </c>
      <c r="G68" s="276">
        <f>IFERROR(INDEX('D Fleet'!$D$5:$D$62,MATCH(G$3-$B68,'D Fleet'!$B$5:$B$62,0)),0)*IFERROR(INDEX('D Fleet'!$K$5:$K$36,INT(($B68/G$5))+1)+(($B68/G$5)-INT(($B68/G$5)))*(INDEX('D Fleet'!$K$5:$K$36,INT(($B68/G$5))+2)-INDEX('D Fleet'!$K$5:$K$36,INT(($B68/G$5))+1)),0)</f>
        <v/>
      </c>
      <c r="H68" s="276">
        <f>IFERROR(INDEX('D Fleet'!$D$5:$D$62,MATCH(H$3-$B68,'D Fleet'!$B$5:$B$62,0)),0)*IFERROR(INDEX('D Fleet'!$K$5:$K$36,INT(($B68/H$5))+1)+(($B68/H$5)-INT(($B68/H$5)))*(INDEX('D Fleet'!$K$5:$K$36,INT(($B68/H$5))+2)-INDEX('D Fleet'!$K$5:$K$36,INT(($B68/H$5))+1)),0)</f>
        <v/>
      </c>
      <c r="I68" s="276">
        <f>IFERROR(INDEX('D Fleet'!$D$5:$D$62,MATCH(I$3-$B68,'D Fleet'!$B$5:$B$62,0)),0)*IFERROR(INDEX('D Fleet'!$K$5:$K$36,INT(($B68/I$5))+1)+(($B68/I$5)-INT(($B68/I$5)))*(INDEX('D Fleet'!$K$5:$K$36,INT(($B68/I$5))+2)-INDEX('D Fleet'!$K$5:$K$36,INT(($B68/I$5))+1)),0)</f>
        <v/>
      </c>
      <c r="J68" s="276">
        <f>IFERROR(INDEX('D Fleet'!$D$5:$D$62,MATCH(J$3-$B68,'D Fleet'!$B$5:$B$62,0)),0)*IFERROR(INDEX('D Fleet'!$K$5:$K$36,INT(($B68/J$5))+1)+(($B68/J$5)-INT(($B68/J$5)))*(INDEX('D Fleet'!$K$5:$K$36,INT(($B68/J$5))+2)-INDEX('D Fleet'!$K$5:$K$36,INT(($B68/J$5))+1)),0)</f>
        <v/>
      </c>
      <c r="K68" s="276">
        <f>IFERROR(INDEX('D Fleet'!$D$5:$D$62,MATCH(K$3-$B68,'D Fleet'!$B$5:$B$62,0)),0)*IFERROR(INDEX('D Fleet'!$K$5:$K$36,INT(($B68/K$5))+1)+(($B68/K$5)-INT(($B68/K$5)))*(INDEX('D Fleet'!$K$5:$K$36,INT(($B68/K$5))+2)-INDEX('D Fleet'!$K$5:$K$36,INT(($B68/K$5))+1)),0)</f>
        <v/>
      </c>
      <c r="L68" s="276">
        <f>IFERROR(INDEX('D Fleet'!$D$5:$D$62,MATCH(L$3-$B68,'D Fleet'!$B$5:$B$62,0)),0)*IFERROR(INDEX('D Fleet'!$K$5:$K$36,INT(($B68/L$5))+1)+(($B68/L$5)-INT(($B68/L$5)))*(INDEX('D Fleet'!$K$5:$K$36,INT(($B68/L$5))+2)-INDEX('D Fleet'!$K$5:$K$36,INT(($B68/L$5))+1)),0)</f>
        <v/>
      </c>
      <c r="M68" s="276">
        <f>IFERROR(INDEX('D Fleet'!$D$5:$D$62,MATCH(M$3-$B68,'D Fleet'!$B$5:$B$62,0)),0)*IFERROR(INDEX('D Fleet'!$K$5:$K$36,INT(($B68/M$5))+1)+(($B68/M$5)-INT(($B68/M$5)))*(INDEX('D Fleet'!$K$5:$K$36,INT(($B68/M$5))+2)-INDEX('D Fleet'!$K$5:$K$36,INT(($B68/M$5))+1)),0)</f>
        <v/>
      </c>
      <c r="N68" s="276">
        <f>IFERROR(INDEX('D Fleet'!$D$5:$D$62,MATCH(N$3-$B68,'D Fleet'!$B$5:$B$62,0)),0)*IFERROR(INDEX('D Fleet'!$K$5:$K$36,INT(($B68/N$5))+1)+(($B68/N$5)-INT(($B68/N$5)))*(INDEX('D Fleet'!$K$5:$K$36,INT(($B68/N$5))+2)-INDEX('D Fleet'!$K$5:$K$36,INT(($B68/N$5))+1)),0)</f>
        <v/>
      </c>
      <c r="P68" s="276">
        <f>E68*$D68*'E1 Fleet'!$D$98</f>
        <v/>
      </c>
      <c r="Q68" s="276">
        <f>F68*$D68*'E1 Fleet'!$D$98</f>
        <v/>
      </c>
      <c r="R68" s="276">
        <f>G68*$D68*'E1 Fleet'!$D$98</f>
        <v/>
      </c>
      <c r="S68" s="276">
        <f>H68*$D68*'E1 Fleet'!$D$98</f>
        <v/>
      </c>
      <c r="T68" s="276">
        <f>I68*$D68*'E1 Fleet'!$D$98</f>
        <v/>
      </c>
      <c r="U68" s="276">
        <f>J68*$D68*'E1 Fleet'!$D$98</f>
        <v/>
      </c>
      <c r="V68" s="276">
        <f>K68*$D68*'E1 Fleet'!$D$98</f>
        <v/>
      </c>
      <c r="W68" s="276">
        <f>L68*$D68*'E1 Fleet'!$D$98</f>
        <v/>
      </c>
      <c r="X68" s="276">
        <f>M68*$D68*'E1 Fleet'!$D$98</f>
        <v/>
      </c>
      <c r="Y68" s="276">
        <f>N68*$D68*'E1 Fleet'!$D$98</f>
        <v/>
      </c>
    </row>
    <row r="69">
      <c r="A69" t="inlineStr">
        <is>
          <t>SUV</t>
        </is>
      </c>
      <c r="B69" t="n">
        <v>16</v>
      </c>
      <c r="C69" t="n">
        <v>3</v>
      </c>
      <c r="D69" s="275">
        <f>IF($B69=0,'E1 Fleet'!$D$93,1)*EXP(-'E1 Fleet'!$D$94*MAX($B69-6,0))</f>
        <v/>
      </c>
      <c r="E69" s="276">
        <f>IFERROR(INDEX('D Fleet'!$D$5:$D$62,MATCH(E$3-$B69,'D Fleet'!$B$5:$B$62,0)),0)*IFERROR(INDEX('D Fleet'!$K$5:$K$36,INT(($B69/E$5))+1)+(($B69/E$5)-INT(($B69/E$5)))*(INDEX('D Fleet'!$K$5:$K$36,INT(($B69/E$5))+2)-INDEX('D Fleet'!$K$5:$K$36,INT(($B69/E$5))+1)),0)</f>
        <v/>
      </c>
      <c r="F69" s="276">
        <f>IFERROR(INDEX('D Fleet'!$D$5:$D$62,MATCH(F$3-$B69,'D Fleet'!$B$5:$B$62,0)),0)*IFERROR(INDEX('D Fleet'!$K$5:$K$36,INT(($B69/F$5))+1)+(($B69/F$5)-INT(($B69/F$5)))*(INDEX('D Fleet'!$K$5:$K$36,INT(($B69/F$5))+2)-INDEX('D Fleet'!$K$5:$K$36,INT(($B69/F$5))+1)),0)</f>
        <v/>
      </c>
      <c r="G69" s="276">
        <f>IFERROR(INDEX('D Fleet'!$D$5:$D$62,MATCH(G$3-$B69,'D Fleet'!$B$5:$B$62,0)),0)*IFERROR(INDEX('D Fleet'!$K$5:$K$36,INT(($B69/G$5))+1)+(($B69/G$5)-INT(($B69/G$5)))*(INDEX('D Fleet'!$K$5:$K$36,INT(($B69/G$5))+2)-INDEX('D Fleet'!$K$5:$K$36,INT(($B69/G$5))+1)),0)</f>
        <v/>
      </c>
      <c r="H69" s="276">
        <f>IFERROR(INDEX('D Fleet'!$D$5:$D$62,MATCH(H$3-$B69,'D Fleet'!$B$5:$B$62,0)),0)*IFERROR(INDEX('D Fleet'!$K$5:$K$36,INT(($B69/H$5))+1)+(($B69/H$5)-INT(($B69/H$5)))*(INDEX('D Fleet'!$K$5:$K$36,INT(($B69/H$5))+2)-INDEX('D Fleet'!$K$5:$K$36,INT(($B69/H$5))+1)),0)</f>
        <v/>
      </c>
      <c r="I69" s="276">
        <f>IFERROR(INDEX('D Fleet'!$D$5:$D$62,MATCH(I$3-$B69,'D Fleet'!$B$5:$B$62,0)),0)*IFERROR(INDEX('D Fleet'!$K$5:$K$36,INT(($B69/I$5))+1)+(($B69/I$5)-INT(($B69/I$5)))*(INDEX('D Fleet'!$K$5:$K$36,INT(($B69/I$5))+2)-INDEX('D Fleet'!$K$5:$K$36,INT(($B69/I$5))+1)),0)</f>
        <v/>
      </c>
      <c r="J69" s="276">
        <f>IFERROR(INDEX('D Fleet'!$D$5:$D$62,MATCH(J$3-$B69,'D Fleet'!$B$5:$B$62,0)),0)*IFERROR(INDEX('D Fleet'!$K$5:$K$36,INT(($B69/J$5))+1)+(($B69/J$5)-INT(($B69/J$5)))*(INDEX('D Fleet'!$K$5:$K$36,INT(($B69/J$5))+2)-INDEX('D Fleet'!$K$5:$K$36,INT(($B69/J$5))+1)),0)</f>
        <v/>
      </c>
      <c r="K69" s="276">
        <f>IFERROR(INDEX('D Fleet'!$D$5:$D$62,MATCH(K$3-$B69,'D Fleet'!$B$5:$B$62,0)),0)*IFERROR(INDEX('D Fleet'!$K$5:$K$36,INT(($B69/K$5))+1)+(($B69/K$5)-INT(($B69/K$5)))*(INDEX('D Fleet'!$K$5:$K$36,INT(($B69/K$5))+2)-INDEX('D Fleet'!$K$5:$K$36,INT(($B69/K$5))+1)),0)</f>
        <v/>
      </c>
      <c r="L69" s="276">
        <f>IFERROR(INDEX('D Fleet'!$D$5:$D$62,MATCH(L$3-$B69,'D Fleet'!$B$5:$B$62,0)),0)*IFERROR(INDEX('D Fleet'!$K$5:$K$36,INT(($B69/L$5))+1)+(($B69/L$5)-INT(($B69/L$5)))*(INDEX('D Fleet'!$K$5:$K$36,INT(($B69/L$5))+2)-INDEX('D Fleet'!$K$5:$K$36,INT(($B69/L$5))+1)),0)</f>
        <v/>
      </c>
      <c r="M69" s="276">
        <f>IFERROR(INDEX('D Fleet'!$D$5:$D$62,MATCH(M$3-$B69,'D Fleet'!$B$5:$B$62,0)),0)*IFERROR(INDEX('D Fleet'!$K$5:$K$36,INT(($B69/M$5))+1)+(($B69/M$5)-INT(($B69/M$5)))*(INDEX('D Fleet'!$K$5:$K$36,INT(($B69/M$5))+2)-INDEX('D Fleet'!$K$5:$K$36,INT(($B69/M$5))+1)),0)</f>
        <v/>
      </c>
      <c r="N69" s="276">
        <f>IFERROR(INDEX('D Fleet'!$D$5:$D$62,MATCH(N$3-$B69,'D Fleet'!$B$5:$B$62,0)),0)*IFERROR(INDEX('D Fleet'!$K$5:$K$36,INT(($B69/N$5))+1)+(($B69/N$5)-INT(($B69/N$5)))*(INDEX('D Fleet'!$K$5:$K$36,INT(($B69/N$5))+2)-INDEX('D Fleet'!$K$5:$K$36,INT(($B69/N$5))+1)),0)</f>
        <v/>
      </c>
      <c r="P69" s="276">
        <f>E69*$D69*'E1 Fleet'!$D$98</f>
        <v/>
      </c>
      <c r="Q69" s="276">
        <f>F69*$D69*'E1 Fleet'!$D$98</f>
        <v/>
      </c>
      <c r="R69" s="276">
        <f>G69*$D69*'E1 Fleet'!$D$98</f>
        <v/>
      </c>
      <c r="S69" s="276">
        <f>H69*$D69*'E1 Fleet'!$D$98</f>
        <v/>
      </c>
      <c r="T69" s="276">
        <f>I69*$D69*'E1 Fleet'!$D$98</f>
        <v/>
      </c>
      <c r="U69" s="276">
        <f>J69*$D69*'E1 Fleet'!$D$98</f>
        <v/>
      </c>
      <c r="V69" s="276">
        <f>K69*$D69*'E1 Fleet'!$D$98</f>
        <v/>
      </c>
      <c r="W69" s="276">
        <f>L69*$D69*'E1 Fleet'!$D$98</f>
        <v/>
      </c>
      <c r="X69" s="276">
        <f>M69*$D69*'E1 Fleet'!$D$98</f>
        <v/>
      </c>
      <c r="Y69" s="276">
        <f>N69*$D69*'E1 Fleet'!$D$98</f>
        <v/>
      </c>
    </row>
    <row r="70">
      <c r="A70" t="inlineStr">
        <is>
          <t>SUV</t>
        </is>
      </c>
      <c r="B70" t="n">
        <v>17</v>
      </c>
      <c r="C70" t="n">
        <v>3</v>
      </c>
      <c r="D70" s="275">
        <f>IF($B70=0,'E1 Fleet'!$D$93,1)*EXP(-'E1 Fleet'!$D$94*MAX($B70-6,0))</f>
        <v/>
      </c>
      <c r="E70" s="276">
        <f>IFERROR(INDEX('D Fleet'!$D$5:$D$62,MATCH(E$3-$B70,'D Fleet'!$B$5:$B$62,0)),0)*IFERROR(INDEX('D Fleet'!$K$5:$K$36,INT(($B70/E$5))+1)+(($B70/E$5)-INT(($B70/E$5)))*(INDEX('D Fleet'!$K$5:$K$36,INT(($B70/E$5))+2)-INDEX('D Fleet'!$K$5:$K$36,INT(($B70/E$5))+1)),0)</f>
        <v/>
      </c>
      <c r="F70" s="276">
        <f>IFERROR(INDEX('D Fleet'!$D$5:$D$62,MATCH(F$3-$B70,'D Fleet'!$B$5:$B$62,0)),0)*IFERROR(INDEX('D Fleet'!$K$5:$K$36,INT(($B70/F$5))+1)+(($B70/F$5)-INT(($B70/F$5)))*(INDEX('D Fleet'!$K$5:$K$36,INT(($B70/F$5))+2)-INDEX('D Fleet'!$K$5:$K$36,INT(($B70/F$5))+1)),0)</f>
        <v/>
      </c>
      <c r="G70" s="276">
        <f>IFERROR(INDEX('D Fleet'!$D$5:$D$62,MATCH(G$3-$B70,'D Fleet'!$B$5:$B$62,0)),0)*IFERROR(INDEX('D Fleet'!$K$5:$K$36,INT(($B70/G$5))+1)+(($B70/G$5)-INT(($B70/G$5)))*(INDEX('D Fleet'!$K$5:$K$36,INT(($B70/G$5))+2)-INDEX('D Fleet'!$K$5:$K$36,INT(($B70/G$5))+1)),0)</f>
        <v/>
      </c>
      <c r="H70" s="276">
        <f>IFERROR(INDEX('D Fleet'!$D$5:$D$62,MATCH(H$3-$B70,'D Fleet'!$B$5:$B$62,0)),0)*IFERROR(INDEX('D Fleet'!$K$5:$K$36,INT(($B70/H$5))+1)+(($B70/H$5)-INT(($B70/H$5)))*(INDEX('D Fleet'!$K$5:$K$36,INT(($B70/H$5))+2)-INDEX('D Fleet'!$K$5:$K$36,INT(($B70/H$5))+1)),0)</f>
        <v/>
      </c>
      <c r="I70" s="276">
        <f>IFERROR(INDEX('D Fleet'!$D$5:$D$62,MATCH(I$3-$B70,'D Fleet'!$B$5:$B$62,0)),0)*IFERROR(INDEX('D Fleet'!$K$5:$K$36,INT(($B70/I$5))+1)+(($B70/I$5)-INT(($B70/I$5)))*(INDEX('D Fleet'!$K$5:$K$36,INT(($B70/I$5))+2)-INDEX('D Fleet'!$K$5:$K$36,INT(($B70/I$5))+1)),0)</f>
        <v/>
      </c>
      <c r="J70" s="276">
        <f>IFERROR(INDEX('D Fleet'!$D$5:$D$62,MATCH(J$3-$B70,'D Fleet'!$B$5:$B$62,0)),0)*IFERROR(INDEX('D Fleet'!$K$5:$K$36,INT(($B70/J$5))+1)+(($B70/J$5)-INT(($B70/J$5)))*(INDEX('D Fleet'!$K$5:$K$36,INT(($B70/J$5))+2)-INDEX('D Fleet'!$K$5:$K$36,INT(($B70/J$5))+1)),0)</f>
        <v/>
      </c>
      <c r="K70" s="276">
        <f>IFERROR(INDEX('D Fleet'!$D$5:$D$62,MATCH(K$3-$B70,'D Fleet'!$B$5:$B$62,0)),0)*IFERROR(INDEX('D Fleet'!$K$5:$K$36,INT(($B70/K$5))+1)+(($B70/K$5)-INT(($B70/K$5)))*(INDEX('D Fleet'!$K$5:$K$36,INT(($B70/K$5))+2)-INDEX('D Fleet'!$K$5:$K$36,INT(($B70/K$5))+1)),0)</f>
        <v/>
      </c>
      <c r="L70" s="276">
        <f>IFERROR(INDEX('D Fleet'!$D$5:$D$62,MATCH(L$3-$B70,'D Fleet'!$B$5:$B$62,0)),0)*IFERROR(INDEX('D Fleet'!$K$5:$K$36,INT(($B70/L$5))+1)+(($B70/L$5)-INT(($B70/L$5)))*(INDEX('D Fleet'!$K$5:$K$36,INT(($B70/L$5))+2)-INDEX('D Fleet'!$K$5:$K$36,INT(($B70/L$5))+1)),0)</f>
        <v/>
      </c>
      <c r="M70" s="276">
        <f>IFERROR(INDEX('D Fleet'!$D$5:$D$62,MATCH(M$3-$B70,'D Fleet'!$B$5:$B$62,0)),0)*IFERROR(INDEX('D Fleet'!$K$5:$K$36,INT(($B70/M$5))+1)+(($B70/M$5)-INT(($B70/M$5)))*(INDEX('D Fleet'!$K$5:$K$36,INT(($B70/M$5))+2)-INDEX('D Fleet'!$K$5:$K$36,INT(($B70/M$5))+1)),0)</f>
        <v/>
      </c>
      <c r="N70" s="276">
        <f>IFERROR(INDEX('D Fleet'!$D$5:$D$62,MATCH(N$3-$B70,'D Fleet'!$B$5:$B$62,0)),0)*IFERROR(INDEX('D Fleet'!$K$5:$K$36,INT(($B70/N$5))+1)+(($B70/N$5)-INT(($B70/N$5)))*(INDEX('D Fleet'!$K$5:$K$36,INT(($B70/N$5))+2)-INDEX('D Fleet'!$K$5:$K$36,INT(($B70/N$5))+1)),0)</f>
        <v/>
      </c>
      <c r="P70" s="276">
        <f>E70*$D70*'E1 Fleet'!$D$98</f>
        <v/>
      </c>
      <c r="Q70" s="276">
        <f>F70*$D70*'E1 Fleet'!$D$98</f>
        <v/>
      </c>
      <c r="R70" s="276">
        <f>G70*$D70*'E1 Fleet'!$D$98</f>
        <v/>
      </c>
      <c r="S70" s="276">
        <f>H70*$D70*'E1 Fleet'!$D$98</f>
        <v/>
      </c>
      <c r="T70" s="276">
        <f>I70*$D70*'E1 Fleet'!$D$98</f>
        <v/>
      </c>
      <c r="U70" s="276">
        <f>J70*$D70*'E1 Fleet'!$D$98</f>
        <v/>
      </c>
      <c r="V70" s="276">
        <f>K70*$D70*'E1 Fleet'!$D$98</f>
        <v/>
      </c>
      <c r="W70" s="276">
        <f>L70*$D70*'E1 Fleet'!$D$98</f>
        <v/>
      </c>
      <c r="X70" s="276">
        <f>M70*$D70*'E1 Fleet'!$D$98</f>
        <v/>
      </c>
      <c r="Y70" s="276">
        <f>N70*$D70*'E1 Fleet'!$D$98</f>
        <v/>
      </c>
    </row>
    <row r="71">
      <c r="A71" t="inlineStr">
        <is>
          <t>SUV</t>
        </is>
      </c>
      <c r="B71" t="n">
        <v>18</v>
      </c>
      <c r="C71" t="n">
        <v>3</v>
      </c>
      <c r="D71" s="275">
        <f>IF($B71=0,'E1 Fleet'!$D$93,1)*EXP(-'E1 Fleet'!$D$94*MAX($B71-6,0))</f>
        <v/>
      </c>
      <c r="E71" s="276">
        <f>IFERROR(INDEX('D Fleet'!$D$5:$D$62,MATCH(E$3-$B71,'D Fleet'!$B$5:$B$62,0)),0)*IFERROR(INDEX('D Fleet'!$K$5:$K$36,INT(($B71/E$5))+1)+(($B71/E$5)-INT(($B71/E$5)))*(INDEX('D Fleet'!$K$5:$K$36,INT(($B71/E$5))+2)-INDEX('D Fleet'!$K$5:$K$36,INT(($B71/E$5))+1)),0)</f>
        <v/>
      </c>
      <c r="F71" s="276">
        <f>IFERROR(INDEX('D Fleet'!$D$5:$D$62,MATCH(F$3-$B71,'D Fleet'!$B$5:$B$62,0)),0)*IFERROR(INDEX('D Fleet'!$K$5:$K$36,INT(($B71/F$5))+1)+(($B71/F$5)-INT(($B71/F$5)))*(INDEX('D Fleet'!$K$5:$K$36,INT(($B71/F$5))+2)-INDEX('D Fleet'!$K$5:$K$36,INT(($B71/F$5))+1)),0)</f>
        <v/>
      </c>
      <c r="G71" s="276">
        <f>IFERROR(INDEX('D Fleet'!$D$5:$D$62,MATCH(G$3-$B71,'D Fleet'!$B$5:$B$62,0)),0)*IFERROR(INDEX('D Fleet'!$K$5:$K$36,INT(($B71/G$5))+1)+(($B71/G$5)-INT(($B71/G$5)))*(INDEX('D Fleet'!$K$5:$K$36,INT(($B71/G$5))+2)-INDEX('D Fleet'!$K$5:$K$36,INT(($B71/G$5))+1)),0)</f>
        <v/>
      </c>
      <c r="H71" s="276">
        <f>IFERROR(INDEX('D Fleet'!$D$5:$D$62,MATCH(H$3-$B71,'D Fleet'!$B$5:$B$62,0)),0)*IFERROR(INDEX('D Fleet'!$K$5:$K$36,INT(($B71/H$5))+1)+(($B71/H$5)-INT(($B71/H$5)))*(INDEX('D Fleet'!$K$5:$K$36,INT(($B71/H$5))+2)-INDEX('D Fleet'!$K$5:$K$36,INT(($B71/H$5))+1)),0)</f>
        <v/>
      </c>
      <c r="I71" s="276">
        <f>IFERROR(INDEX('D Fleet'!$D$5:$D$62,MATCH(I$3-$B71,'D Fleet'!$B$5:$B$62,0)),0)*IFERROR(INDEX('D Fleet'!$K$5:$K$36,INT(($B71/I$5))+1)+(($B71/I$5)-INT(($B71/I$5)))*(INDEX('D Fleet'!$K$5:$K$36,INT(($B71/I$5))+2)-INDEX('D Fleet'!$K$5:$K$36,INT(($B71/I$5))+1)),0)</f>
        <v/>
      </c>
      <c r="J71" s="276">
        <f>IFERROR(INDEX('D Fleet'!$D$5:$D$62,MATCH(J$3-$B71,'D Fleet'!$B$5:$B$62,0)),0)*IFERROR(INDEX('D Fleet'!$K$5:$K$36,INT(($B71/J$5))+1)+(($B71/J$5)-INT(($B71/J$5)))*(INDEX('D Fleet'!$K$5:$K$36,INT(($B71/J$5))+2)-INDEX('D Fleet'!$K$5:$K$36,INT(($B71/J$5))+1)),0)</f>
        <v/>
      </c>
      <c r="K71" s="276">
        <f>IFERROR(INDEX('D Fleet'!$D$5:$D$62,MATCH(K$3-$B71,'D Fleet'!$B$5:$B$62,0)),0)*IFERROR(INDEX('D Fleet'!$K$5:$K$36,INT(($B71/K$5))+1)+(($B71/K$5)-INT(($B71/K$5)))*(INDEX('D Fleet'!$K$5:$K$36,INT(($B71/K$5))+2)-INDEX('D Fleet'!$K$5:$K$36,INT(($B71/K$5))+1)),0)</f>
        <v/>
      </c>
      <c r="L71" s="276">
        <f>IFERROR(INDEX('D Fleet'!$D$5:$D$62,MATCH(L$3-$B71,'D Fleet'!$B$5:$B$62,0)),0)*IFERROR(INDEX('D Fleet'!$K$5:$K$36,INT(($B71/L$5))+1)+(($B71/L$5)-INT(($B71/L$5)))*(INDEX('D Fleet'!$K$5:$K$36,INT(($B71/L$5))+2)-INDEX('D Fleet'!$K$5:$K$36,INT(($B71/L$5))+1)),0)</f>
        <v/>
      </c>
      <c r="M71" s="276">
        <f>IFERROR(INDEX('D Fleet'!$D$5:$D$62,MATCH(M$3-$B71,'D Fleet'!$B$5:$B$62,0)),0)*IFERROR(INDEX('D Fleet'!$K$5:$K$36,INT(($B71/M$5))+1)+(($B71/M$5)-INT(($B71/M$5)))*(INDEX('D Fleet'!$K$5:$K$36,INT(($B71/M$5))+2)-INDEX('D Fleet'!$K$5:$K$36,INT(($B71/M$5))+1)),0)</f>
        <v/>
      </c>
      <c r="N71" s="276">
        <f>IFERROR(INDEX('D Fleet'!$D$5:$D$62,MATCH(N$3-$B71,'D Fleet'!$B$5:$B$62,0)),0)*IFERROR(INDEX('D Fleet'!$K$5:$K$36,INT(($B71/N$5))+1)+(($B71/N$5)-INT(($B71/N$5)))*(INDEX('D Fleet'!$K$5:$K$36,INT(($B71/N$5))+2)-INDEX('D Fleet'!$K$5:$K$36,INT(($B71/N$5))+1)),0)</f>
        <v/>
      </c>
      <c r="P71" s="276">
        <f>E71*$D71*'E1 Fleet'!$D$98</f>
        <v/>
      </c>
      <c r="Q71" s="276">
        <f>F71*$D71*'E1 Fleet'!$D$98</f>
        <v/>
      </c>
      <c r="R71" s="276">
        <f>G71*$D71*'E1 Fleet'!$D$98</f>
        <v/>
      </c>
      <c r="S71" s="276">
        <f>H71*$D71*'E1 Fleet'!$D$98</f>
        <v/>
      </c>
      <c r="T71" s="276">
        <f>I71*$D71*'E1 Fleet'!$D$98</f>
        <v/>
      </c>
      <c r="U71" s="276">
        <f>J71*$D71*'E1 Fleet'!$D$98</f>
        <v/>
      </c>
      <c r="V71" s="276">
        <f>K71*$D71*'E1 Fleet'!$D$98</f>
        <v/>
      </c>
      <c r="W71" s="276">
        <f>L71*$D71*'E1 Fleet'!$D$98</f>
        <v/>
      </c>
      <c r="X71" s="276">
        <f>M71*$D71*'E1 Fleet'!$D$98</f>
        <v/>
      </c>
      <c r="Y71" s="276">
        <f>N71*$D71*'E1 Fleet'!$D$98</f>
        <v/>
      </c>
    </row>
    <row r="72">
      <c r="A72" t="inlineStr">
        <is>
          <t>SUV</t>
        </is>
      </c>
      <c r="B72" t="n">
        <v>19</v>
      </c>
      <c r="C72" t="n">
        <v>3</v>
      </c>
      <c r="D72" s="275">
        <f>IF($B72=0,'E1 Fleet'!$D$93,1)*EXP(-'E1 Fleet'!$D$94*MAX($B72-6,0))</f>
        <v/>
      </c>
      <c r="E72" s="276">
        <f>IFERROR(INDEX('D Fleet'!$D$5:$D$62,MATCH(E$3-$B72,'D Fleet'!$B$5:$B$62,0)),0)*IFERROR(INDEX('D Fleet'!$K$5:$K$36,INT(($B72/E$5))+1)+(($B72/E$5)-INT(($B72/E$5)))*(INDEX('D Fleet'!$K$5:$K$36,INT(($B72/E$5))+2)-INDEX('D Fleet'!$K$5:$K$36,INT(($B72/E$5))+1)),0)</f>
        <v/>
      </c>
      <c r="F72" s="276">
        <f>IFERROR(INDEX('D Fleet'!$D$5:$D$62,MATCH(F$3-$B72,'D Fleet'!$B$5:$B$62,0)),0)*IFERROR(INDEX('D Fleet'!$K$5:$K$36,INT(($B72/F$5))+1)+(($B72/F$5)-INT(($B72/F$5)))*(INDEX('D Fleet'!$K$5:$K$36,INT(($B72/F$5))+2)-INDEX('D Fleet'!$K$5:$K$36,INT(($B72/F$5))+1)),0)</f>
        <v/>
      </c>
      <c r="G72" s="276">
        <f>IFERROR(INDEX('D Fleet'!$D$5:$D$62,MATCH(G$3-$B72,'D Fleet'!$B$5:$B$62,0)),0)*IFERROR(INDEX('D Fleet'!$K$5:$K$36,INT(($B72/G$5))+1)+(($B72/G$5)-INT(($B72/G$5)))*(INDEX('D Fleet'!$K$5:$K$36,INT(($B72/G$5))+2)-INDEX('D Fleet'!$K$5:$K$36,INT(($B72/G$5))+1)),0)</f>
        <v/>
      </c>
      <c r="H72" s="276">
        <f>IFERROR(INDEX('D Fleet'!$D$5:$D$62,MATCH(H$3-$B72,'D Fleet'!$B$5:$B$62,0)),0)*IFERROR(INDEX('D Fleet'!$K$5:$K$36,INT(($B72/H$5))+1)+(($B72/H$5)-INT(($B72/H$5)))*(INDEX('D Fleet'!$K$5:$K$36,INT(($B72/H$5))+2)-INDEX('D Fleet'!$K$5:$K$36,INT(($B72/H$5))+1)),0)</f>
        <v/>
      </c>
      <c r="I72" s="276">
        <f>IFERROR(INDEX('D Fleet'!$D$5:$D$62,MATCH(I$3-$B72,'D Fleet'!$B$5:$B$62,0)),0)*IFERROR(INDEX('D Fleet'!$K$5:$K$36,INT(($B72/I$5))+1)+(($B72/I$5)-INT(($B72/I$5)))*(INDEX('D Fleet'!$K$5:$K$36,INT(($B72/I$5))+2)-INDEX('D Fleet'!$K$5:$K$36,INT(($B72/I$5))+1)),0)</f>
        <v/>
      </c>
      <c r="J72" s="276">
        <f>IFERROR(INDEX('D Fleet'!$D$5:$D$62,MATCH(J$3-$B72,'D Fleet'!$B$5:$B$62,0)),0)*IFERROR(INDEX('D Fleet'!$K$5:$K$36,INT(($B72/J$5))+1)+(($B72/J$5)-INT(($B72/J$5)))*(INDEX('D Fleet'!$K$5:$K$36,INT(($B72/J$5))+2)-INDEX('D Fleet'!$K$5:$K$36,INT(($B72/J$5))+1)),0)</f>
        <v/>
      </c>
      <c r="K72" s="276">
        <f>IFERROR(INDEX('D Fleet'!$D$5:$D$62,MATCH(K$3-$B72,'D Fleet'!$B$5:$B$62,0)),0)*IFERROR(INDEX('D Fleet'!$K$5:$K$36,INT(($B72/K$5))+1)+(($B72/K$5)-INT(($B72/K$5)))*(INDEX('D Fleet'!$K$5:$K$36,INT(($B72/K$5))+2)-INDEX('D Fleet'!$K$5:$K$36,INT(($B72/K$5))+1)),0)</f>
        <v/>
      </c>
      <c r="L72" s="276">
        <f>IFERROR(INDEX('D Fleet'!$D$5:$D$62,MATCH(L$3-$B72,'D Fleet'!$B$5:$B$62,0)),0)*IFERROR(INDEX('D Fleet'!$K$5:$K$36,INT(($B72/L$5))+1)+(($B72/L$5)-INT(($B72/L$5)))*(INDEX('D Fleet'!$K$5:$K$36,INT(($B72/L$5))+2)-INDEX('D Fleet'!$K$5:$K$36,INT(($B72/L$5))+1)),0)</f>
        <v/>
      </c>
      <c r="M72" s="276">
        <f>IFERROR(INDEX('D Fleet'!$D$5:$D$62,MATCH(M$3-$B72,'D Fleet'!$B$5:$B$62,0)),0)*IFERROR(INDEX('D Fleet'!$K$5:$K$36,INT(($B72/M$5))+1)+(($B72/M$5)-INT(($B72/M$5)))*(INDEX('D Fleet'!$K$5:$K$36,INT(($B72/M$5))+2)-INDEX('D Fleet'!$K$5:$K$36,INT(($B72/M$5))+1)),0)</f>
        <v/>
      </c>
      <c r="N72" s="276">
        <f>IFERROR(INDEX('D Fleet'!$D$5:$D$62,MATCH(N$3-$B72,'D Fleet'!$B$5:$B$62,0)),0)*IFERROR(INDEX('D Fleet'!$K$5:$K$36,INT(($B72/N$5))+1)+(($B72/N$5)-INT(($B72/N$5)))*(INDEX('D Fleet'!$K$5:$K$36,INT(($B72/N$5))+2)-INDEX('D Fleet'!$K$5:$K$36,INT(($B72/N$5))+1)),0)</f>
        <v/>
      </c>
      <c r="P72" s="276">
        <f>E72*$D72*'E1 Fleet'!$D$98</f>
        <v/>
      </c>
      <c r="Q72" s="276">
        <f>F72*$D72*'E1 Fleet'!$D$98</f>
        <v/>
      </c>
      <c r="R72" s="276">
        <f>G72*$D72*'E1 Fleet'!$D$98</f>
        <v/>
      </c>
      <c r="S72" s="276">
        <f>H72*$D72*'E1 Fleet'!$D$98</f>
        <v/>
      </c>
      <c r="T72" s="276">
        <f>I72*$D72*'E1 Fleet'!$D$98</f>
        <v/>
      </c>
      <c r="U72" s="276">
        <f>J72*$D72*'E1 Fleet'!$D$98</f>
        <v/>
      </c>
      <c r="V72" s="276">
        <f>K72*$D72*'E1 Fleet'!$D$98</f>
        <v/>
      </c>
      <c r="W72" s="276">
        <f>L72*$D72*'E1 Fleet'!$D$98</f>
        <v/>
      </c>
      <c r="X72" s="276">
        <f>M72*$D72*'E1 Fleet'!$D$98</f>
        <v/>
      </c>
      <c r="Y72" s="276">
        <f>N72*$D72*'E1 Fleet'!$D$98</f>
        <v/>
      </c>
    </row>
    <row r="73">
      <c r="A73" t="inlineStr">
        <is>
          <t>SUV</t>
        </is>
      </c>
      <c r="B73" t="n">
        <v>20</v>
      </c>
      <c r="C73" t="n">
        <v>3</v>
      </c>
      <c r="D73" s="275">
        <f>IF($B73=0,'E1 Fleet'!$D$93,1)*EXP(-'E1 Fleet'!$D$94*MAX($B73-6,0))</f>
        <v/>
      </c>
      <c r="E73" s="276">
        <f>IFERROR(INDEX('D Fleet'!$D$5:$D$62,MATCH(E$3-$B73,'D Fleet'!$B$5:$B$62,0)),0)*IFERROR(INDEX('D Fleet'!$K$5:$K$36,INT(($B73/E$5))+1)+(($B73/E$5)-INT(($B73/E$5)))*(INDEX('D Fleet'!$K$5:$K$36,INT(($B73/E$5))+2)-INDEX('D Fleet'!$K$5:$K$36,INT(($B73/E$5))+1)),0)</f>
        <v/>
      </c>
      <c r="F73" s="276">
        <f>IFERROR(INDEX('D Fleet'!$D$5:$D$62,MATCH(F$3-$B73,'D Fleet'!$B$5:$B$62,0)),0)*IFERROR(INDEX('D Fleet'!$K$5:$K$36,INT(($B73/F$5))+1)+(($B73/F$5)-INT(($B73/F$5)))*(INDEX('D Fleet'!$K$5:$K$36,INT(($B73/F$5))+2)-INDEX('D Fleet'!$K$5:$K$36,INT(($B73/F$5))+1)),0)</f>
        <v/>
      </c>
      <c r="G73" s="276">
        <f>IFERROR(INDEX('D Fleet'!$D$5:$D$62,MATCH(G$3-$B73,'D Fleet'!$B$5:$B$62,0)),0)*IFERROR(INDEX('D Fleet'!$K$5:$K$36,INT(($B73/G$5))+1)+(($B73/G$5)-INT(($B73/G$5)))*(INDEX('D Fleet'!$K$5:$K$36,INT(($B73/G$5))+2)-INDEX('D Fleet'!$K$5:$K$36,INT(($B73/G$5))+1)),0)</f>
        <v/>
      </c>
      <c r="H73" s="276">
        <f>IFERROR(INDEX('D Fleet'!$D$5:$D$62,MATCH(H$3-$B73,'D Fleet'!$B$5:$B$62,0)),0)*IFERROR(INDEX('D Fleet'!$K$5:$K$36,INT(($B73/H$5))+1)+(($B73/H$5)-INT(($B73/H$5)))*(INDEX('D Fleet'!$K$5:$K$36,INT(($B73/H$5))+2)-INDEX('D Fleet'!$K$5:$K$36,INT(($B73/H$5))+1)),0)</f>
        <v/>
      </c>
      <c r="I73" s="276">
        <f>IFERROR(INDEX('D Fleet'!$D$5:$D$62,MATCH(I$3-$B73,'D Fleet'!$B$5:$B$62,0)),0)*IFERROR(INDEX('D Fleet'!$K$5:$K$36,INT(($B73/I$5))+1)+(($B73/I$5)-INT(($B73/I$5)))*(INDEX('D Fleet'!$K$5:$K$36,INT(($B73/I$5))+2)-INDEX('D Fleet'!$K$5:$K$36,INT(($B73/I$5))+1)),0)</f>
        <v/>
      </c>
      <c r="J73" s="276">
        <f>IFERROR(INDEX('D Fleet'!$D$5:$D$62,MATCH(J$3-$B73,'D Fleet'!$B$5:$B$62,0)),0)*IFERROR(INDEX('D Fleet'!$K$5:$K$36,INT(($B73/J$5))+1)+(($B73/J$5)-INT(($B73/J$5)))*(INDEX('D Fleet'!$K$5:$K$36,INT(($B73/J$5))+2)-INDEX('D Fleet'!$K$5:$K$36,INT(($B73/J$5))+1)),0)</f>
        <v/>
      </c>
      <c r="K73" s="276">
        <f>IFERROR(INDEX('D Fleet'!$D$5:$D$62,MATCH(K$3-$B73,'D Fleet'!$B$5:$B$62,0)),0)*IFERROR(INDEX('D Fleet'!$K$5:$K$36,INT(($B73/K$5))+1)+(($B73/K$5)-INT(($B73/K$5)))*(INDEX('D Fleet'!$K$5:$K$36,INT(($B73/K$5))+2)-INDEX('D Fleet'!$K$5:$K$36,INT(($B73/K$5))+1)),0)</f>
        <v/>
      </c>
      <c r="L73" s="276">
        <f>IFERROR(INDEX('D Fleet'!$D$5:$D$62,MATCH(L$3-$B73,'D Fleet'!$B$5:$B$62,0)),0)*IFERROR(INDEX('D Fleet'!$K$5:$K$36,INT(($B73/L$5))+1)+(($B73/L$5)-INT(($B73/L$5)))*(INDEX('D Fleet'!$K$5:$K$36,INT(($B73/L$5))+2)-INDEX('D Fleet'!$K$5:$K$36,INT(($B73/L$5))+1)),0)</f>
        <v/>
      </c>
      <c r="M73" s="276">
        <f>IFERROR(INDEX('D Fleet'!$D$5:$D$62,MATCH(M$3-$B73,'D Fleet'!$B$5:$B$62,0)),0)*IFERROR(INDEX('D Fleet'!$K$5:$K$36,INT(($B73/M$5))+1)+(($B73/M$5)-INT(($B73/M$5)))*(INDEX('D Fleet'!$K$5:$K$36,INT(($B73/M$5))+2)-INDEX('D Fleet'!$K$5:$K$36,INT(($B73/M$5))+1)),0)</f>
        <v/>
      </c>
      <c r="N73" s="276">
        <f>IFERROR(INDEX('D Fleet'!$D$5:$D$62,MATCH(N$3-$B73,'D Fleet'!$B$5:$B$62,0)),0)*IFERROR(INDEX('D Fleet'!$K$5:$K$36,INT(($B73/N$5))+1)+(($B73/N$5)-INT(($B73/N$5)))*(INDEX('D Fleet'!$K$5:$K$36,INT(($B73/N$5))+2)-INDEX('D Fleet'!$K$5:$K$36,INT(($B73/N$5))+1)),0)</f>
        <v/>
      </c>
      <c r="P73" s="276">
        <f>E73*$D73*'E1 Fleet'!$D$98</f>
        <v/>
      </c>
      <c r="Q73" s="276">
        <f>F73*$D73*'E1 Fleet'!$D$98</f>
        <v/>
      </c>
      <c r="R73" s="276">
        <f>G73*$D73*'E1 Fleet'!$D$98</f>
        <v/>
      </c>
      <c r="S73" s="276">
        <f>H73*$D73*'E1 Fleet'!$D$98</f>
        <v/>
      </c>
      <c r="T73" s="276">
        <f>I73*$D73*'E1 Fleet'!$D$98</f>
        <v/>
      </c>
      <c r="U73" s="276">
        <f>J73*$D73*'E1 Fleet'!$D$98</f>
        <v/>
      </c>
      <c r="V73" s="276">
        <f>K73*$D73*'E1 Fleet'!$D$98</f>
        <v/>
      </c>
      <c r="W73" s="276">
        <f>L73*$D73*'E1 Fleet'!$D$98</f>
        <v/>
      </c>
      <c r="X73" s="276">
        <f>M73*$D73*'E1 Fleet'!$D$98</f>
        <v/>
      </c>
      <c r="Y73" s="276">
        <f>N73*$D73*'E1 Fleet'!$D$98</f>
        <v/>
      </c>
    </row>
    <row r="74">
      <c r="A74" t="inlineStr">
        <is>
          <t>SUV</t>
        </is>
      </c>
      <c r="B74" t="n">
        <v>21</v>
      </c>
      <c r="C74" t="n">
        <v>3</v>
      </c>
      <c r="D74" s="275">
        <f>IF($B74=0,'E1 Fleet'!$D$93,1)*EXP(-'E1 Fleet'!$D$94*MAX($B74-6,0))</f>
        <v/>
      </c>
      <c r="E74" s="276">
        <f>IFERROR(INDEX('D Fleet'!$D$5:$D$62,MATCH(E$3-$B74,'D Fleet'!$B$5:$B$62,0)),0)*IFERROR(INDEX('D Fleet'!$K$5:$K$36,INT(($B74/E$5))+1)+(($B74/E$5)-INT(($B74/E$5)))*(INDEX('D Fleet'!$K$5:$K$36,INT(($B74/E$5))+2)-INDEX('D Fleet'!$K$5:$K$36,INT(($B74/E$5))+1)),0)</f>
        <v/>
      </c>
      <c r="F74" s="276">
        <f>IFERROR(INDEX('D Fleet'!$D$5:$D$62,MATCH(F$3-$B74,'D Fleet'!$B$5:$B$62,0)),0)*IFERROR(INDEX('D Fleet'!$K$5:$K$36,INT(($B74/F$5))+1)+(($B74/F$5)-INT(($B74/F$5)))*(INDEX('D Fleet'!$K$5:$K$36,INT(($B74/F$5))+2)-INDEX('D Fleet'!$K$5:$K$36,INT(($B74/F$5))+1)),0)</f>
        <v/>
      </c>
      <c r="G74" s="276">
        <f>IFERROR(INDEX('D Fleet'!$D$5:$D$62,MATCH(G$3-$B74,'D Fleet'!$B$5:$B$62,0)),0)*IFERROR(INDEX('D Fleet'!$K$5:$K$36,INT(($B74/G$5))+1)+(($B74/G$5)-INT(($B74/G$5)))*(INDEX('D Fleet'!$K$5:$K$36,INT(($B74/G$5))+2)-INDEX('D Fleet'!$K$5:$K$36,INT(($B74/G$5))+1)),0)</f>
        <v/>
      </c>
      <c r="H74" s="276">
        <f>IFERROR(INDEX('D Fleet'!$D$5:$D$62,MATCH(H$3-$B74,'D Fleet'!$B$5:$B$62,0)),0)*IFERROR(INDEX('D Fleet'!$K$5:$K$36,INT(($B74/H$5))+1)+(($B74/H$5)-INT(($B74/H$5)))*(INDEX('D Fleet'!$K$5:$K$36,INT(($B74/H$5))+2)-INDEX('D Fleet'!$K$5:$K$36,INT(($B74/H$5))+1)),0)</f>
        <v/>
      </c>
      <c r="I74" s="276">
        <f>IFERROR(INDEX('D Fleet'!$D$5:$D$62,MATCH(I$3-$B74,'D Fleet'!$B$5:$B$62,0)),0)*IFERROR(INDEX('D Fleet'!$K$5:$K$36,INT(($B74/I$5))+1)+(($B74/I$5)-INT(($B74/I$5)))*(INDEX('D Fleet'!$K$5:$K$36,INT(($B74/I$5))+2)-INDEX('D Fleet'!$K$5:$K$36,INT(($B74/I$5))+1)),0)</f>
        <v/>
      </c>
      <c r="J74" s="276">
        <f>IFERROR(INDEX('D Fleet'!$D$5:$D$62,MATCH(J$3-$B74,'D Fleet'!$B$5:$B$62,0)),0)*IFERROR(INDEX('D Fleet'!$K$5:$K$36,INT(($B74/J$5))+1)+(($B74/J$5)-INT(($B74/J$5)))*(INDEX('D Fleet'!$K$5:$K$36,INT(($B74/J$5))+2)-INDEX('D Fleet'!$K$5:$K$36,INT(($B74/J$5))+1)),0)</f>
        <v/>
      </c>
      <c r="K74" s="276">
        <f>IFERROR(INDEX('D Fleet'!$D$5:$D$62,MATCH(K$3-$B74,'D Fleet'!$B$5:$B$62,0)),0)*IFERROR(INDEX('D Fleet'!$K$5:$K$36,INT(($B74/K$5))+1)+(($B74/K$5)-INT(($B74/K$5)))*(INDEX('D Fleet'!$K$5:$K$36,INT(($B74/K$5))+2)-INDEX('D Fleet'!$K$5:$K$36,INT(($B74/K$5))+1)),0)</f>
        <v/>
      </c>
      <c r="L74" s="276">
        <f>IFERROR(INDEX('D Fleet'!$D$5:$D$62,MATCH(L$3-$B74,'D Fleet'!$B$5:$B$62,0)),0)*IFERROR(INDEX('D Fleet'!$K$5:$K$36,INT(($B74/L$5))+1)+(($B74/L$5)-INT(($B74/L$5)))*(INDEX('D Fleet'!$K$5:$K$36,INT(($B74/L$5))+2)-INDEX('D Fleet'!$K$5:$K$36,INT(($B74/L$5))+1)),0)</f>
        <v/>
      </c>
      <c r="M74" s="276">
        <f>IFERROR(INDEX('D Fleet'!$D$5:$D$62,MATCH(M$3-$B74,'D Fleet'!$B$5:$B$62,0)),0)*IFERROR(INDEX('D Fleet'!$K$5:$K$36,INT(($B74/M$5))+1)+(($B74/M$5)-INT(($B74/M$5)))*(INDEX('D Fleet'!$K$5:$K$36,INT(($B74/M$5))+2)-INDEX('D Fleet'!$K$5:$K$36,INT(($B74/M$5))+1)),0)</f>
        <v/>
      </c>
      <c r="N74" s="276">
        <f>IFERROR(INDEX('D Fleet'!$D$5:$D$62,MATCH(N$3-$B74,'D Fleet'!$B$5:$B$62,0)),0)*IFERROR(INDEX('D Fleet'!$K$5:$K$36,INT(($B74/N$5))+1)+(($B74/N$5)-INT(($B74/N$5)))*(INDEX('D Fleet'!$K$5:$K$36,INT(($B74/N$5))+2)-INDEX('D Fleet'!$K$5:$K$36,INT(($B74/N$5))+1)),0)</f>
        <v/>
      </c>
      <c r="P74" s="276">
        <f>E74*$D74*'E1 Fleet'!$D$98</f>
        <v/>
      </c>
      <c r="Q74" s="276">
        <f>F74*$D74*'E1 Fleet'!$D$98</f>
        <v/>
      </c>
      <c r="R74" s="276">
        <f>G74*$D74*'E1 Fleet'!$D$98</f>
        <v/>
      </c>
      <c r="S74" s="276">
        <f>H74*$D74*'E1 Fleet'!$D$98</f>
        <v/>
      </c>
      <c r="T74" s="276">
        <f>I74*$D74*'E1 Fleet'!$D$98</f>
        <v/>
      </c>
      <c r="U74" s="276">
        <f>J74*$D74*'E1 Fleet'!$D$98</f>
        <v/>
      </c>
      <c r="V74" s="276">
        <f>K74*$D74*'E1 Fleet'!$D$98</f>
        <v/>
      </c>
      <c r="W74" s="276">
        <f>L74*$D74*'E1 Fleet'!$D$98</f>
        <v/>
      </c>
      <c r="X74" s="276">
        <f>M74*$D74*'E1 Fleet'!$D$98</f>
        <v/>
      </c>
      <c r="Y74" s="276">
        <f>N74*$D74*'E1 Fleet'!$D$98</f>
        <v/>
      </c>
    </row>
    <row r="75">
      <c r="A75" t="inlineStr">
        <is>
          <t>SUV</t>
        </is>
      </c>
      <c r="B75" t="n">
        <v>22</v>
      </c>
      <c r="C75" t="n">
        <v>3</v>
      </c>
      <c r="D75" s="275">
        <f>IF($B75=0,'E1 Fleet'!$D$93,1)*EXP(-'E1 Fleet'!$D$94*MAX($B75-6,0))</f>
        <v/>
      </c>
      <c r="E75" s="276">
        <f>IFERROR(INDEX('D Fleet'!$D$5:$D$62,MATCH(E$3-$B75,'D Fleet'!$B$5:$B$62,0)),0)*IFERROR(INDEX('D Fleet'!$K$5:$K$36,INT(($B75/E$5))+1)+(($B75/E$5)-INT(($B75/E$5)))*(INDEX('D Fleet'!$K$5:$K$36,INT(($B75/E$5))+2)-INDEX('D Fleet'!$K$5:$K$36,INT(($B75/E$5))+1)),0)</f>
        <v/>
      </c>
      <c r="F75" s="276">
        <f>IFERROR(INDEX('D Fleet'!$D$5:$D$62,MATCH(F$3-$B75,'D Fleet'!$B$5:$B$62,0)),0)*IFERROR(INDEX('D Fleet'!$K$5:$K$36,INT(($B75/F$5))+1)+(($B75/F$5)-INT(($B75/F$5)))*(INDEX('D Fleet'!$K$5:$K$36,INT(($B75/F$5))+2)-INDEX('D Fleet'!$K$5:$K$36,INT(($B75/F$5))+1)),0)</f>
        <v/>
      </c>
      <c r="G75" s="276">
        <f>IFERROR(INDEX('D Fleet'!$D$5:$D$62,MATCH(G$3-$B75,'D Fleet'!$B$5:$B$62,0)),0)*IFERROR(INDEX('D Fleet'!$K$5:$K$36,INT(($B75/G$5))+1)+(($B75/G$5)-INT(($B75/G$5)))*(INDEX('D Fleet'!$K$5:$K$36,INT(($B75/G$5))+2)-INDEX('D Fleet'!$K$5:$K$36,INT(($B75/G$5))+1)),0)</f>
        <v/>
      </c>
      <c r="H75" s="276">
        <f>IFERROR(INDEX('D Fleet'!$D$5:$D$62,MATCH(H$3-$B75,'D Fleet'!$B$5:$B$62,0)),0)*IFERROR(INDEX('D Fleet'!$K$5:$K$36,INT(($B75/H$5))+1)+(($B75/H$5)-INT(($B75/H$5)))*(INDEX('D Fleet'!$K$5:$K$36,INT(($B75/H$5))+2)-INDEX('D Fleet'!$K$5:$K$36,INT(($B75/H$5))+1)),0)</f>
        <v/>
      </c>
      <c r="I75" s="276">
        <f>IFERROR(INDEX('D Fleet'!$D$5:$D$62,MATCH(I$3-$B75,'D Fleet'!$B$5:$B$62,0)),0)*IFERROR(INDEX('D Fleet'!$K$5:$K$36,INT(($B75/I$5))+1)+(($B75/I$5)-INT(($B75/I$5)))*(INDEX('D Fleet'!$K$5:$K$36,INT(($B75/I$5))+2)-INDEX('D Fleet'!$K$5:$K$36,INT(($B75/I$5))+1)),0)</f>
        <v/>
      </c>
      <c r="J75" s="276">
        <f>IFERROR(INDEX('D Fleet'!$D$5:$D$62,MATCH(J$3-$B75,'D Fleet'!$B$5:$B$62,0)),0)*IFERROR(INDEX('D Fleet'!$K$5:$K$36,INT(($B75/J$5))+1)+(($B75/J$5)-INT(($B75/J$5)))*(INDEX('D Fleet'!$K$5:$K$36,INT(($B75/J$5))+2)-INDEX('D Fleet'!$K$5:$K$36,INT(($B75/J$5))+1)),0)</f>
        <v/>
      </c>
      <c r="K75" s="276">
        <f>IFERROR(INDEX('D Fleet'!$D$5:$D$62,MATCH(K$3-$B75,'D Fleet'!$B$5:$B$62,0)),0)*IFERROR(INDEX('D Fleet'!$K$5:$K$36,INT(($B75/K$5))+1)+(($B75/K$5)-INT(($B75/K$5)))*(INDEX('D Fleet'!$K$5:$K$36,INT(($B75/K$5))+2)-INDEX('D Fleet'!$K$5:$K$36,INT(($B75/K$5))+1)),0)</f>
        <v/>
      </c>
      <c r="L75" s="276">
        <f>IFERROR(INDEX('D Fleet'!$D$5:$D$62,MATCH(L$3-$B75,'D Fleet'!$B$5:$B$62,0)),0)*IFERROR(INDEX('D Fleet'!$K$5:$K$36,INT(($B75/L$5))+1)+(($B75/L$5)-INT(($B75/L$5)))*(INDEX('D Fleet'!$K$5:$K$36,INT(($B75/L$5))+2)-INDEX('D Fleet'!$K$5:$K$36,INT(($B75/L$5))+1)),0)</f>
        <v/>
      </c>
      <c r="M75" s="276">
        <f>IFERROR(INDEX('D Fleet'!$D$5:$D$62,MATCH(M$3-$B75,'D Fleet'!$B$5:$B$62,0)),0)*IFERROR(INDEX('D Fleet'!$K$5:$K$36,INT(($B75/M$5))+1)+(($B75/M$5)-INT(($B75/M$5)))*(INDEX('D Fleet'!$K$5:$K$36,INT(($B75/M$5))+2)-INDEX('D Fleet'!$K$5:$K$36,INT(($B75/M$5))+1)),0)</f>
        <v/>
      </c>
      <c r="N75" s="276">
        <f>IFERROR(INDEX('D Fleet'!$D$5:$D$62,MATCH(N$3-$B75,'D Fleet'!$B$5:$B$62,0)),0)*IFERROR(INDEX('D Fleet'!$K$5:$K$36,INT(($B75/N$5))+1)+(($B75/N$5)-INT(($B75/N$5)))*(INDEX('D Fleet'!$K$5:$K$36,INT(($B75/N$5))+2)-INDEX('D Fleet'!$K$5:$K$36,INT(($B75/N$5))+1)),0)</f>
        <v/>
      </c>
      <c r="P75" s="276">
        <f>E75*$D75*'E1 Fleet'!$D$98</f>
        <v/>
      </c>
      <c r="Q75" s="276">
        <f>F75*$D75*'E1 Fleet'!$D$98</f>
        <v/>
      </c>
      <c r="R75" s="276">
        <f>G75*$D75*'E1 Fleet'!$D$98</f>
        <v/>
      </c>
      <c r="S75" s="276">
        <f>H75*$D75*'E1 Fleet'!$D$98</f>
        <v/>
      </c>
      <c r="T75" s="276">
        <f>I75*$D75*'E1 Fleet'!$D$98</f>
        <v/>
      </c>
      <c r="U75" s="276">
        <f>J75*$D75*'E1 Fleet'!$D$98</f>
        <v/>
      </c>
      <c r="V75" s="276">
        <f>K75*$D75*'E1 Fleet'!$D$98</f>
        <v/>
      </c>
      <c r="W75" s="276">
        <f>L75*$D75*'E1 Fleet'!$D$98</f>
        <v/>
      </c>
      <c r="X75" s="276">
        <f>M75*$D75*'E1 Fleet'!$D$98</f>
        <v/>
      </c>
      <c r="Y75" s="276">
        <f>N75*$D75*'E1 Fleet'!$D$98</f>
        <v/>
      </c>
    </row>
    <row r="76">
      <c r="A76" t="inlineStr">
        <is>
          <t>SUV</t>
        </is>
      </c>
      <c r="B76" t="n">
        <v>23</v>
      </c>
      <c r="C76" t="n">
        <v>3</v>
      </c>
      <c r="D76" s="275">
        <f>IF($B76=0,'E1 Fleet'!$D$93,1)*EXP(-'E1 Fleet'!$D$94*MAX($B76-6,0))</f>
        <v/>
      </c>
      <c r="E76" s="276">
        <f>IFERROR(INDEX('D Fleet'!$D$5:$D$62,MATCH(E$3-$B76,'D Fleet'!$B$5:$B$62,0)),0)*IFERROR(INDEX('D Fleet'!$K$5:$K$36,INT(($B76/E$5))+1)+(($B76/E$5)-INT(($B76/E$5)))*(INDEX('D Fleet'!$K$5:$K$36,INT(($B76/E$5))+2)-INDEX('D Fleet'!$K$5:$K$36,INT(($B76/E$5))+1)),0)</f>
        <v/>
      </c>
      <c r="F76" s="276">
        <f>IFERROR(INDEX('D Fleet'!$D$5:$D$62,MATCH(F$3-$B76,'D Fleet'!$B$5:$B$62,0)),0)*IFERROR(INDEX('D Fleet'!$K$5:$K$36,INT(($B76/F$5))+1)+(($B76/F$5)-INT(($B76/F$5)))*(INDEX('D Fleet'!$K$5:$K$36,INT(($B76/F$5))+2)-INDEX('D Fleet'!$K$5:$K$36,INT(($B76/F$5))+1)),0)</f>
        <v/>
      </c>
      <c r="G76" s="276">
        <f>IFERROR(INDEX('D Fleet'!$D$5:$D$62,MATCH(G$3-$B76,'D Fleet'!$B$5:$B$62,0)),0)*IFERROR(INDEX('D Fleet'!$K$5:$K$36,INT(($B76/G$5))+1)+(($B76/G$5)-INT(($B76/G$5)))*(INDEX('D Fleet'!$K$5:$K$36,INT(($B76/G$5))+2)-INDEX('D Fleet'!$K$5:$K$36,INT(($B76/G$5))+1)),0)</f>
        <v/>
      </c>
      <c r="H76" s="276">
        <f>IFERROR(INDEX('D Fleet'!$D$5:$D$62,MATCH(H$3-$B76,'D Fleet'!$B$5:$B$62,0)),0)*IFERROR(INDEX('D Fleet'!$K$5:$K$36,INT(($B76/H$5))+1)+(($B76/H$5)-INT(($B76/H$5)))*(INDEX('D Fleet'!$K$5:$K$36,INT(($B76/H$5))+2)-INDEX('D Fleet'!$K$5:$K$36,INT(($B76/H$5))+1)),0)</f>
        <v/>
      </c>
      <c r="I76" s="276">
        <f>IFERROR(INDEX('D Fleet'!$D$5:$D$62,MATCH(I$3-$B76,'D Fleet'!$B$5:$B$62,0)),0)*IFERROR(INDEX('D Fleet'!$K$5:$K$36,INT(($B76/I$5))+1)+(($B76/I$5)-INT(($B76/I$5)))*(INDEX('D Fleet'!$K$5:$K$36,INT(($B76/I$5))+2)-INDEX('D Fleet'!$K$5:$K$36,INT(($B76/I$5))+1)),0)</f>
        <v/>
      </c>
      <c r="J76" s="276">
        <f>IFERROR(INDEX('D Fleet'!$D$5:$D$62,MATCH(J$3-$B76,'D Fleet'!$B$5:$B$62,0)),0)*IFERROR(INDEX('D Fleet'!$K$5:$K$36,INT(($B76/J$5))+1)+(($B76/J$5)-INT(($B76/J$5)))*(INDEX('D Fleet'!$K$5:$K$36,INT(($B76/J$5))+2)-INDEX('D Fleet'!$K$5:$K$36,INT(($B76/J$5))+1)),0)</f>
        <v/>
      </c>
      <c r="K76" s="276">
        <f>IFERROR(INDEX('D Fleet'!$D$5:$D$62,MATCH(K$3-$B76,'D Fleet'!$B$5:$B$62,0)),0)*IFERROR(INDEX('D Fleet'!$K$5:$K$36,INT(($B76/K$5))+1)+(($B76/K$5)-INT(($B76/K$5)))*(INDEX('D Fleet'!$K$5:$K$36,INT(($B76/K$5))+2)-INDEX('D Fleet'!$K$5:$K$36,INT(($B76/K$5))+1)),0)</f>
        <v/>
      </c>
      <c r="L76" s="276">
        <f>IFERROR(INDEX('D Fleet'!$D$5:$D$62,MATCH(L$3-$B76,'D Fleet'!$B$5:$B$62,0)),0)*IFERROR(INDEX('D Fleet'!$K$5:$K$36,INT(($B76/L$5))+1)+(($B76/L$5)-INT(($B76/L$5)))*(INDEX('D Fleet'!$K$5:$K$36,INT(($B76/L$5))+2)-INDEX('D Fleet'!$K$5:$K$36,INT(($B76/L$5))+1)),0)</f>
        <v/>
      </c>
      <c r="M76" s="276">
        <f>IFERROR(INDEX('D Fleet'!$D$5:$D$62,MATCH(M$3-$B76,'D Fleet'!$B$5:$B$62,0)),0)*IFERROR(INDEX('D Fleet'!$K$5:$K$36,INT(($B76/M$5))+1)+(($B76/M$5)-INT(($B76/M$5)))*(INDEX('D Fleet'!$K$5:$K$36,INT(($B76/M$5))+2)-INDEX('D Fleet'!$K$5:$K$36,INT(($B76/M$5))+1)),0)</f>
        <v/>
      </c>
      <c r="N76" s="276">
        <f>IFERROR(INDEX('D Fleet'!$D$5:$D$62,MATCH(N$3-$B76,'D Fleet'!$B$5:$B$62,0)),0)*IFERROR(INDEX('D Fleet'!$K$5:$K$36,INT(($B76/N$5))+1)+(($B76/N$5)-INT(($B76/N$5)))*(INDEX('D Fleet'!$K$5:$K$36,INT(($B76/N$5))+2)-INDEX('D Fleet'!$K$5:$K$36,INT(($B76/N$5))+1)),0)</f>
        <v/>
      </c>
      <c r="P76" s="276">
        <f>E76*$D76*'E1 Fleet'!$D$98</f>
        <v/>
      </c>
      <c r="Q76" s="276">
        <f>F76*$D76*'E1 Fleet'!$D$98</f>
        <v/>
      </c>
      <c r="R76" s="276">
        <f>G76*$D76*'E1 Fleet'!$D$98</f>
        <v/>
      </c>
      <c r="S76" s="276">
        <f>H76*$D76*'E1 Fleet'!$D$98</f>
        <v/>
      </c>
      <c r="T76" s="276">
        <f>I76*$D76*'E1 Fleet'!$D$98</f>
        <v/>
      </c>
      <c r="U76" s="276">
        <f>J76*$D76*'E1 Fleet'!$D$98</f>
        <v/>
      </c>
      <c r="V76" s="276">
        <f>K76*$D76*'E1 Fleet'!$D$98</f>
        <v/>
      </c>
      <c r="W76" s="276">
        <f>L76*$D76*'E1 Fleet'!$D$98</f>
        <v/>
      </c>
      <c r="X76" s="276">
        <f>M76*$D76*'E1 Fleet'!$D$98</f>
        <v/>
      </c>
      <c r="Y76" s="276">
        <f>N76*$D76*'E1 Fleet'!$D$98</f>
        <v/>
      </c>
    </row>
    <row r="77">
      <c r="A77" t="inlineStr">
        <is>
          <t>SUV</t>
        </is>
      </c>
      <c r="B77" t="n">
        <v>24</v>
      </c>
      <c r="C77" t="n">
        <v>3</v>
      </c>
      <c r="D77" s="275">
        <f>IF($B77=0,'E1 Fleet'!$D$93,1)*EXP(-'E1 Fleet'!$D$94*MAX($B77-6,0))</f>
        <v/>
      </c>
      <c r="E77" s="276">
        <f>IFERROR(INDEX('D Fleet'!$D$5:$D$62,MATCH(E$3-$B77,'D Fleet'!$B$5:$B$62,0)),0)*IFERROR(INDEX('D Fleet'!$K$5:$K$36,INT(($B77/E$5))+1)+(($B77/E$5)-INT(($B77/E$5)))*(INDEX('D Fleet'!$K$5:$K$36,INT(($B77/E$5))+2)-INDEX('D Fleet'!$K$5:$K$36,INT(($B77/E$5))+1)),0)</f>
        <v/>
      </c>
      <c r="F77" s="276">
        <f>IFERROR(INDEX('D Fleet'!$D$5:$D$62,MATCH(F$3-$B77,'D Fleet'!$B$5:$B$62,0)),0)*IFERROR(INDEX('D Fleet'!$K$5:$K$36,INT(($B77/F$5))+1)+(($B77/F$5)-INT(($B77/F$5)))*(INDEX('D Fleet'!$K$5:$K$36,INT(($B77/F$5))+2)-INDEX('D Fleet'!$K$5:$K$36,INT(($B77/F$5))+1)),0)</f>
        <v/>
      </c>
      <c r="G77" s="276">
        <f>IFERROR(INDEX('D Fleet'!$D$5:$D$62,MATCH(G$3-$B77,'D Fleet'!$B$5:$B$62,0)),0)*IFERROR(INDEX('D Fleet'!$K$5:$K$36,INT(($B77/G$5))+1)+(($B77/G$5)-INT(($B77/G$5)))*(INDEX('D Fleet'!$K$5:$K$36,INT(($B77/G$5))+2)-INDEX('D Fleet'!$K$5:$K$36,INT(($B77/G$5))+1)),0)</f>
        <v/>
      </c>
      <c r="H77" s="276">
        <f>IFERROR(INDEX('D Fleet'!$D$5:$D$62,MATCH(H$3-$B77,'D Fleet'!$B$5:$B$62,0)),0)*IFERROR(INDEX('D Fleet'!$K$5:$K$36,INT(($B77/H$5))+1)+(($B77/H$5)-INT(($B77/H$5)))*(INDEX('D Fleet'!$K$5:$K$36,INT(($B77/H$5))+2)-INDEX('D Fleet'!$K$5:$K$36,INT(($B77/H$5))+1)),0)</f>
        <v/>
      </c>
      <c r="I77" s="276">
        <f>IFERROR(INDEX('D Fleet'!$D$5:$D$62,MATCH(I$3-$B77,'D Fleet'!$B$5:$B$62,0)),0)*IFERROR(INDEX('D Fleet'!$K$5:$K$36,INT(($B77/I$5))+1)+(($B77/I$5)-INT(($B77/I$5)))*(INDEX('D Fleet'!$K$5:$K$36,INT(($B77/I$5))+2)-INDEX('D Fleet'!$K$5:$K$36,INT(($B77/I$5))+1)),0)</f>
        <v/>
      </c>
      <c r="J77" s="276">
        <f>IFERROR(INDEX('D Fleet'!$D$5:$D$62,MATCH(J$3-$B77,'D Fleet'!$B$5:$B$62,0)),0)*IFERROR(INDEX('D Fleet'!$K$5:$K$36,INT(($B77/J$5))+1)+(($B77/J$5)-INT(($B77/J$5)))*(INDEX('D Fleet'!$K$5:$K$36,INT(($B77/J$5))+2)-INDEX('D Fleet'!$K$5:$K$36,INT(($B77/J$5))+1)),0)</f>
        <v/>
      </c>
      <c r="K77" s="276">
        <f>IFERROR(INDEX('D Fleet'!$D$5:$D$62,MATCH(K$3-$B77,'D Fleet'!$B$5:$B$62,0)),0)*IFERROR(INDEX('D Fleet'!$K$5:$K$36,INT(($B77/K$5))+1)+(($B77/K$5)-INT(($B77/K$5)))*(INDEX('D Fleet'!$K$5:$K$36,INT(($B77/K$5))+2)-INDEX('D Fleet'!$K$5:$K$36,INT(($B77/K$5))+1)),0)</f>
        <v/>
      </c>
      <c r="L77" s="276">
        <f>IFERROR(INDEX('D Fleet'!$D$5:$D$62,MATCH(L$3-$B77,'D Fleet'!$B$5:$B$62,0)),0)*IFERROR(INDEX('D Fleet'!$K$5:$K$36,INT(($B77/L$5))+1)+(($B77/L$5)-INT(($B77/L$5)))*(INDEX('D Fleet'!$K$5:$K$36,INT(($B77/L$5))+2)-INDEX('D Fleet'!$K$5:$K$36,INT(($B77/L$5))+1)),0)</f>
        <v/>
      </c>
      <c r="M77" s="276">
        <f>IFERROR(INDEX('D Fleet'!$D$5:$D$62,MATCH(M$3-$B77,'D Fleet'!$B$5:$B$62,0)),0)*IFERROR(INDEX('D Fleet'!$K$5:$K$36,INT(($B77/M$5))+1)+(($B77/M$5)-INT(($B77/M$5)))*(INDEX('D Fleet'!$K$5:$K$36,INT(($B77/M$5))+2)-INDEX('D Fleet'!$K$5:$K$36,INT(($B77/M$5))+1)),0)</f>
        <v/>
      </c>
      <c r="N77" s="276">
        <f>IFERROR(INDEX('D Fleet'!$D$5:$D$62,MATCH(N$3-$B77,'D Fleet'!$B$5:$B$62,0)),0)*IFERROR(INDEX('D Fleet'!$K$5:$K$36,INT(($B77/N$5))+1)+(($B77/N$5)-INT(($B77/N$5)))*(INDEX('D Fleet'!$K$5:$K$36,INT(($B77/N$5))+2)-INDEX('D Fleet'!$K$5:$K$36,INT(($B77/N$5))+1)),0)</f>
        <v/>
      </c>
      <c r="P77" s="276">
        <f>E77*$D77*'E1 Fleet'!$D$98</f>
        <v/>
      </c>
      <c r="Q77" s="276">
        <f>F77*$D77*'E1 Fleet'!$D$98</f>
        <v/>
      </c>
      <c r="R77" s="276">
        <f>G77*$D77*'E1 Fleet'!$D$98</f>
        <v/>
      </c>
      <c r="S77" s="276">
        <f>H77*$D77*'E1 Fleet'!$D$98</f>
        <v/>
      </c>
      <c r="T77" s="276">
        <f>I77*$D77*'E1 Fleet'!$D$98</f>
        <v/>
      </c>
      <c r="U77" s="276">
        <f>J77*$D77*'E1 Fleet'!$D$98</f>
        <v/>
      </c>
      <c r="V77" s="276">
        <f>K77*$D77*'E1 Fleet'!$D$98</f>
        <v/>
      </c>
      <c r="W77" s="276">
        <f>L77*$D77*'E1 Fleet'!$D$98</f>
        <v/>
      </c>
      <c r="X77" s="276">
        <f>M77*$D77*'E1 Fleet'!$D$98</f>
        <v/>
      </c>
      <c r="Y77" s="276">
        <f>N77*$D77*'E1 Fleet'!$D$98</f>
        <v/>
      </c>
    </row>
    <row r="78">
      <c r="A78" t="inlineStr">
        <is>
          <t>SUV</t>
        </is>
      </c>
      <c r="B78" t="n">
        <v>25</v>
      </c>
      <c r="C78" t="n">
        <v>3</v>
      </c>
      <c r="D78" s="275">
        <f>IF($B78=0,'E1 Fleet'!$D$93,1)*EXP(-'E1 Fleet'!$D$94*MAX($B78-6,0))</f>
        <v/>
      </c>
      <c r="E78" s="276">
        <f>IFERROR(INDEX('D Fleet'!$D$5:$D$62,MATCH(E$3-$B78,'D Fleet'!$B$5:$B$62,0)),0)*IFERROR(INDEX('D Fleet'!$K$5:$K$36,INT(($B78/E$5))+1)+(($B78/E$5)-INT(($B78/E$5)))*(INDEX('D Fleet'!$K$5:$K$36,INT(($B78/E$5))+2)-INDEX('D Fleet'!$K$5:$K$36,INT(($B78/E$5))+1)),0)</f>
        <v/>
      </c>
      <c r="F78" s="276">
        <f>IFERROR(INDEX('D Fleet'!$D$5:$D$62,MATCH(F$3-$B78,'D Fleet'!$B$5:$B$62,0)),0)*IFERROR(INDEX('D Fleet'!$K$5:$K$36,INT(($B78/F$5))+1)+(($B78/F$5)-INT(($B78/F$5)))*(INDEX('D Fleet'!$K$5:$K$36,INT(($B78/F$5))+2)-INDEX('D Fleet'!$K$5:$K$36,INT(($B78/F$5))+1)),0)</f>
        <v/>
      </c>
      <c r="G78" s="276">
        <f>IFERROR(INDEX('D Fleet'!$D$5:$D$62,MATCH(G$3-$B78,'D Fleet'!$B$5:$B$62,0)),0)*IFERROR(INDEX('D Fleet'!$K$5:$K$36,INT(($B78/G$5))+1)+(($B78/G$5)-INT(($B78/G$5)))*(INDEX('D Fleet'!$K$5:$K$36,INT(($B78/G$5))+2)-INDEX('D Fleet'!$K$5:$K$36,INT(($B78/G$5))+1)),0)</f>
        <v/>
      </c>
      <c r="H78" s="276">
        <f>IFERROR(INDEX('D Fleet'!$D$5:$D$62,MATCH(H$3-$B78,'D Fleet'!$B$5:$B$62,0)),0)*IFERROR(INDEX('D Fleet'!$K$5:$K$36,INT(($B78/H$5))+1)+(($B78/H$5)-INT(($B78/H$5)))*(INDEX('D Fleet'!$K$5:$K$36,INT(($B78/H$5))+2)-INDEX('D Fleet'!$K$5:$K$36,INT(($B78/H$5))+1)),0)</f>
        <v/>
      </c>
      <c r="I78" s="276">
        <f>IFERROR(INDEX('D Fleet'!$D$5:$D$62,MATCH(I$3-$B78,'D Fleet'!$B$5:$B$62,0)),0)*IFERROR(INDEX('D Fleet'!$K$5:$K$36,INT(($B78/I$5))+1)+(($B78/I$5)-INT(($B78/I$5)))*(INDEX('D Fleet'!$K$5:$K$36,INT(($B78/I$5))+2)-INDEX('D Fleet'!$K$5:$K$36,INT(($B78/I$5))+1)),0)</f>
        <v/>
      </c>
      <c r="J78" s="276">
        <f>IFERROR(INDEX('D Fleet'!$D$5:$D$62,MATCH(J$3-$B78,'D Fleet'!$B$5:$B$62,0)),0)*IFERROR(INDEX('D Fleet'!$K$5:$K$36,INT(($B78/J$5))+1)+(($B78/J$5)-INT(($B78/J$5)))*(INDEX('D Fleet'!$K$5:$K$36,INT(($B78/J$5))+2)-INDEX('D Fleet'!$K$5:$K$36,INT(($B78/J$5))+1)),0)</f>
        <v/>
      </c>
      <c r="K78" s="276">
        <f>IFERROR(INDEX('D Fleet'!$D$5:$D$62,MATCH(K$3-$B78,'D Fleet'!$B$5:$B$62,0)),0)*IFERROR(INDEX('D Fleet'!$K$5:$K$36,INT(($B78/K$5))+1)+(($B78/K$5)-INT(($B78/K$5)))*(INDEX('D Fleet'!$K$5:$K$36,INT(($B78/K$5))+2)-INDEX('D Fleet'!$K$5:$K$36,INT(($B78/K$5))+1)),0)</f>
        <v/>
      </c>
      <c r="L78" s="276">
        <f>IFERROR(INDEX('D Fleet'!$D$5:$D$62,MATCH(L$3-$B78,'D Fleet'!$B$5:$B$62,0)),0)*IFERROR(INDEX('D Fleet'!$K$5:$K$36,INT(($B78/L$5))+1)+(($B78/L$5)-INT(($B78/L$5)))*(INDEX('D Fleet'!$K$5:$K$36,INT(($B78/L$5))+2)-INDEX('D Fleet'!$K$5:$K$36,INT(($B78/L$5))+1)),0)</f>
        <v/>
      </c>
      <c r="M78" s="276">
        <f>IFERROR(INDEX('D Fleet'!$D$5:$D$62,MATCH(M$3-$B78,'D Fleet'!$B$5:$B$62,0)),0)*IFERROR(INDEX('D Fleet'!$K$5:$K$36,INT(($B78/M$5))+1)+(($B78/M$5)-INT(($B78/M$5)))*(INDEX('D Fleet'!$K$5:$K$36,INT(($B78/M$5))+2)-INDEX('D Fleet'!$K$5:$K$36,INT(($B78/M$5))+1)),0)</f>
        <v/>
      </c>
      <c r="N78" s="276">
        <f>IFERROR(INDEX('D Fleet'!$D$5:$D$62,MATCH(N$3-$B78,'D Fleet'!$B$5:$B$62,0)),0)*IFERROR(INDEX('D Fleet'!$K$5:$K$36,INT(($B78/N$5))+1)+(($B78/N$5)-INT(($B78/N$5)))*(INDEX('D Fleet'!$K$5:$K$36,INT(($B78/N$5))+2)-INDEX('D Fleet'!$K$5:$K$36,INT(($B78/N$5))+1)),0)</f>
        <v/>
      </c>
      <c r="P78" s="276">
        <f>E78*$D78*'E1 Fleet'!$D$98</f>
        <v/>
      </c>
      <c r="Q78" s="276">
        <f>F78*$D78*'E1 Fleet'!$D$98</f>
        <v/>
      </c>
      <c r="R78" s="276">
        <f>G78*$D78*'E1 Fleet'!$D$98</f>
        <v/>
      </c>
      <c r="S78" s="276">
        <f>H78*$D78*'E1 Fleet'!$D$98</f>
        <v/>
      </c>
      <c r="T78" s="276">
        <f>I78*$D78*'E1 Fleet'!$D$98</f>
        <v/>
      </c>
      <c r="U78" s="276">
        <f>J78*$D78*'E1 Fleet'!$D$98</f>
        <v/>
      </c>
      <c r="V78" s="276">
        <f>K78*$D78*'E1 Fleet'!$D$98</f>
        <v/>
      </c>
      <c r="W78" s="276">
        <f>L78*$D78*'E1 Fleet'!$D$98</f>
        <v/>
      </c>
      <c r="X78" s="276">
        <f>M78*$D78*'E1 Fleet'!$D$98</f>
        <v/>
      </c>
      <c r="Y78" s="276">
        <f>N78*$D78*'E1 Fleet'!$D$98</f>
        <v/>
      </c>
    </row>
    <row r="79">
      <c r="A79" t="inlineStr">
        <is>
          <t>SUV</t>
        </is>
      </c>
      <c r="B79" t="n">
        <v>26</v>
      </c>
      <c r="C79" t="n">
        <v>3</v>
      </c>
      <c r="D79" s="275">
        <f>IF($B79=0,'E1 Fleet'!$D$93,1)*EXP(-'E1 Fleet'!$D$94*MAX($B79-6,0))</f>
        <v/>
      </c>
      <c r="E79" s="276">
        <f>IFERROR(INDEX('D Fleet'!$D$5:$D$62,MATCH(E$3-$B79,'D Fleet'!$B$5:$B$62,0)),0)*IFERROR(INDEX('D Fleet'!$K$5:$K$36,INT(($B79/E$5))+1)+(($B79/E$5)-INT(($B79/E$5)))*(INDEX('D Fleet'!$K$5:$K$36,INT(($B79/E$5))+2)-INDEX('D Fleet'!$K$5:$K$36,INT(($B79/E$5))+1)),0)</f>
        <v/>
      </c>
      <c r="F79" s="276">
        <f>IFERROR(INDEX('D Fleet'!$D$5:$D$62,MATCH(F$3-$B79,'D Fleet'!$B$5:$B$62,0)),0)*IFERROR(INDEX('D Fleet'!$K$5:$K$36,INT(($B79/F$5))+1)+(($B79/F$5)-INT(($B79/F$5)))*(INDEX('D Fleet'!$K$5:$K$36,INT(($B79/F$5))+2)-INDEX('D Fleet'!$K$5:$K$36,INT(($B79/F$5))+1)),0)</f>
        <v/>
      </c>
      <c r="G79" s="276">
        <f>IFERROR(INDEX('D Fleet'!$D$5:$D$62,MATCH(G$3-$B79,'D Fleet'!$B$5:$B$62,0)),0)*IFERROR(INDEX('D Fleet'!$K$5:$K$36,INT(($B79/G$5))+1)+(($B79/G$5)-INT(($B79/G$5)))*(INDEX('D Fleet'!$K$5:$K$36,INT(($B79/G$5))+2)-INDEX('D Fleet'!$K$5:$K$36,INT(($B79/G$5))+1)),0)</f>
        <v/>
      </c>
      <c r="H79" s="276">
        <f>IFERROR(INDEX('D Fleet'!$D$5:$D$62,MATCH(H$3-$B79,'D Fleet'!$B$5:$B$62,0)),0)*IFERROR(INDEX('D Fleet'!$K$5:$K$36,INT(($B79/H$5))+1)+(($B79/H$5)-INT(($B79/H$5)))*(INDEX('D Fleet'!$K$5:$K$36,INT(($B79/H$5))+2)-INDEX('D Fleet'!$K$5:$K$36,INT(($B79/H$5))+1)),0)</f>
        <v/>
      </c>
      <c r="I79" s="276">
        <f>IFERROR(INDEX('D Fleet'!$D$5:$D$62,MATCH(I$3-$B79,'D Fleet'!$B$5:$B$62,0)),0)*IFERROR(INDEX('D Fleet'!$K$5:$K$36,INT(($B79/I$5))+1)+(($B79/I$5)-INT(($B79/I$5)))*(INDEX('D Fleet'!$K$5:$K$36,INT(($B79/I$5))+2)-INDEX('D Fleet'!$K$5:$K$36,INT(($B79/I$5))+1)),0)</f>
        <v/>
      </c>
      <c r="J79" s="276">
        <f>IFERROR(INDEX('D Fleet'!$D$5:$D$62,MATCH(J$3-$B79,'D Fleet'!$B$5:$B$62,0)),0)*IFERROR(INDEX('D Fleet'!$K$5:$K$36,INT(($B79/J$5))+1)+(($B79/J$5)-INT(($B79/J$5)))*(INDEX('D Fleet'!$K$5:$K$36,INT(($B79/J$5))+2)-INDEX('D Fleet'!$K$5:$K$36,INT(($B79/J$5))+1)),0)</f>
        <v/>
      </c>
      <c r="K79" s="276">
        <f>IFERROR(INDEX('D Fleet'!$D$5:$D$62,MATCH(K$3-$B79,'D Fleet'!$B$5:$B$62,0)),0)*IFERROR(INDEX('D Fleet'!$K$5:$K$36,INT(($B79/K$5))+1)+(($B79/K$5)-INT(($B79/K$5)))*(INDEX('D Fleet'!$K$5:$K$36,INT(($B79/K$5))+2)-INDEX('D Fleet'!$K$5:$K$36,INT(($B79/K$5))+1)),0)</f>
        <v/>
      </c>
      <c r="L79" s="276">
        <f>IFERROR(INDEX('D Fleet'!$D$5:$D$62,MATCH(L$3-$B79,'D Fleet'!$B$5:$B$62,0)),0)*IFERROR(INDEX('D Fleet'!$K$5:$K$36,INT(($B79/L$5))+1)+(($B79/L$5)-INT(($B79/L$5)))*(INDEX('D Fleet'!$K$5:$K$36,INT(($B79/L$5))+2)-INDEX('D Fleet'!$K$5:$K$36,INT(($B79/L$5))+1)),0)</f>
        <v/>
      </c>
      <c r="M79" s="276">
        <f>IFERROR(INDEX('D Fleet'!$D$5:$D$62,MATCH(M$3-$B79,'D Fleet'!$B$5:$B$62,0)),0)*IFERROR(INDEX('D Fleet'!$K$5:$K$36,INT(($B79/M$5))+1)+(($B79/M$5)-INT(($B79/M$5)))*(INDEX('D Fleet'!$K$5:$K$36,INT(($B79/M$5))+2)-INDEX('D Fleet'!$K$5:$K$36,INT(($B79/M$5))+1)),0)</f>
        <v/>
      </c>
      <c r="N79" s="276">
        <f>IFERROR(INDEX('D Fleet'!$D$5:$D$62,MATCH(N$3-$B79,'D Fleet'!$B$5:$B$62,0)),0)*IFERROR(INDEX('D Fleet'!$K$5:$K$36,INT(($B79/N$5))+1)+(($B79/N$5)-INT(($B79/N$5)))*(INDEX('D Fleet'!$K$5:$K$36,INT(($B79/N$5))+2)-INDEX('D Fleet'!$K$5:$K$36,INT(($B79/N$5))+1)),0)</f>
        <v/>
      </c>
      <c r="P79" s="276">
        <f>E79*$D79*'E1 Fleet'!$D$98</f>
        <v/>
      </c>
      <c r="Q79" s="276">
        <f>F79*$D79*'E1 Fleet'!$D$98</f>
        <v/>
      </c>
      <c r="R79" s="276">
        <f>G79*$D79*'E1 Fleet'!$D$98</f>
        <v/>
      </c>
      <c r="S79" s="276">
        <f>H79*$D79*'E1 Fleet'!$D$98</f>
        <v/>
      </c>
      <c r="T79" s="276">
        <f>I79*$D79*'E1 Fleet'!$D$98</f>
        <v/>
      </c>
      <c r="U79" s="276">
        <f>J79*$D79*'E1 Fleet'!$D$98</f>
        <v/>
      </c>
      <c r="V79" s="276">
        <f>K79*$D79*'E1 Fleet'!$D$98</f>
        <v/>
      </c>
      <c r="W79" s="276">
        <f>L79*$D79*'E1 Fleet'!$D$98</f>
        <v/>
      </c>
      <c r="X79" s="276">
        <f>M79*$D79*'E1 Fleet'!$D$98</f>
        <v/>
      </c>
      <c r="Y79" s="276">
        <f>N79*$D79*'E1 Fleet'!$D$98</f>
        <v/>
      </c>
    </row>
    <row r="80">
      <c r="A80" t="inlineStr">
        <is>
          <t>SUV</t>
        </is>
      </c>
      <c r="B80" t="n">
        <v>27</v>
      </c>
      <c r="C80" t="n">
        <v>3</v>
      </c>
      <c r="D80" s="275">
        <f>IF($B80=0,'E1 Fleet'!$D$93,1)*EXP(-'E1 Fleet'!$D$94*MAX($B80-6,0))</f>
        <v/>
      </c>
      <c r="E80" s="276">
        <f>IFERROR(INDEX('D Fleet'!$D$5:$D$62,MATCH(E$3-$B80,'D Fleet'!$B$5:$B$62,0)),0)*IFERROR(INDEX('D Fleet'!$K$5:$K$36,INT(($B80/E$5))+1)+(($B80/E$5)-INT(($B80/E$5)))*(INDEX('D Fleet'!$K$5:$K$36,INT(($B80/E$5))+2)-INDEX('D Fleet'!$K$5:$K$36,INT(($B80/E$5))+1)),0)</f>
        <v/>
      </c>
      <c r="F80" s="276">
        <f>IFERROR(INDEX('D Fleet'!$D$5:$D$62,MATCH(F$3-$B80,'D Fleet'!$B$5:$B$62,0)),0)*IFERROR(INDEX('D Fleet'!$K$5:$K$36,INT(($B80/F$5))+1)+(($B80/F$5)-INT(($B80/F$5)))*(INDEX('D Fleet'!$K$5:$K$36,INT(($B80/F$5))+2)-INDEX('D Fleet'!$K$5:$K$36,INT(($B80/F$5))+1)),0)</f>
        <v/>
      </c>
      <c r="G80" s="276">
        <f>IFERROR(INDEX('D Fleet'!$D$5:$D$62,MATCH(G$3-$B80,'D Fleet'!$B$5:$B$62,0)),0)*IFERROR(INDEX('D Fleet'!$K$5:$K$36,INT(($B80/G$5))+1)+(($B80/G$5)-INT(($B80/G$5)))*(INDEX('D Fleet'!$K$5:$K$36,INT(($B80/G$5))+2)-INDEX('D Fleet'!$K$5:$K$36,INT(($B80/G$5))+1)),0)</f>
        <v/>
      </c>
      <c r="H80" s="276">
        <f>IFERROR(INDEX('D Fleet'!$D$5:$D$62,MATCH(H$3-$B80,'D Fleet'!$B$5:$B$62,0)),0)*IFERROR(INDEX('D Fleet'!$K$5:$K$36,INT(($B80/H$5))+1)+(($B80/H$5)-INT(($B80/H$5)))*(INDEX('D Fleet'!$K$5:$K$36,INT(($B80/H$5))+2)-INDEX('D Fleet'!$K$5:$K$36,INT(($B80/H$5))+1)),0)</f>
        <v/>
      </c>
      <c r="I80" s="276">
        <f>IFERROR(INDEX('D Fleet'!$D$5:$D$62,MATCH(I$3-$B80,'D Fleet'!$B$5:$B$62,0)),0)*IFERROR(INDEX('D Fleet'!$K$5:$K$36,INT(($B80/I$5))+1)+(($B80/I$5)-INT(($B80/I$5)))*(INDEX('D Fleet'!$K$5:$K$36,INT(($B80/I$5))+2)-INDEX('D Fleet'!$K$5:$K$36,INT(($B80/I$5))+1)),0)</f>
        <v/>
      </c>
      <c r="J80" s="276">
        <f>IFERROR(INDEX('D Fleet'!$D$5:$D$62,MATCH(J$3-$B80,'D Fleet'!$B$5:$B$62,0)),0)*IFERROR(INDEX('D Fleet'!$K$5:$K$36,INT(($B80/J$5))+1)+(($B80/J$5)-INT(($B80/J$5)))*(INDEX('D Fleet'!$K$5:$K$36,INT(($B80/J$5))+2)-INDEX('D Fleet'!$K$5:$K$36,INT(($B80/J$5))+1)),0)</f>
        <v/>
      </c>
      <c r="K80" s="276">
        <f>IFERROR(INDEX('D Fleet'!$D$5:$D$62,MATCH(K$3-$B80,'D Fleet'!$B$5:$B$62,0)),0)*IFERROR(INDEX('D Fleet'!$K$5:$K$36,INT(($B80/K$5))+1)+(($B80/K$5)-INT(($B80/K$5)))*(INDEX('D Fleet'!$K$5:$K$36,INT(($B80/K$5))+2)-INDEX('D Fleet'!$K$5:$K$36,INT(($B80/K$5))+1)),0)</f>
        <v/>
      </c>
      <c r="L80" s="276">
        <f>IFERROR(INDEX('D Fleet'!$D$5:$D$62,MATCH(L$3-$B80,'D Fleet'!$B$5:$B$62,0)),0)*IFERROR(INDEX('D Fleet'!$K$5:$K$36,INT(($B80/L$5))+1)+(($B80/L$5)-INT(($B80/L$5)))*(INDEX('D Fleet'!$K$5:$K$36,INT(($B80/L$5))+2)-INDEX('D Fleet'!$K$5:$K$36,INT(($B80/L$5))+1)),0)</f>
        <v/>
      </c>
      <c r="M80" s="276">
        <f>IFERROR(INDEX('D Fleet'!$D$5:$D$62,MATCH(M$3-$B80,'D Fleet'!$B$5:$B$62,0)),0)*IFERROR(INDEX('D Fleet'!$K$5:$K$36,INT(($B80/M$5))+1)+(($B80/M$5)-INT(($B80/M$5)))*(INDEX('D Fleet'!$K$5:$K$36,INT(($B80/M$5))+2)-INDEX('D Fleet'!$K$5:$K$36,INT(($B80/M$5))+1)),0)</f>
        <v/>
      </c>
      <c r="N80" s="276">
        <f>IFERROR(INDEX('D Fleet'!$D$5:$D$62,MATCH(N$3-$B80,'D Fleet'!$B$5:$B$62,0)),0)*IFERROR(INDEX('D Fleet'!$K$5:$K$36,INT(($B80/N$5))+1)+(($B80/N$5)-INT(($B80/N$5)))*(INDEX('D Fleet'!$K$5:$K$36,INT(($B80/N$5))+2)-INDEX('D Fleet'!$K$5:$K$36,INT(($B80/N$5))+1)),0)</f>
        <v/>
      </c>
      <c r="P80" s="276">
        <f>E80*$D80*'E1 Fleet'!$D$98</f>
        <v/>
      </c>
      <c r="Q80" s="276">
        <f>F80*$D80*'E1 Fleet'!$D$98</f>
        <v/>
      </c>
      <c r="R80" s="276">
        <f>G80*$D80*'E1 Fleet'!$D$98</f>
        <v/>
      </c>
      <c r="S80" s="276">
        <f>H80*$D80*'E1 Fleet'!$D$98</f>
        <v/>
      </c>
      <c r="T80" s="276">
        <f>I80*$D80*'E1 Fleet'!$D$98</f>
        <v/>
      </c>
      <c r="U80" s="276">
        <f>J80*$D80*'E1 Fleet'!$D$98</f>
        <v/>
      </c>
      <c r="V80" s="276">
        <f>K80*$D80*'E1 Fleet'!$D$98</f>
        <v/>
      </c>
      <c r="W80" s="276">
        <f>L80*$D80*'E1 Fleet'!$D$98</f>
        <v/>
      </c>
      <c r="X80" s="276">
        <f>M80*$D80*'E1 Fleet'!$D$98</f>
        <v/>
      </c>
      <c r="Y80" s="276">
        <f>N80*$D80*'E1 Fleet'!$D$98</f>
        <v/>
      </c>
    </row>
    <row r="81">
      <c r="A81" t="inlineStr">
        <is>
          <t>SUV</t>
        </is>
      </c>
      <c r="B81" t="n">
        <v>28</v>
      </c>
      <c r="C81" t="n">
        <v>3</v>
      </c>
      <c r="D81" s="275">
        <f>IF($B81=0,'E1 Fleet'!$D$93,1)*EXP(-'E1 Fleet'!$D$94*MAX($B81-6,0))</f>
        <v/>
      </c>
      <c r="E81" s="276">
        <f>IFERROR(INDEX('D Fleet'!$D$5:$D$62,MATCH(E$3-$B81,'D Fleet'!$B$5:$B$62,0)),0)*IFERROR(INDEX('D Fleet'!$K$5:$K$36,INT(($B81/E$5))+1)+(($B81/E$5)-INT(($B81/E$5)))*(INDEX('D Fleet'!$K$5:$K$36,INT(($B81/E$5))+2)-INDEX('D Fleet'!$K$5:$K$36,INT(($B81/E$5))+1)),0)</f>
        <v/>
      </c>
      <c r="F81" s="276">
        <f>IFERROR(INDEX('D Fleet'!$D$5:$D$62,MATCH(F$3-$B81,'D Fleet'!$B$5:$B$62,0)),0)*IFERROR(INDEX('D Fleet'!$K$5:$K$36,INT(($B81/F$5))+1)+(($B81/F$5)-INT(($B81/F$5)))*(INDEX('D Fleet'!$K$5:$K$36,INT(($B81/F$5))+2)-INDEX('D Fleet'!$K$5:$K$36,INT(($B81/F$5))+1)),0)</f>
        <v/>
      </c>
      <c r="G81" s="276">
        <f>IFERROR(INDEX('D Fleet'!$D$5:$D$62,MATCH(G$3-$B81,'D Fleet'!$B$5:$B$62,0)),0)*IFERROR(INDEX('D Fleet'!$K$5:$K$36,INT(($B81/G$5))+1)+(($B81/G$5)-INT(($B81/G$5)))*(INDEX('D Fleet'!$K$5:$K$36,INT(($B81/G$5))+2)-INDEX('D Fleet'!$K$5:$K$36,INT(($B81/G$5))+1)),0)</f>
        <v/>
      </c>
      <c r="H81" s="276">
        <f>IFERROR(INDEX('D Fleet'!$D$5:$D$62,MATCH(H$3-$B81,'D Fleet'!$B$5:$B$62,0)),0)*IFERROR(INDEX('D Fleet'!$K$5:$K$36,INT(($B81/H$5))+1)+(($B81/H$5)-INT(($B81/H$5)))*(INDEX('D Fleet'!$K$5:$K$36,INT(($B81/H$5))+2)-INDEX('D Fleet'!$K$5:$K$36,INT(($B81/H$5))+1)),0)</f>
        <v/>
      </c>
      <c r="I81" s="276">
        <f>IFERROR(INDEX('D Fleet'!$D$5:$D$62,MATCH(I$3-$B81,'D Fleet'!$B$5:$B$62,0)),0)*IFERROR(INDEX('D Fleet'!$K$5:$K$36,INT(($B81/I$5))+1)+(($B81/I$5)-INT(($B81/I$5)))*(INDEX('D Fleet'!$K$5:$K$36,INT(($B81/I$5))+2)-INDEX('D Fleet'!$K$5:$K$36,INT(($B81/I$5))+1)),0)</f>
        <v/>
      </c>
      <c r="J81" s="276">
        <f>IFERROR(INDEX('D Fleet'!$D$5:$D$62,MATCH(J$3-$B81,'D Fleet'!$B$5:$B$62,0)),0)*IFERROR(INDEX('D Fleet'!$K$5:$K$36,INT(($B81/J$5))+1)+(($B81/J$5)-INT(($B81/J$5)))*(INDEX('D Fleet'!$K$5:$K$36,INT(($B81/J$5))+2)-INDEX('D Fleet'!$K$5:$K$36,INT(($B81/J$5))+1)),0)</f>
        <v/>
      </c>
      <c r="K81" s="276">
        <f>IFERROR(INDEX('D Fleet'!$D$5:$D$62,MATCH(K$3-$B81,'D Fleet'!$B$5:$B$62,0)),0)*IFERROR(INDEX('D Fleet'!$K$5:$K$36,INT(($B81/K$5))+1)+(($B81/K$5)-INT(($B81/K$5)))*(INDEX('D Fleet'!$K$5:$K$36,INT(($B81/K$5))+2)-INDEX('D Fleet'!$K$5:$K$36,INT(($B81/K$5))+1)),0)</f>
        <v/>
      </c>
      <c r="L81" s="276">
        <f>IFERROR(INDEX('D Fleet'!$D$5:$D$62,MATCH(L$3-$B81,'D Fleet'!$B$5:$B$62,0)),0)*IFERROR(INDEX('D Fleet'!$K$5:$K$36,INT(($B81/L$5))+1)+(($B81/L$5)-INT(($B81/L$5)))*(INDEX('D Fleet'!$K$5:$K$36,INT(($B81/L$5))+2)-INDEX('D Fleet'!$K$5:$K$36,INT(($B81/L$5))+1)),0)</f>
        <v/>
      </c>
      <c r="M81" s="276">
        <f>IFERROR(INDEX('D Fleet'!$D$5:$D$62,MATCH(M$3-$B81,'D Fleet'!$B$5:$B$62,0)),0)*IFERROR(INDEX('D Fleet'!$K$5:$K$36,INT(($B81/M$5))+1)+(($B81/M$5)-INT(($B81/M$5)))*(INDEX('D Fleet'!$K$5:$K$36,INT(($B81/M$5))+2)-INDEX('D Fleet'!$K$5:$K$36,INT(($B81/M$5))+1)),0)</f>
        <v/>
      </c>
      <c r="N81" s="276">
        <f>IFERROR(INDEX('D Fleet'!$D$5:$D$62,MATCH(N$3-$B81,'D Fleet'!$B$5:$B$62,0)),0)*IFERROR(INDEX('D Fleet'!$K$5:$K$36,INT(($B81/N$5))+1)+(($B81/N$5)-INT(($B81/N$5)))*(INDEX('D Fleet'!$K$5:$K$36,INT(($B81/N$5))+2)-INDEX('D Fleet'!$K$5:$K$36,INT(($B81/N$5))+1)),0)</f>
        <v/>
      </c>
      <c r="P81" s="276">
        <f>E81*$D81*'E1 Fleet'!$D$98</f>
        <v/>
      </c>
      <c r="Q81" s="276">
        <f>F81*$D81*'E1 Fleet'!$D$98</f>
        <v/>
      </c>
      <c r="R81" s="276">
        <f>G81*$D81*'E1 Fleet'!$D$98</f>
        <v/>
      </c>
      <c r="S81" s="276">
        <f>H81*$D81*'E1 Fleet'!$D$98</f>
        <v/>
      </c>
      <c r="T81" s="276">
        <f>I81*$D81*'E1 Fleet'!$D$98</f>
        <v/>
      </c>
      <c r="U81" s="276">
        <f>J81*$D81*'E1 Fleet'!$D$98</f>
        <v/>
      </c>
      <c r="V81" s="276">
        <f>K81*$D81*'E1 Fleet'!$D$98</f>
        <v/>
      </c>
      <c r="W81" s="276">
        <f>L81*$D81*'E1 Fleet'!$D$98</f>
        <v/>
      </c>
      <c r="X81" s="276">
        <f>M81*$D81*'E1 Fleet'!$D$98</f>
        <v/>
      </c>
      <c r="Y81" s="276">
        <f>N81*$D81*'E1 Fleet'!$D$98</f>
        <v/>
      </c>
    </row>
    <row r="82">
      <c r="A82" t="inlineStr">
        <is>
          <t>SUV</t>
        </is>
      </c>
      <c r="B82" t="n">
        <v>29</v>
      </c>
      <c r="C82" t="n">
        <v>3</v>
      </c>
      <c r="D82" s="275">
        <f>IF($B82=0,'E1 Fleet'!$D$93,1)*EXP(-'E1 Fleet'!$D$94*MAX($B82-6,0))</f>
        <v/>
      </c>
      <c r="E82" s="276">
        <f>IFERROR(INDEX('D Fleet'!$D$5:$D$62,MATCH(E$3-$B82,'D Fleet'!$B$5:$B$62,0)),0)*IFERROR(INDEX('D Fleet'!$K$5:$K$36,INT(($B82/E$5))+1)+(($B82/E$5)-INT(($B82/E$5)))*(INDEX('D Fleet'!$K$5:$K$36,INT(($B82/E$5))+2)-INDEX('D Fleet'!$K$5:$K$36,INT(($B82/E$5))+1)),0)</f>
        <v/>
      </c>
      <c r="F82" s="276">
        <f>IFERROR(INDEX('D Fleet'!$D$5:$D$62,MATCH(F$3-$B82,'D Fleet'!$B$5:$B$62,0)),0)*IFERROR(INDEX('D Fleet'!$K$5:$K$36,INT(($B82/F$5))+1)+(($B82/F$5)-INT(($B82/F$5)))*(INDEX('D Fleet'!$K$5:$K$36,INT(($B82/F$5))+2)-INDEX('D Fleet'!$K$5:$K$36,INT(($B82/F$5))+1)),0)</f>
        <v/>
      </c>
      <c r="G82" s="276">
        <f>IFERROR(INDEX('D Fleet'!$D$5:$D$62,MATCH(G$3-$B82,'D Fleet'!$B$5:$B$62,0)),0)*IFERROR(INDEX('D Fleet'!$K$5:$K$36,INT(($B82/G$5))+1)+(($B82/G$5)-INT(($B82/G$5)))*(INDEX('D Fleet'!$K$5:$K$36,INT(($B82/G$5))+2)-INDEX('D Fleet'!$K$5:$K$36,INT(($B82/G$5))+1)),0)</f>
        <v/>
      </c>
      <c r="H82" s="276">
        <f>IFERROR(INDEX('D Fleet'!$D$5:$D$62,MATCH(H$3-$B82,'D Fleet'!$B$5:$B$62,0)),0)*IFERROR(INDEX('D Fleet'!$K$5:$K$36,INT(($B82/H$5))+1)+(($B82/H$5)-INT(($B82/H$5)))*(INDEX('D Fleet'!$K$5:$K$36,INT(($B82/H$5))+2)-INDEX('D Fleet'!$K$5:$K$36,INT(($B82/H$5))+1)),0)</f>
        <v/>
      </c>
      <c r="I82" s="276">
        <f>IFERROR(INDEX('D Fleet'!$D$5:$D$62,MATCH(I$3-$B82,'D Fleet'!$B$5:$B$62,0)),0)*IFERROR(INDEX('D Fleet'!$K$5:$K$36,INT(($B82/I$5))+1)+(($B82/I$5)-INT(($B82/I$5)))*(INDEX('D Fleet'!$K$5:$K$36,INT(($B82/I$5))+2)-INDEX('D Fleet'!$K$5:$K$36,INT(($B82/I$5))+1)),0)</f>
        <v/>
      </c>
      <c r="J82" s="276">
        <f>IFERROR(INDEX('D Fleet'!$D$5:$D$62,MATCH(J$3-$B82,'D Fleet'!$B$5:$B$62,0)),0)*IFERROR(INDEX('D Fleet'!$K$5:$K$36,INT(($B82/J$5))+1)+(($B82/J$5)-INT(($B82/J$5)))*(INDEX('D Fleet'!$K$5:$K$36,INT(($B82/J$5))+2)-INDEX('D Fleet'!$K$5:$K$36,INT(($B82/J$5))+1)),0)</f>
        <v/>
      </c>
      <c r="K82" s="276">
        <f>IFERROR(INDEX('D Fleet'!$D$5:$D$62,MATCH(K$3-$B82,'D Fleet'!$B$5:$B$62,0)),0)*IFERROR(INDEX('D Fleet'!$K$5:$K$36,INT(($B82/K$5))+1)+(($B82/K$5)-INT(($B82/K$5)))*(INDEX('D Fleet'!$K$5:$K$36,INT(($B82/K$5))+2)-INDEX('D Fleet'!$K$5:$K$36,INT(($B82/K$5))+1)),0)</f>
        <v/>
      </c>
      <c r="L82" s="276">
        <f>IFERROR(INDEX('D Fleet'!$D$5:$D$62,MATCH(L$3-$B82,'D Fleet'!$B$5:$B$62,0)),0)*IFERROR(INDEX('D Fleet'!$K$5:$K$36,INT(($B82/L$5))+1)+(($B82/L$5)-INT(($B82/L$5)))*(INDEX('D Fleet'!$K$5:$K$36,INT(($B82/L$5))+2)-INDEX('D Fleet'!$K$5:$K$36,INT(($B82/L$5))+1)),0)</f>
        <v/>
      </c>
      <c r="M82" s="276">
        <f>IFERROR(INDEX('D Fleet'!$D$5:$D$62,MATCH(M$3-$B82,'D Fleet'!$B$5:$B$62,0)),0)*IFERROR(INDEX('D Fleet'!$K$5:$K$36,INT(($B82/M$5))+1)+(($B82/M$5)-INT(($B82/M$5)))*(INDEX('D Fleet'!$K$5:$K$36,INT(($B82/M$5))+2)-INDEX('D Fleet'!$K$5:$K$36,INT(($B82/M$5))+1)),0)</f>
        <v/>
      </c>
      <c r="N82" s="276">
        <f>IFERROR(INDEX('D Fleet'!$D$5:$D$62,MATCH(N$3-$B82,'D Fleet'!$B$5:$B$62,0)),0)*IFERROR(INDEX('D Fleet'!$K$5:$K$36,INT(($B82/N$5))+1)+(($B82/N$5)-INT(($B82/N$5)))*(INDEX('D Fleet'!$K$5:$K$36,INT(($B82/N$5))+2)-INDEX('D Fleet'!$K$5:$K$36,INT(($B82/N$5))+1)),0)</f>
        <v/>
      </c>
      <c r="P82" s="276">
        <f>E82*$D82*'E1 Fleet'!$D$98</f>
        <v/>
      </c>
      <c r="Q82" s="276">
        <f>F82*$D82*'E1 Fleet'!$D$98</f>
        <v/>
      </c>
      <c r="R82" s="276">
        <f>G82*$D82*'E1 Fleet'!$D$98</f>
        <v/>
      </c>
      <c r="S82" s="276">
        <f>H82*$D82*'E1 Fleet'!$D$98</f>
        <v/>
      </c>
      <c r="T82" s="276">
        <f>I82*$D82*'E1 Fleet'!$D$98</f>
        <v/>
      </c>
      <c r="U82" s="276">
        <f>J82*$D82*'E1 Fleet'!$D$98</f>
        <v/>
      </c>
      <c r="V82" s="276">
        <f>K82*$D82*'E1 Fleet'!$D$98</f>
        <v/>
      </c>
      <c r="W82" s="276">
        <f>L82*$D82*'E1 Fleet'!$D$98</f>
        <v/>
      </c>
      <c r="X82" s="276">
        <f>M82*$D82*'E1 Fleet'!$D$98</f>
        <v/>
      </c>
      <c r="Y82" s="276">
        <f>N82*$D82*'E1 Fleet'!$D$98</f>
        <v/>
      </c>
    </row>
    <row r="83">
      <c r="A83" t="inlineStr">
        <is>
          <t>SUV</t>
        </is>
      </c>
      <c r="B83" t="n">
        <v>30</v>
      </c>
      <c r="C83" t="n">
        <v>3</v>
      </c>
      <c r="D83" s="275">
        <f>IF($B83=0,'E1 Fleet'!$D$93,1)*EXP(-'E1 Fleet'!$D$94*MAX($B83-6,0))</f>
        <v/>
      </c>
      <c r="E83" s="276">
        <f>IFERROR(INDEX('D Fleet'!$D$5:$D$62,MATCH(E$3-$B83,'D Fleet'!$B$5:$B$62,0)),0)*IFERROR(INDEX('D Fleet'!$K$5:$K$36,INT(($B83/E$5))+1)+(($B83/E$5)-INT(($B83/E$5)))*(INDEX('D Fleet'!$K$5:$K$36,INT(($B83/E$5))+2)-INDEX('D Fleet'!$K$5:$K$36,INT(($B83/E$5))+1)),0)</f>
        <v/>
      </c>
      <c r="F83" s="276">
        <f>IFERROR(INDEX('D Fleet'!$D$5:$D$62,MATCH(F$3-$B83,'D Fleet'!$B$5:$B$62,0)),0)*IFERROR(INDEX('D Fleet'!$K$5:$K$36,INT(($B83/F$5))+1)+(($B83/F$5)-INT(($B83/F$5)))*(INDEX('D Fleet'!$K$5:$K$36,INT(($B83/F$5))+2)-INDEX('D Fleet'!$K$5:$K$36,INT(($B83/F$5))+1)),0)</f>
        <v/>
      </c>
      <c r="G83" s="276">
        <f>IFERROR(INDEX('D Fleet'!$D$5:$D$62,MATCH(G$3-$B83,'D Fleet'!$B$5:$B$62,0)),0)*IFERROR(INDEX('D Fleet'!$K$5:$K$36,INT(($B83/G$5))+1)+(($B83/G$5)-INT(($B83/G$5)))*(INDEX('D Fleet'!$K$5:$K$36,INT(($B83/G$5))+2)-INDEX('D Fleet'!$K$5:$K$36,INT(($B83/G$5))+1)),0)</f>
        <v/>
      </c>
      <c r="H83" s="276">
        <f>IFERROR(INDEX('D Fleet'!$D$5:$D$62,MATCH(H$3-$B83,'D Fleet'!$B$5:$B$62,0)),0)*IFERROR(INDEX('D Fleet'!$K$5:$K$36,INT(($B83/H$5))+1)+(($B83/H$5)-INT(($B83/H$5)))*(INDEX('D Fleet'!$K$5:$K$36,INT(($B83/H$5))+2)-INDEX('D Fleet'!$K$5:$K$36,INT(($B83/H$5))+1)),0)</f>
        <v/>
      </c>
      <c r="I83" s="276">
        <f>IFERROR(INDEX('D Fleet'!$D$5:$D$62,MATCH(I$3-$B83,'D Fleet'!$B$5:$B$62,0)),0)*IFERROR(INDEX('D Fleet'!$K$5:$K$36,INT(($B83/I$5))+1)+(($B83/I$5)-INT(($B83/I$5)))*(INDEX('D Fleet'!$K$5:$K$36,INT(($B83/I$5))+2)-INDEX('D Fleet'!$K$5:$K$36,INT(($B83/I$5))+1)),0)</f>
        <v/>
      </c>
      <c r="J83" s="276">
        <f>IFERROR(INDEX('D Fleet'!$D$5:$D$62,MATCH(J$3-$B83,'D Fleet'!$B$5:$B$62,0)),0)*IFERROR(INDEX('D Fleet'!$K$5:$K$36,INT(($B83/J$5))+1)+(($B83/J$5)-INT(($B83/J$5)))*(INDEX('D Fleet'!$K$5:$K$36,INT(($B83/J$5))+2)-INDEX('D Fleet'!$K$5:$K$36,INT(($B83/J$5))+1)),0)</f>
        <v/>
      </c>
      <c r="K83" s="276">
        <f>IFERROR(INDEX('D Fleet'!$D$5:$D$62,MATCH(K$3-$B83,'D Fleet'!$B$5:$B$62,0)),0)*IFERROR(INDEX('D Fleet'!$K$5:$K$36,INT(($B83/K$5))+1)+(($B83/K$5)-INT(($B83/K$5)))*(INDEX('D Fleet'!$K$5:$K$36,INT(($B83/K$5))+2)-INDEX('D Fleet'!$K$5:$K$36,INT(($B83/K$5))+1)),0)</f>
        <v/>
      </c>
      <c r="L83" s="276">
        <f>IFERROR(INDEX('D Fleet'!$D$5:$D$62,MATCH(L$3-$B83,'D Fleet'!$B$5:$B$62,0)),0)*IFERROR(INDEX('D Fleet'!$K$5:$K$36,INT(($B83/L$5))+1)+(($B83/L$5)-INT(($B83/L$5)))*(INDEX('D Fleet'!$K$5:$K$36,INT(($B83/L$5))+2)-INDEX('D Fleet'!$K$5:$K$36,INT(($B83/L$5))+1)),0)</f>
        <v/>
      </c>
      <c r="M83" s="276">
        <f>IFERROR(INDEX('D Fleet'!$D$5:$D$62,MATCH(M$3-$B83,'D Fleet'!$B$5:$B$62,0)),0)*IFERROR(INDEX('D Fleet'!$K$5:$K$36,INT(($B83/M$5))+1)+(($B83/M$5)-INT(($B83/M$5)))*(INDEX('D Fleet'!$K$5:$K$36,INT(($B83/M$5))+2)-INDEX('D Fleet'!$K$5:$K$36,INT(($B83/M$5))+1)),0)</f>
        <v/>
      </c>
      <c r="N83" s="276">
        <f>IFERROR(INDEX('D Fleet'!$D$5:$D$62,MATCH(N$3-$B83,'D Fleet'!$B$5:$B$62,0)),0)*IFERROR(INDEX('D Fleet'!$K$5:$K$36,INT(($B83/N$5))+1)+(($B83/N$5)-INT(($B83/N$5)))*(INDEX('D Fleet'!$K$5:$K$36,INT(($B83/N$5))+2)-INDEX('D Fleet'!$K$5:$K$36,INT(($B83/N$5))+1)),0)</f>
        <v/>
      </c>
      <c r="P83" s="276">
        <f>E83*$D83*'E1 Fleet'!$D$98</f>
        <v/>
      </c>
      <c r="Q83" s="276">
        <f>F83*$D83*'E1 Fleet'!$D$98</f>
        <v/>
      </c>
      <c r="R83" s="276">
        <f>G83*$D83*'E1 Fleet'!$D$98</f>
        <v/>
      </c>
      <c r="S83" s="276">
        <f>H83*$D83*'E1 Fleet'!$D$98</f>
        <v/>
      </c>
      <c r="T83" s="276">
        <f>I83*$D83*'E1 Fleet'!$D$98</f>
        <v/>
      </c>
      <c r="U83" s="276">
        <f>J83*$D83*'E1 Fleet'!$D$98</f>
        <v/>
      </c>
      <c r="V83" s="276">
        <f>K83*$D83*'E1 Fleet'!$D$98</f>
        <v/>
      </c>
      <c r="W83" s="276">
        <f>L83*$D83*'E1 Fleet'!$D$98</f>
        <v/>
      </c>
      <c r="X83" s="276">
        <f>M83*$D83*'E1 Fleet'!$D$98</f>
        <v/>
      </c>
      <c r="Y83" s="276">
        <f>N83*$D83*'E1 Fleet'!$D$98</f>
        <v/>
      </c>
    </row>
    <row r="84">
      <c r="A84" t="inlineStr">
        <is>
          <t>SUV</t>
        </is>
      </c>
      <c r="B84" t="n">
        <v>31</v>
      </c>
      <c r="C84" t="n">
        <v>3</v>
      </c>
      <c r="D84" s="275">
        <f>IF($B84=0,'E1 Fleet'!$D$93,1)*EXP(-'E1 Fleet'!$D$94*MAX($B84-6,0))</f>
        <v/>
      </c>
      <c r="E84" s="276">
        <f>IFERROR(INDEX('D Fleet'!$D$5:$D$62,MATCH(E$3-$B84,'D Fleet'!$B$5:$B$62,0)),0)*IFERROR(INDEX('D Fleet'!$K$5:$K$36,INT(($B84/E$5))+1)+(($B84/E$5)-INT(($B84/E$5)))*(INDEX('D Fleet'!$K$5:$K$36,INT(($B84/E$5))+2)-INDEX('D Fleet'!$K$5:$K$36,INT(($B84/E$5))+1)),0)</f>
        <v/>
      </c>
      <c r="F84" s="276">
        <f>IFERROR(INDEX('D Fleet'!$D$5:$D$62,MATCH(F$3-$B84,'D Fleet'!$B$5:$B$62,0)),0)*IFERROR(INDEX('D Fleet'!$K$5:$K$36,INT(($B84/F$5))+1)+(($B84/F$5)-INT(($B84/F$5)))*(INDEX('D Fleet'!$K$5:$K$36,INT(($B84/F$5))+2)-INDEX('D Fleet'!$K$5:$K$36,INT(($B84/F$5))+1)),0)</f>
        <v/>
      </c>
      <c r="G84" s="276">
        <f>IFERROR(INDEX('D Fleet'!$D$5:$D$62,MATCH(G$3-$B84,'D Fleet'!$B$5:$B$62,0)),0)*IFERROR(INDEX('D Fleet'!$K$5:$K$36,INT(($B84/G$5))+1)+(($B84/G$5)-INT(($B84/G$5)))*(INDEX('D Fleet'!$K$5:$K$36,INT(($B84/G$5))+2)-INDEX('D Fleet'!$K$5:$K$36,INT(($B84/G$5))+1)),0)</f>
        <v/>
      </c>
      <c r="H84" s="276">
        <f>IFERROR(INDEX('D Fleet'!$D$5:$D$62,MATCH(H$3-$B84,'D Fleet'!$B$5:$B$62,0)),0)*IFERROR(INDEX('D Fleet'!$K$5:$K$36,INT(($B84/H$5))+1)+(($B84/H$5)-INT(($B84/H$5)))*(INDEX('D Fleet'!$K$5:$K$36,INT(($B84/H$5))+2)-INDEX('D Fleet'!$K$5:$K$36,INT(($B84/H$5))+1)),0)</f>
        <v/>
      </c>
      <c r="I84" s="276">
        <f>IFERROR(INDEX('D Fleet'!$D$5:$D$62,MATCH(I$3-$B84,'D Fleet'!$B$5:$B$62,0)),0)*IFERROR(INDEX('D Fleet'!$K$5:$K$36,INT(($B84/I$5))+1)+(($B84/I$5)-INT(($B84/I$5)))*(INDEX('D Fleet'!$K$5:$K$36,INT(($B84/I$5))+2)-INDEX('D Fleet'!$K$5:$K$36,INT(($B84/I$5))+1)),0)</f>
        <v/>
      </c>
      <c r="J84" s="276">
        <f>IFERROR(INDEX('D Fleet'!$D$5:$D$62,MATCH(J$3-$B84,'D Fleet'!$B$5:$B$62,0)),0)*IFERROR(INDEX('D Fleet'!$K$5:$K$36,INT(($B84/J$5))+1)+(($B84/J$5)-INT(($B84/J$5)))*(INDEX('D Fleet'!$K$5:$K$36,INT(($B84/J$5))+2)-INDEX('D Fleet'!$K$5:$K$36,INT(($B84/J$5))+1)),0)</f>
        <v/>
      </c>
      <c r="K84" s="276">
        <f>IFERROR(INDEX('D Fleet'!$D$5:$D$62,MATCH(K$3-$B84,'D Fleet'!$B$5:$B$62,0)),0)*IFERROR(INDEX('D Fleet'!$K$5:$K$36,INT(($B84/K$5))+1)+(($B84/K$5)-INT(($B84/K$5)))*(INDEX('D Fleet'!$K$5:$K$36,INT(($B84/K$5))+2)-INDEX('D Fleet'!$K$5:$K$36,INT(($B84/K$5))+1)),0)</f>
        <v/>
      </c>
      <c r="L84" s="276">
        <f>IFERROR(INDEX('D Fleet'!$D$5:$D$62,MATCH(L$3-$B84,'D Fleet'!$B$5:$B$62,0)),0)*IFERROR(INDEX('D Fleet'!$K$5:$K$36,INT(($B84/L$5))+1)+(($B84/L$5)-INT(($B84/L$5)))*(INDEX('D Fleet'!$K$5:$K$36,INT(($B84/L$5))+2)-INDEX('D Fleet'!$K$5:$K$36,INT(($B84/L$5))+1)),0)</f>
        <v/>
      </c>
      <c r="M84" s="276">
        <f>IFERROR(INDEX('D Fleet'!$D$5:$D$62,MATCH(M$3-$B84,'D Fleet'!$B$5:$B$62,0)),0)*IFERROR(INDEX('D Fleet'!$K$5:$K$36,INT(($B84/M$5))+1)+(($B84/M$5)-INT(($B84/M$5)))*(INDEX('D Fleet'!$K$5:$K$36,INT(($B84/M$5))+2)-INDEX('D Fleet'!$K$5:$K$36,INT(($B84/M$5))+1)),0)</f>
        <v/>
      </c>
      <c r="N84" s="276">
        <f>IFERROR(INDEX('D Fleet'!$D$5:$D$62,MATCH(N$3-$B84,'D Fleet'!$B$5:$B$62,0)),0)*IFERROR(INDEX('D Fleet'!$K$5:$K$36,INT(($B84/N$5))+1)+(($B84/N$5)-INT(($B84/N$5)))*(INDEX('D Fleet'!$K$5:$K$36,INT(($B84/N$5))+2)-INDEX('D Fleet'!$K$5:$K$36,INT(($B84/N$5))+1)),0)</f>
        <v/>
      </c>
      <c r="P84" s="276">
        <f>E84*$D84*'E1 Fleet'!$D$98</f>
        <v/>
      </c>
      <c r="Q84" s="276">
        <f>F84*$D84*'E1 Fleet'!$D$98</f>
        <v/>
      </c>
      <c r="R84" s="276">
        <f>G84*$D84*'E1 Fleet'!$D$98</f>
        <v/>
      </c>
      <c r="S84" s="276">
        <f>H84*$D84*'E1 Fleet'!$D$98</f>
        <v/>
      </c>
      <c r="T84" s="276">
        <f>I84*$D84*'E1 Fleet'!$D$98</f>
        <v/>
      </c>
      <c r="U84" s="276">
        <f>J84*$D84*'E1 Fleet'!$D$98</f>
        <v/>
      </c>
      <c r="V84" s="276">
        <f>K84*$D84*'E1 Fleet'!$D$98</f>
        <v/>
      </c>
      <c r="W84" s="276">
        <f>L84*$D84*'E1 Fleet'!$D$98</f>
        <v/>
      </c>
      <c r="X84" s="276">
        <f>M84*$D84*'E1 Fleet'!$D$98</f>
        <v/>
      </c>
      <c r="Y84" s="276">
        <f>N84*$D84*'E1 Fleet'!$D$98</f>
        <v/>
      </c>
    </row>
    <row r="85">
      <c r="A85" t="inlineStr">
        <is>
          <t>SUV</t>
        </is>
      </c>
      <c r="B85" t="n">
        <v>32</v>
      </c>
      <c r="C85" t="n">
        <v>3</v>
      </c>
      <c r="D85" s="275">
        <f>IF($B85=0,'E1 Fleet'!$D$93,1)*EXP(-'E1 Fleet'!$D$94*MAX($B85-6,0))</f>
        <v/>
      </c>
      <c r="E85" s="276">
        <f>IFERROR(INDEX('D Fleet'!$D$5:$D$62,MATCH(E$3-$B85,'D Fleet'!$B$5:$B$62,0)),0)*IFERROR(INDEX('D Fleet'!$K$5:$K$36,INT(($B85/E$5))+1)+(($B85/E$5)-INT(($B85/E$5)))*(INDEX('D Fleet'!$K$5:$K$36,INT(($B85/E$5))+2)-INDEX('D Fleet'!$K$5:$K$36,INT(($B85/E$5))+1)),0)</f>
        <v/>
      </c>
      <c r="F85" s="276">
        <f>IFERROR(INDEX('D Fleet'!$D$5:$D$62,MATCH(F$3-$B85,'D Fleet'!$B$5:$B$62,0)),0)*IFERROR(INDEX('D Fleet'!$K$5:$K$36,INT(($B85/F$5))+1)+(($B85/F$5)-INT(($B85/F$5)))*(INDEX('D Fleet'!$K$5:$K$36,INT(($B85/F$5))+2)-INDEX('D Fleet'!$K$5:$K$36,INT(($B85/F$5))+1)),0)</f>
        <v/>
      </c>
      <c r="G85" s="276">
        <f>IFERROR(INDEX('D Fleet'!$D$5:$D$62,MATCH(G$3-$B85,'D Fleet'!$B$5:$B$62,0)),0)*IFERROR(INDEX('D Fleet'!$K$5:$K$36,INT(($B85/G$5))+1)+(($B85/G$5)-INT(($B85/G$5)))*(INDEX('D Fleet'!$K$5:$K$36,INT(($B85/G$5))+2)-INDEX('D Fleet'!$K$5:$K$36,INT(($B85/G$5))+1)),0)</f>
        <v/>
      </c>
      <c r="H85" s="276">
        <f>IFERROR(INDEX('D Fleet'!$D$5:$D$62,MATCH(H$3-$B85,'D Fleet'!$B$5:$B$62,0)),0)*IFERROR(INDEX('D Fleet'!$K$5:$K$36,INT(($B85/H$5))+1)+(($B85/H$5)-INT(($B85/H$5)))*(INDEX('D Fleet'!$K$5:$K$36,INT(($B85/H$5))+2)-INDEX('D Fleet'!$K$5:$K$36,INT(($B85/H$5))+1)),0)</f>
        <v/>
      </c>
      <c r="I85" s="276">
        <f>IFERROR(INDEX('D Fleet'!$D$5:$D$62,MATCH(I$3-$B85,'D Fleet'!$B$5:$B$62,0)),0)*IFERROR(INDEX('D Fleet'!$K$5:$K$36,INT(($B85/I$5))+1)+(($B85/I$5)-INT(($B85/I$5)))*(INDEX('D Fleet'!$K$5:$K$36,INT(($B85/I$5))+2)-INDEX('D Fleet'!$K$5:$K$36,INT(($B85/I$5))+1)),0)</f>
        <v/>
      </c>
      <c r="J85" s="276">
        <f>IFERROR(INDEX('D Fleet'!$D$5:$D$62,MATCH(J$3-$B85,'D Fleet'!$B$5:$B$62,0)),0)*IFERROR(INDEX('D Fleet'!$K$5:$K$36,INT(($B85/J$5))+1)+(($B85/J$5)-INT(($B85/J$5)))*(INDEX('D Fleet'!$K$5:$K$36,INT(($B85/J$5))+2)-INDEX('D Fleet'!$K$5:$K$36,INT(($B85/J$5))+1)),0)</f>
        <v/>
      </c>
      <c r="K85" s="276">
        <f>IFERROR(INDEX('D Fleet'!$D$5:$D$62,MATCH(K$3-$B85,'D Fleet'!$B$5:$B$62,0)),0)*IFERROR(INDEX('D Fleet'!$K$5:$K$36,INT(($B85/K$5))+1)+(($B85/K$5)-INT(($B85/K$5)))*(INDEX('D Fleet'!$K$5:$K$36,INT(($B85/K$5))+2)-INDEX('D Fleet'!$K$5:$K$36,INT(($B85/K$5))+1)),0)</f>
        <v/>
      </c>
      <c r="L85" s="276">
        <f>IFERROR(INDEX('D Fleet'!$D$5:$D$62,MATCH(L$3-$B85,'D Fleet'!$B$5:$B$62,0)),0)*IFERROR(INDEX('D Fleet'!$K$5:$K$36,INT(($B85/L$5))+1)+(($B85/L$5)-INT(($B85/L$5)))*(INDEX('D Fleet'!$K$5:$K$36,INT(($B85/L$5))+2)-INDEX('D Fleet'!$K$5:$K$36,INT(($B85/L$5))+1)),0)</f>
        <v/>
      </c>
      <c r="M85" s="276">
        <f>IFERROR(INDEX('D Fleet'!$D$5:$D$62,MATCH(M$3-$B85,'D Fleet'!$B$5:$B$62,0)),0)*IFERROR(INDEX('D Fleet'!$K$5:$K$36,INT(($B85/M$5))+1)+(($B85/M$5)-INT(($B85/M$5)))*(INDEX('D Fleet'!$K$5:$K$36,INT(($B85/M$5))+2)-INDEX('D Fleet'!$K$5:$K$36,INT(($B85/M$5))+1)),0)</f>
        <v/>
      </c>
      <c r="N85" s="276">
        <f>IFERROR(INDEX('D Fleet'!$D$5:$D$62,MATCH(N$3-$B85,'D Fleet'!$B$5:$B$62,0)),0)*IFERROR(INDEX('D Fleet'!$K$5:$K$36,INT(($B85/N$5))+1)+(($B85/N$5)-INT(($B85/N$5)))*(INDEX('D Fleet'!$K$5:$K$36,INT(($B85/N$5))+2)-INDEX('D Fleet'!$K$5:$K$36,INT(($B85/N$5))+1)),0)</f>
        <v/>
      </c>
      <c r="P85" s="276">
        <f>E85*$D85*'E1 Fleet'!$D$98</f>
        <v/>
      </c>
      <c r="Q85" s="276">
        <f>F85*$D85*'E1 Fleet'!$D$98</f>
        <v/>
      </c>
      <c r="R85" s="276">
        <f>G85*$D85*'E1 Fleet'!$D$98</f>
        <v/>
      </c>
      <c r="S85" s="276">
        <f>H85*$D85*'E1 Fleet'!$D$98</f>
        <v/>
      </c>
      <c r="T85" s="276">
        <f>I85*$D85*'E1 Fleet'!$D$98</f>
        <v/>
      </c>
      <c r="U85" s="276">
        <f>J85*$D85*'E1 Fleet'!$D$98</f>
        <v/>
      </c>
      <c r="V85" s="276">
        <f>K85*$D85*'E1 Fleet'!$D$98</f>
        <v/>
      </c>
      <c r="W85" s="276">
        <f>L85*$D85*'E1 Fleet'!$D$98</f>
        <v/>
      </c>
      <c r="X85" s="276">
        <f>M85*$D85*'E1 Fleet'!$D$98</f>
        <v/>
      </c>
      <c r="Y85" s="276">
        <f>N85*$D85*'E1 Fleet'!$D$98</f>
        <v/>
      </c>
    </row>
    <row r="86">
      <c r="A86" t="inlineStr">
        <is>
          <t>SUV</t>
        </is>
      </c>
      <c r="B86" t="n">
        <v>33</v>
      </c>
      <c r="C86" t="n">
        <v>3</v>
      </c>
      <c r="D86" s="275">
        <f>IF($B86=0,'E1 Fleet'!$D$93,1)*EXP(-'E1 Fleet'!$D$94*MAX($B86-6,0))</f>
        <v/>
      </c>
      <c r="E86" s="276">
        <f>IFERROR(INDEX('D Fleet'!$D$5:$D$62,MATCH(E$3-$B86,'D Fleet'!$B$5:$B$62,0)),0)*IFERROR(INDEX('D Fleet'!$K$5:$K$36,INT(($B86/E$5))+1)+(($B86/E$5)-INT(($B86/E$5)))*(INDEX('D Fleet'!$K$5:$K$36,INT(($B86/E$5))+2)-INDEX('D Fleet'!$K$5:$K$36,INT(($B86/E$5))+1)),0)</f>
        <v/>
      </c>
      <c r="F86" s="276">
        <f>IFERROR(INDEX('D Fleet'!$D$5:$D$62,MATCH(F$3-$B86,'D Fleet'!$B$5:$B$62,0)),0)*IFERROR(INDEX('D Fleet'!$K$5:$K$36,INT(($B86/F$5))+1)+(($B86/F$5)-INT(($B86/F$5)))*(INDEX('D Fleet'!$K$5:$K$36,INT(($B86/F$5))+2)-INDEX('D Fleet'!$K$5:$K$36,INT(($B86/F$5))+1)),0)</f>
        <v/>
      </c>
      <c r="G86" s="276">
        <f>IFERROR(INDEX('D Fleet'!$D$5:$D$62,MATCH(G$3-$B86,'D Fleet'!$B$5:$B$62,0)),0)*IFERROR(INDEX('D Fleet'!$K$5:$K$36,INT(($B86/G$5))+1)+(($B86/G$5)-INT(($B86/G$5)))*(INDEX('D Fleet'!$K$5:$K$36,INT(($B86/G$5))+2)-INDEX('D Fleet'!$K$5:$K$36,INT(($B86/G$5))+1)),0)</f>
        <v/>
      </c>
      <c r="H86" s="276">
        <f>IFERROR(INDEX('D Fleet'!$D$5:$D$62,MATCH(H$3-$B86,'D Fleet'!$B$5:$B$62,0)),0)*IFERROR(INDEX('D Fleet'!$K$5:$K$36,INT(($B86/H$5))+1)+(($B86/H$5)-INT(($B86/H$5)))*(INDEX('D Fleet'!$K$5:$K$36,INT(($B86/H$5))+2)-INDEX('D Fleet'!$K$5:$K$36,INT(($B86/H$5))+1)),0)</f>
        <v/>
      </c>
      <c r="I86" s="276">
        <f>IFERROR(INDEX('D Fleet'!$D$5:$D$62,MATCH(I$3-$B86,'D Fleet'!$B$5:$B$62,0)),0)*IFERROR(INDEX('D Fleet'!$K$5:$K$36,INT(($B86/I$5))+1)+(($B86/I$5)-INT(($B86/I$5)))*(INDEX('D Fleet'!$K$5:$K$36,INT(($B86/I$5))+2)-INDEX('D Fleet'!$K$5:$K$36,INT(($B86/I$5))+1)),0)</f>
        <v/>
      </c>
      <c r="J86" s="276">
        <f>IFERROR(INDEX('D Fleet'!$D$5:$D$62,MATCH(J$3-$B86,'D Fleet'!$B$5:$B$62,0)),0)*IFERROR(INDEX('D Fleet'!$K$5:$K$36,INT(($B86/J$5))+1)+(($B86/J$5)-INT(($B86/J$5)))*(INDEX('D Fleet'!$K$5:$K$36,INT(($B86/J$5))+2)-INDEX('D Fleet'!$K$5:$K$36,INT(($B86/J$5))+1)),0)</f>
        <v/>
      </c>
      <c r="K86" s="276">
        <f>IFERROR(INDEX('D Fleet'!$D$5:$D$62,MATCH(K$3-$B86,'D Fleet'!$B$5:$B$62,0)),0)*IFERROR(INDEX('D Fleet'!$K$5:$K$36,INT(($B86/K$5))+1)+(($B86/K$5)-INT(($B86/K$5)))*(INDEX('D Fleet'!$K$5:$K$36,INT(($B86/K$5))+2)-INDEX('D Fleet'!$K$5:$K$36,INT(($B86/K$5))+1)),0)</f>
        <v/>
      </c>
      <c r="L86" s="276">
        <f>IFERROR(INDEX('D Fleet'!$D$5:$D$62,MATCH(L$3-$B86,'D Fleet'!$B$5:$B$62,0)),0)*IFERROR(INDEX('D Fleet'!$K$5:$K$36,INT(($B86/L$5))+1)+(($B86/L$5)-INT(($B86/L$5)))*(INDEX('D Fleet'!$K$5:$K$36,INT(($B86/L$5))+2)-INDEX('D Fleet'!$K$5:$K$36,INT(($B86/L$5))+1)),0)</f>
        <v/>
      </c>
      <c r="M86" s="276">
        <f>IFERROR(INDEX('D Fleet'!$D$5:$D$62,MATCH(M$3-$B86,'D Fleet'!$B$5:$B$62,0)),0)*IFERROR(INDEX('D Fleet'!$K$5:$K$36,INT(($B86/M$5))+1)+(($B86/M$5)-INT(($B86/M$5)))*(INDEX('D Fleet'!$K$5:$K$36,INT(($B86/M$5))+2)-INDEX('D Fleet'!$K$5:$K$36,INT(($B86/M$5))+1)),0)</f>
        <v/>
      </c>
      <c r="N86" s="276">
        <f>IFERROR(INDEX('D Fleet'!$D$5:$D$62,MATCH(N$3-$B86,'D Fleet'!$B$5:$B$62,0)),0)*IFERROR(INDEX('D Fleet'!$K$5:$K$36,INT(($B86/N$5))+1)+(($B86/N$5)-INT(($B86/N$5)))*(INDEX('D Fleet'!$K$5:$K$36,INT(($B86/N$5))+2)-INDEX('D Fleet'!$K$5:$K$36,INT(($B86/N$5))+1)),0)</f>
        <v/>
      </c>
      <c r="P86" s="276">
        <f>E86*$D86*'E1 Fleet'!$D$98</f>
        <v/>
      </c>
      <c r="Q86" s="276">
        <f>F86*$D86*'E1 Fleet'!$D$98</f>
        <v/>
      </c>
      <c r="R86" s="276">
        <f>G86*$D86*'E1 Fleet'!$D$98</f>
        <v/>
      </c>
      <c r="S86" s="276">
        <f>H86*$D86*'E1 Fleet'!$D$98</f>
        <v/>
      </c>
      <c r="T86" s="276">
        <f>I86*$D86*'E1 Fleet'!$D$98</f>
        <v/>
      </c>
      <c r="U86" s="276">
        <f>J86*$D86*'E1 Fleet'!$D$98</f>
        <v/>
      </c>
      <c r="V86" s="276">
        <f>K86*$D86*'E1 Fleet'!$D$98</f>
        <v/>
      </c>
      <c r="W86" s="276">
        <f>L86*$D86*'E1 Fleet'!$D$98</f>
        <v/>
      </c>
      <c r="X86" s="276">
        <f>M86*$D86*'E1 Fleet'!$D$98</f>
        <v/>
      </c>
      <c r="Y86" s="276">
        <f>N86*$D86*'E1 Fleet'!$D$98</f>
        <v/>
      </c>
    </row>
    <row r="87">
      <c r="A87" t="inlineStr">
        <is>
          <t>SUV</t>
        </is>
      </c>
      <c r="B87" t="n">
        <v>34</v>
      </c>
      <c r="C87" t="n">
        <v>3</v>
      </c>
      <c r="D87" s="275">
        <f>IF($B87=0,'E1 Fleet'!$D$93,1)*EXP(-'E1 Fleet'!$D$94*MAX($B87-6,0))</f>
        <v/>
      </c>
      <c r="E87" s="276">
        <f>IFERROR(INDEX('D Fleet'!$D$5:$D$62,MATCH(E$3-$B87,'D Fleet'!$B$5:$B$62,0)),0)*IFERROR(INDEX('D Fleet'!$K$5:$K$36,INT(($B87/E$5))+1)+(($B87/E$5)-INT(($B87/E$5)))*(INDEX('D Fleet'!$K$5:$K$36,INT(($B87/E$5))+2)-INDEX('D Fleet'!$K$5:$K$36,INT(($B87/E$5))+1)),0)</f>
        <v/>
      </c>
      <c r="F87" s="276">
        <f>IFERROR(INDEX('D Fleet'!$D$5:$D$62,MATCH(F$3-$B87,'D Fleet'!$B$5:$B$62,0)),0)*IFERROR(INDEX('D Fleet'!$K$5:$K$36,INT(($B87/F$5))+1)+(($B87/F$5)-INT(($B87/F$5)))*(INDEX('D Fleet'!$K$5:$K$36,INT(($B87/F$5))+2)-INDEX('D Fleet'!$K$5:$K$36,INT(($B87/F$5))+1)),0)</f>
        <v/>
      </c>
      <c r="G87" s="276">
        <f>IFERROR(INDEX('D Fleet'!$D$5:$D$62,MATCH(G$3-$B87,'D Fleet'!$B$5:$B$62,0)),0)*IFERROR(INDEX('D Fleet'!$K$5:$K$36,INT(($B87/G$5))+1)+(($B87/G$5)-INT(($B87/G$5)))*(INDEX('D Fleet'!$K$5:$K$36,INT(($B87/G$5))+2)-INDEX('D Fleet'!$K$5:$K$36,INT(($B87/G$5))+1)),0)</f>
        <v/>
      </c>
      <c r="H87" s="276">
        <f>IFERROR(INDEX('D Fleet'!$D$5:$D$62,MATCH(H$3-$B87,'D Fleet'!$B$5:$B$62,0)),0)*IFERROR(INDEX('D Fleet'!$K$5:$K$36,INT(($B87/H$5))+1)+(($B87/H$5)-INT(($B87/H$5)))*(INDEX('D Fleet'!$K$5:$K$36,INT(($B87/H$5))+2)-INDEX('D Fleet'!$K$5:$K$36,INT(($B87/H$5))+1)),0)</f>
        <v/>
      </c>
      <c r="I87" s="276">
        <f>IFERROR(INDEX('D Fleet'!$D$5:$D$62,MATCH(I$3-$B87,'D Fleet'!$B$5:$B$62,0)),0)*IFERROR(INDEX('D Fleet'!$K$5:$K$36,INT(($B87/I$5))+1)+(($B87/I$5)-INT(($B87/I$5)))*(INDEX('D Fleet'!$K$5:$K$36,INT(($B87/I$5))+2)-INDEX('D Fleet'!$K$5:$K$36,INT(($B87/I$5))+1)),0)</f>
        <v/>
      </c>
      <c r="J87" s="276">
        <f>IFERROR(INDEX('D Fleet'!$D$5:$D$62,MATCH(J$3-$B87,'D Fleet'!$B$5:$B$62,0)),0)*IFERROR(INDEX('D Fleet'!$K$5:$K$36,INT(($B87/J$5))+1)+(($B87/J$5)-INT(($B87/J$5)))*(INDEX('D Fleet'!$K$5:$K$36,INT(($B87/J$5))+2)-INDEX('D Fleet'!$K$5:$K$36,INT(($B87/J$5))+1)),0)</f>
        <v/>
      </c>
      <c r="K87" s="276">
        <f>IFERROR(INDEX('D Fleet'!$D$5:$D$62,MATCH(K$3-$B87,'D Fleet'!$B$5:$B$62,0)),0)*IFERROR(INDEX('D Fleet'!$K$5:$K$36,INT(($B87/K$5))+1)+(($B87/K$5)-INT(($B87/K$5)))*(INDEX('D Fleet'!$K$5:$K$36,INT(($B87/K$5))+2)-INDEX('D Fleet'!$K$5:$K$36,INT(($B87/K$5))+1)),0)</f>
        <v/>
      </c>
      <c r="L87" s="276">
        <f>IFERROR(INDEX('D Fleet'!$D$5:$D$62,MATCH(L$3-$B87,'D Fleet'!$B$5:$B$62,0)),0)*IFERROR(INDEX('D Fleet'!$K$5:$K$36,INT(($B87/L$5))+1)+(($B87/L$5)-INT(($B87/L$5)))*(INDEX('D Fleet'!$K$5:$K$36,INT(($B87/L$5))+2)-INDEX('D Fleet'!$K$5:$K$36,INT(($B87/L$5))+1)),0)</f>
        <v/>
      </c>
      <c r="M87" s="276">
        <f>IFERROR(INDEX('D Fleet'!$D$5:$D$62,MATCH(M$3-$B87,'D Fleet'!$B$5:$B$62,0)),0)*IFERROR(INDEX('D Fleet'!$K$5:$K$36,INT(($B87/M$5))+1)+(($B87/M$5)-INT(($B87/M$5)))*(INDEX('D Fleet'!$K$5:$K$36,INT(($B87/M$5))+2)-INDEX('D Fleet'!$K$5:$K$36,INT(($B87/M$5))+1)),0)</f>
        <v/>
      </c>
      <c r="N87" s="276">
        <f>IFERROR(INDEX('D Fleet'!$D$5:$D$62,MATCH(N$3-$B87,'D Fleet'!$B$5:$B$62,0)),0)*IFERROR(INDEX('D Fleet'!$K$5:$K$36,INT(($B87/N$5))+1)+(($B87/N$5)-INT(($B87/N$5)))*(INDEX('D Fleet'!$K$5:$K$36,INT(($B87/N$5))+2)-INDEX('D Fleet'!$K$5:$K$36,INT(($B87/N$5))+1)),0)</f>
        <v/>
      </c>
      <c r="P87" s="276">
        <f>E87*$D87*'E1 Fleet'!$D$98</f>
        <v/>
      </c>
      <c r="Q87" s="276">
        <f>F87*$D87*'E1 Fleet'!$D$98</f>
        <v/>
      </c>
      <c r="R87" s="276">
        <f>G87*$D87*'E1 Fleet'!$D$98</f>
        <v/>
      </c>
      <c r="S87" s="276">
        <f>H87*$D87*'E1 Fleet'!$D$98</f>
        <v/>
      </c>
      <c r="T87" s="276">
        <f>I87*$D87*'E1 Fleet'!$D$98</f>
        <v/>
      </c>
      <c r="U87" s="276">
        <f>J87*$D87*'E1 Fleet'!$D$98</f>
        <v/>
      </c>
      <c r="V87" s="276">
        <f>K87*$D87*'E1 Fleet'!$D$98</f>
        <v/>
      </c>
      <c r="W87" s="276">
        <f>L87*$D87*'E1 Fleet'!$D$98</f>
        <v/>
      </c>
      <c r="X87" s="276">
        <f>M87*$D87*'E1 Fleet'!$D$98</f>
        <v/>
      </c>
      <c r="Y87" s="276">
        <f>N87*$D87*'E1 Fleet'!$D$98</f>
        <v/>
      </c>
    </row>
    <row r="88">
      <c r="A88" t="inlineStr">
        <is>
          <t>SUV</t>
        </is>
      </c>
      <c r="B88" t="n">
        <v>35</v>
      </c>
      <c r="C88" t="n">
        <v>3</v>
      </c>
      <c r="D88" s="275">
        <f>IF($B88=0,'E1 Fleet'!$D$93,1)*EXP(-'E1 Fleet'!$D$94*MAX($B88-6,0))</f>
        <v/>
      </c>
      <c r="E88" s="276">
        <f>IFERROR(INDEX('D Fleet'!$D$5:$D$62,MATCH(E$3-$B88,'D Fleet'!$B$5:$B$62,0)),0)*IFERROR(INDEX('D Fleet'!$K$5:$K$36,INT(($B88/E$5))+1)+(($B88/E$5)-INT(($B88/E$5)))*(INDEX('D Fleet'!$K$5:$K$36,INT(($B88/E$5))+2)-INDEX('D Fleet'!$K$5:$K$36,INT(($B88/E$5))+1)),0)</f>
        <v/>
      </c>
      <c r="F88" s="276">
        <f>IFERROR(INDEX('D Fleet'!$D$5:$D$62,MATCH(F$3-$B88,'D Fleet'!$B$5:$B$62,0)),0)*IFERROR(INDEX('D Fleet'!$K$5:$K$36,INT(($B88/F$5))+1)+(($B88/F$5)-INT(($B88/F$5)))*(INDEX('D Fleet'!$K$5:$K$36,INT(($B88/F$5))+2)-INDEX('D Fleet'!$K$5:$K$36,INT(($B88/F$5))+1)),0)</f>
        <v/>
      </c>
      <c r="G88" s="276">
        <f>IFERROR(INDEX('D Fleet'!$D$5:$D$62,MATCH(G$3-$B88,'D Fleet'!$B$5:$B$62,0)),0)*IFERROR(INDEX('D Fleet'!$K$5:$K$36,INT(($B88/G$5))+1)+(($B88/G$5)-INT(($B88/G$5)))*(INDEX('D Fleet'!$K$5:$K$36,INT(($B88/G$5))+2)-INDEX('D Fleet'!$K$5:$K$36,INT(($B88/G$5))+1)),0)</f>
        <v/>
      </c>
      <c r="H88" s="276">
        <f>IFERROR(INDEX('D Fleet'!$D$5:$D$62,MATCH(H$3-$B88,'D Fleet'!$B$5:$B$62,0)),0)*IFERROR(INDEX('D Fleet'!$K$5:$K$36,INT(($B88/H$5))+1)+(($B88/H$5)-INT(($B88/H$5)))*(INDEX('D Fleet'!$K$5:$K$36,INT(($B88/H$5))+2)-INDEX('D Fleet'!$K$5:$K$36,INT(($B88/H$5))+1)),0)</f>
        <v/>
      </c>
      <c r="I88" s="276">
        <f>IFERROR(INDEX('D Fleet'!$D$5:$D$62,MATCH(I$3-$B88,'D Fleet'!$B$5:$B$62,0)),0)*IFERROR(INDEX('D Fleet'!$K$5:$K$36,INT(($B88/I$5))+1)+(($B88/I$5)-INT(($B88/I$5)))*(INDEX('D Fleet'!$K$5:$K$36,INT(($B88/I$5))+2)-INDEX('D Fleet'!$K$5:$K$36,INT(($B88/I$5))+1)),0)</f>
        <v/>
      </c>
      <c r="J88" s="276">
        <f>IFERROR(INDEX('D Fleet'!$D$5:$D$62,MATCH(J$3-$B88,'D Fleet'!$B$5:$B$62,0)),0)*IFERROR(INDEX('D Fleet'!$K$5:$K$36,INT(($B88/J$5))+1)+(($B88/J$5)-INT(($B88/J$5)))*(INDEX('D Fleet'!$K$5:$K$36,INT(($B88/J$5))+2)-INDEX('D Fleet'!$K$5:$K$36,INT(($B88/J$5))+1)),0)</f>
        <v/>
      </c>
      <c r="K88" s="276">
        <f>IFERROR(INDEX('D Fleet'!$D$5:$D$62,MATCH(K$3-$B88,'D Fleet'!$B$5:$B$62,0)),0)*IFERROR(INDEX('D Fleet'!$K$5:$K$36,INT(($B88/K$5))+1)+(($B88/K$5)-INT(($B88/K$5)))*(INDEX('D Fleet'!$K$5:$K$36,INT(($B88/K$5))+2)-INDEX('D Fleet'!$K$5:$K$36,INT(($B88/K$5))+1)),0)</f>
        <v/>
      </c>
      <c r="L88" s="276">
        <f>IFERROR(INDEX('D Fleet'!$D$5:$D$62,MATCH(L$3-$B88,'D Fleet'!$B$5:$B$62,0)),0)*IFERROR(INDEX('D Fleet'!$K$5:$K$36,INT(($B88/L$5))+1)+(($B88/L$5)-INT(($B88/L$5)))*(INDEX('D Fleet'!$K$5:$K$36,INT(($B88/L$5))+2)-INDEX('D Fleet'!$K$5:$K$36,INT(($B88/L$5))+1)),0)</f>
        <v/>
      </c>
      <c r="M88" s="276">
        <f>IFERROR(INDEX('D Fleet'!$D$5:$D$62,MATCH(M$3-$B88,'D Fleet'!$B$5:$B$62,0)),0)*IFERROR(INDEX('D Fleet'!$K$5:$K$36,INT(($B88/M$5))+1)+(($B88/M$5)-INT(($B88/M$5)))*(INDEX('D Fleet'!$K$5:$K$36,INT(($B88/M$5))+2)-INDEX('D Fleet'!$K$5:$K$36,INT(($B88/M$5))+1)),0)</f>
        <v/>
      </c>
      <c r="N88" s="276">
        <f>IFERROR(INDEX('D Fleet'!$D$5:$D$62,MATCH(N$3-$B88,'D Fleet'!$B$5:$B$62,0)),0)*IFERROR(INDEX('D Fleet'!$K$5:$K$36,INT(($B88/N$5))+1)+(($B88/N$5)-INT(($B88/N$5)))*(INDEX('D Fleet'!$K$5:$K$36,INT(($B88/N$5))+2)-INDEX('D Fleet'!$K$5:$K$36,INT(($B88/N$5))+1)),0)</f>
        <v/>
      </c>
      <c r="P88" s="276">
        <f>E88*$D88*'E1 Fleet'!$D$98</f>
        <v/>
      </c>
      <c r="Q88" s="276">
        <f>F88*$D88*'E1 Fleet'!$D$98</f>
        <v/>
      </c>
      <c r="R88" s="276">
        <f>G88*$D88*'E1 Fleet'!$D$98</f>
        <v/>
      </c>
      <c r="S88" s="276">
        <f>H88*$D88*'E1 Fleet'!$D$98</f>
        <v/>
      </c>
      <c r="T88" s="276">
        <f>I88*$D88*'E1 Fleet'!$D$98</f>
        <v/>
      </c>
      <c r="U88" s="276">
        <f>J88*$D88*'E1 Fleet'!$D$98</f>
        <v/>
      </c>
      <c r="V88" s="276">
        <f>K88*$D88*'E1 Fleet'!$D$98</f>
        <v/>
      </c>
      <c r="W88" s="276">
        <f>L88*$D88*'E1 Fleet'!$D$98</f>
        <v/>
      </c>
      <c r="X88" s="276">
        <f>M88*$D88*'E1 Fleet'!$D$98</f>
        <v/>
      </c>
      <c r="Y88" s="276">
        <f>N88*$D88*'E1 Fleet'!$D$98</f>
        <v/>
      </c>
    </row>
    <row r="89">
      <c r="A89" t="inlineStr">
        <is>
          <t>SUV</t>
        </is>
      </c>
      <c r="B89" t="n">
        <v>36</v>
      </c>
      <c r="C89" t="n">
        <v>3</v>
      </c>
      <c r="D89" s="275">
        <f>IF($B89=0,'E1 Fleet'!$D$93,1)*EXP(-'E1 Fleet'!$D$94*MAX($B89-6,0))</f>
        <v/>
      </c>
      <c r="E89" s="276">
        <f>IFERROR(INDEX('D Fleet'!$D$5:$D$62,MATCH(E$3-$B89,'D Fleet'!$B$5:$B$62,0)),0)*IFERROR(INDEX('D Fleet'!$K$5:$K$36,INT(($B89/E$5))+1)+(($B89/E$5)-INT(($B89/E$5)))*(INDEX('D Fleet'!$K$5:$K$36,INT(($B89/E$5))+2)-INDEX('D Fleet'!$K$5:$K$36,INT(($B89/E$5))+1)),0)</f>
        <v/>
      </c>
      <c r="F89" s="276">
        <f>IFERROR(INDEX('D Fleet'!$D$5:$D$62,MATCH(F$3-$B89,'D Fleet'!$B$5:$B$62,0)),0)*IFERROR(INDEX('D Fleet'!$K$5:$K$36,INT(($B89/F$5))+1)+(($B89/F$5)-INT(($B89/F$5)))*(INDEX('D Fleet'!$K$5:$K$36,INT(($B89/F$5))+2)-INDEX('D Fleet'!$K$5:$K$36,INT(($B89/F$5))+1)),0)</f>
        <v/>
      </c>
      <c r="G89" s="276">
        <f>IFERROR(INDEX('D Fleet'!$D$5:$D$62,MATCH(G$3-$B89,'D Fleet'!$B$5:$B$62,0)),0)*IFERROR(INDEX('D Fleet'!$K$5:$K$36,INT(($B89/G$5))+1)+(($B89/G$5)-INT(($B89/G$5)))*(INDEX('D Fleet'!$K$5:$K$36,INT(($B89/G$5))+2)-INDEX('D Fleet'!$K$5:$K$36,INT(($B89/G$5))+1)),0)</f>
        <v/>
      </c>
      <c r="H89" s="276">
        <f>IFERROR(INDEX('D Fleet'!$D$5:$D$62,MATCH(H$3-$B89,'D Fleet'!$B$5:$B$62,0)),0)*IFERROR(INDEX('D Fleet'!$K$5:$K$36,INT(($B89/H$5))+1)+(($B89/H$5)-INT(($B89/H$5)))*(INDEX('D Fleet'!$K$5:$K$36,INT(($B89/H$5))+2)-INDEX('D Fleet'!$K$5:$K$36,INT(($B89/H$5))+1)),0)</f>
        <v/>
      </c>
      <c r="I89" s="276">
        <f>IFERROR(INDEX('D Fleet'!$D$5:$D$62,MATCH(I$3-$B89,'D Fleet'!$B$5:$B$62,0)),0)*IFERROR(INDEX('D Fleet'!$K$5:$K$36,INT(($B89/I$5))+1)+(($B89/I$5)-INT(($B89/I$5)))*(INDEX('D Fleet'!$K$5:$K$36,INT(($B89/I$5))+2)-INDEX('D Fleet'!$K$5:$K$36,INT(($B89/I$5))+1)),0)</f>
        <v/>
      </c>
      <c r="J89" s="276">
        <f>IFERROR(INDEX('D Fleet'!$D$5:$D$62,MATCH(J$3-$B89,'D Fleet'!$B$5:$B$62,0)),0)*IFERROR(INDEX('D Fleet'!$K$5:$K$36,INT(($B89/J$5))+1)+(($B89/J$5)-INT(($B89/J$5)))*(INDEX('D Fleet'!$K$5:$K$36,INT(($B89/J$5))+2)-INDEX('D Fleet'!$K$5:$K$36,INT(($B89/J$5))+1)),0)</f>
        <v/>
      </c>
      <c r="K89" s="276">
        <f>IFERROR(INDEX('D Fleet'!$D$5:$D$62,MATCH(K$3-$B89,'D Fleet'!$B$5:$B$62,0)),0)*IFERROR(INDEX('D Fleet'!$K$5:$K$36,INT(($B89/K$5))+1)+(($B89/K$5)-INT(($B89/K$5)))*(INDEX('D Fleet'!$K$5:$K$36,INT(($B89/K$5))+2)-INDEX('D Fleet'!$K$5:$K$36,INT(($B89/K$5))+1)),0)</f>
        <v/>
      </c>
      <c r="L89" s="276">
        <f>IFERROR(INDEX('D Fleet'!$D$5:$D$62,MATCH(L$3-$B89,'D Fleet'!$B$5:$B$62,0)),0)*IFERROR(INDEX('D Fleet'!$K$5:$K$36,INT(($B89/L$5))+1)+(($B89/L$5)-INT(($B89/L$5)))*(INDEX('D Fleet'!$K$5:$K$36,INT(($B89/L$5))+2)-INDEX('D Fleet'!$K$5:$K$36,INT(($B89/L$5))+1)),0)</f>
        <v/>
      </c>
      <c r="M89" s="276">
        <f>IFERROR(INDEX('D Fleet'!$D$5:$D$62,MATCH(M$3-$B89,'D Fleet'!$B$5:$B$62,0)),0)*IFERROR(INDEX('D Fleet'!$K$5:$K$36,INT(($B89/M$5))+1)+(($B89/M$5)-INT(($B89/M$5)))*(INDEX('D Fleet'!$K$5:$K$36,INT(($B89/M$5))+2)-INDEX('D Fleet'!$K$5:$K$36,INT(($B89/M$5))+1)),0)</f>
        <v/>
      </c>
      <c r="N89" s="276">
        <f>IFERROR(INDEX('D Fleet'!$D$5:$D$62,MATCH(N$3-$B89,'D Fleet'!$B$5:$B$62,0)),0)*IFERROR(INDEX('D Fleet'!$K$5:$K$36,INT(($B89/N$5))+1)+(($B89/N$5)-INT(($B89/N$5)))*(INDEX('D Fleet'!$K$5:$K$36,INT(($B89/N$5))+2)-INDEX('D Fleet'!$K$5:$K$36,INT(($B89/N$5))+1)),0)</f>
        <v/>
      </c>
      <c r="P89" s="276">
        <f>E89*$D89*'E1 Fleet'!$D$98</f>
        <v/>
      </c>
      <c r="Q89" s="276">
        <f>F89*$D89*'E1 Fleet'!$D$98</f>
        <v/>
      </c>
      <c r="R89" s="276">
        <f>G89*$D89*'E1 Fleet'!$D$98</f>
        <v/>
      </c>
      <c r="S89" s="276">
        <f>H89*$D89*'E1 Fleet'!$D$98</f>
        <v/>
      </c>
      <c r="T89" s="276">
        <f>I89*$D89*'E1 Fleet'!$D$98</f>
        <v/>
      </c>
      <c r="U89" s="276">
        <f>J89*$D89*'E1 Fleet'!$D$98</f>
        <v/>
      </c>
      <c r="V89" s="276">
        <f>K89*$D89*'E1 Fleet'!$D$98</f>
        <v/>
      </c>
      <c r="W89" s="276">
        <f>L89*$D89*'E1 Fleet'!$D$98</f>
        <v/>
      </c>
      <c r="X89" s="276">
        <f>M89*$D89*'E1 Fleet'!$D$98</f>
        <v/>
      </c>
      <c r="Y89" s="276">
        <f>N89*$D89*'E1 Fleet'!$D$98</f>
        <v/>
      </c>
    </row>
    <row r="90">
      <c r="A90" t="inlineStr">
        <is>
          <t>SUV</t>
        </is>
      </c>
      <c r="B90" t="n">
        <v>37</v>
      </c>
      <c r="C90" t="n">
        <v>3</v>
      </c>
      <c r="D90" s="275">
        <f>IF($B90=0,'E1 Fleet'!$D$93,1)*EXP(-'E1 Fleet'!$D$94*MAX($B90-6,0))</f>
        <v/>
      </c>
      <c r="E90" s="276">
        <f>IFERROR(INDEX('D Fleet'!$D$5:$D$62,MATCH(E$3-$B90,'D Fleet'!$B$5:$B$62,0)),0)*IFERROR(INDEX('D Fleet'!$K$5:$K$36,INT(($B90/E$5))+1)+(($B90/E$5)-INT(($B90/E$5)))*(INDEX('D Fleet'!$K$5:$K$36,INT(($B90/E$5))+2)-INDEX('D Fleet'!$K$5:$K$36,INT(($B90/E$5))+1)),0)</f>
        <v/>
      </c>
      <c r="F90" s="276">
        <f>IFERROR(INDEX('D Fleet'!$D$5:$D$62,MATCH(F$3-$B90,'D Fleet'!$B$5:$B$62,0)),0)*IFERROR(INDEX('D Fleet'!$K$5:$K$36,INT(($B90/F$5))+1)+(($B90/F$5)-INT(($B90/F$5)))*(INDEX('D Fleet'!$K$5:$K$36,INT(($B90/F$5))+2)-INDEX('D Fleet'!$K$5:$K$36,INT(($B90/F$5))+1)),0)</f>
        <v/>
      </c>
      <c r="G90" s="276">
        <f>IFERROR(INDEX('D Fleet'!$D$5:$D$62,MATCH(G$3-$B90,'D Fleet'!$B$5:$B$62,0)),0)*IFERROR(INDEX('D Fleet'!$K$5:$K$36,INT(($B90/G$5))+1)+(($B90/G$5)-INT(($B90/G$5)))*(INDEX('D Fleet'!$K$5:$K$36,INT(($B90/G$5))+2)-INDEX('D Fleet'!$K$5:$K$36,INT(($B90/G$5))+1)),0)</f>
        <v/>
      </c>
      <c r="H90" s="276">
        <f>IFERROR(INDEX('D Fleet'!$D$5:$D$62,MATCH(H$3-$B90,'D Fleet'!$B$5:$B$62,0)),0)*IFERROR(INDEX('D Fleet'!$K$5:$K$36,INT(($B90/H$5))+1)+(($B90/H$5)-INT(($B90/H$5)))*(INDEX('D Fleet'!$K$5:$K$36,INT(($B90/H$5))+2)-INDEX('D Fleet'!$K$5:$K$36,INT(($B90/H$5))+1)),0)</f>
        <v/>
      </c>
      <c r="I90" s="276">
        <f>IFERROR(INDEX('D Fleet'!$D$5:$D$62,MATCH(I$3-$B90,'D Fleet'!$B$5:$B$62,0)),0)*IFERROR(INDEX('D Fleet'!$K$5:$K$36,INT(($B90/I$5))+1)+(($B90/I$5)-INT(($B90/I$5)))*(INDEX('D Fleet'!$K$5:$K$36,INT(($B90/I$5))+2)-INDEX('D Fleet'!$K$5:$K$36,INT(($B90/I$5))+1)),0)</f>
        <v/>
      </c>
      <c r="J90" s="276">
        <f>IFERROR(INDEX('D Fleet'!$D$5:$D$62,MATCH(J$3-$B90,'D Fleet'!$B$5:$B$62,0)),0)*IFERROR(INDEX('D Fleet'!$K$5:$K$36,INT(($B90/J$5))+1)+(($B90/J$5)-INT(($B90/J$5)))*(INDEX('D Fleet'!$K$5:$K$36,INT(($B90/J$5))+2)-INDEX('D Fleet'!$K$5:$K$36,INT(($B90/J$5))+1)),0)</f>
        <v/>
      </c>
      <c r="K90" s="276">
        <f>IFERROR(INDEX('D Fleet'!$D$5:$D$62,MATCH(K$3-$B90,'D Fleet'!$B$5:$B$62,0)),0)*IFERROR(INDEX('D Fleet'!$K$5:$K$36,INT(($B90/K$5))+1)+(($B90/K$5)-INT(($B90/K$5)))*(INDEX('D Fleet'!$K$5:$K$36,INT(($B90/K$5))+2)-INDEX('D Fleet'!$K$5:$K$36,INT(($B90/K$5))+1)),0)</f>
        <v/>
      </c>
      <c r="L90" s="276">
        <f>IFERROR(INDEX('D Fleet'!$D$5:$D$62,MATCH(L$3-$B90,'D Fleet'!$B$5:$B$62,0)),0)*IFERROR(INDEX('D Fleet'!$K$5:$K$36,INT(($B90/L$5))+1)+(($B90/L$5)-INT(($B90/L$5)))*(INDEX('D Fleet'!$K$5:$K$36,INT(($B90/L$5))+2)-INDEX('D Fleet'!$K$5:$K$36,INT(($B90/L$5))+1)),0)</f>
        <v/>
      </c>
      <c r="M90" s="276">
        <f>IFERROR(INDEX('D Fleet'!$D$5:$D$62,MATCH(M$3-$B90,'D Fleet'!$B$5:$B$62,0)),0)*IFERROR(INDEX('D Fleet'!$K$5:$K$36,INT(($B90/M$5))+1)+(($B90/M$5)-INT(($B90/M$5)))*(INDEX('D Fleet'!$K$5:$K$36,INT(($B90/M$5))+2)-INDEX('D Fleet'!$K$5:$K$36,INT(($B90/M$5))+1)),0)</f>
        <v/>
      </c>
      <c r="N90" s="276">
        <f>IFERROR(INDEX('D Fleet'!$D$5:$D$62,MATCH(N$3-$B90,'D Fleet'!$B$5:$B$62,0)),0)*IFERROR(INDEX('D Fleet'!$K$5:$K$36,INT(($B90/N$5))+1)+(($B90/N$5)-INT(($B90/N$5)))*(INDEX('D Fleet'!$K$5:$K$36,INT(($B90/N$5))+2)-INDEX('D Fleet'!$K$5:$K$36,INT(($B90/N$5))+1)),0)</f>
        <v/>
      </c>
      <c r="P90" s="276">
        <f>E90*$D90*'E1 Fleet'!$D$98</f>
        <v/>
      </c>
      <c r="Q90" s="276">
        <f>F90*$D90*'E1 Fleet'!$D$98</f>
        <v/>
      </c>
      <c r="R90" s="276">
        <f>G90*$D90*'E1 Fleet'!$D$98</f>
        <v/>
      </c>
      <c r="S90" s="276">
        <f>H90*$D90*'E1 Fleet'!$D$98</f>
        <v/>
      </c>
      <c r="T90" s="276">
        <f>I90*$D90*'E1 Fleet'!$D$98</f>
        <v/>
      </c>
      <c r="U90" s="276">
        <f>J90*$D90*'E1 Fleet'!$D$98</f>
        <v/>
      </c>
      <c r="V90" s="276">
        <f>K90*$D90*'E1 Fleet'!$D$98</f>
        <v/>
      </c>
      <c r="W90" s="276">
        <f>L90*$D90*'E1 Fleet'!$D$98</f>
        <v/>
      </c>
      <c r="X90" s="276">
        <f>M90*$D90*'E1 Fleet'!$D$98</f>
        <v/>
      </c>
      <c r="Y90" s="276">
        <f>N90*$D90*'E1 Fleet'!$D$98</f>
        <v/>
      </c>
    </row>
    <row r="91">
      <c r="A91" t="inlineStr">
        <is>
          <t>SUV</t>
        </is>
      </c>
      <c r="B91" t="n">
        <v>38</v>
      </c>
      <c r="C91" t="n">
        <v>3</v>
      </c>
      <c r="D91" s="275">
        <f>IF($B91=0,'E1 Fleet'!$D$93,1)*EXP(-'E1 Fleet'!$D$94*MAX($B91-6,0))</f>
        <v/>
      </c>
      <c r="E91" s="276">
        <f>IFERROR(INDEX('D Fleet'!$D$5:$D$62,MATCH(E$3-$B91,'D Fleet'!$B$5:$B$62,0)),0)*IFERROR(INDEX('D Fleet'!$K$5:$K$36,INT(($B91/E$5))+1)+(($B91/E$5)-INT(($B91/E$5)))*(INDEX('D Fleet'!$K$5:$K$36,INT(($B91/E$5))+2)-INDEX('D Fleet'!$K$5:$K$36,INT(($B91/E$5))+1)),0)</f>
        <v/>
      </c>
      <c r="F91" s="276">
        <f>IFERROR(INDEX('D Fleet'!$D$5:$D$62,MATCH(F$3-$B91,'D Fleet'!$B$5:$B$62,0)),0)*IFERROR(INDEX('D Fleet'!$K$5:$K$36,INT(($B91/F$5))+1)+(($B91/F$5)-INT(($B91/F$5)))*(INDEX('D Fleet'!$K$5:$K$36,INT(($B91/F$5))+2)-INDEX('D Fleet'!$K$5:$K$36,INT(($B91/F$5))+1)),0)</f>
        <v/>
      </c>
      <c r="G91" s="276">
        <f>IFERROR(INDEX('D Fleet'!$D$5:$D$62,MATCH(G$3-$B91,'D Fleet'!$B$5:$B$62,0)),0)*IFERROR(INDEX('D Fleet'!$K$5:$K$36,INT(($B91/G$5))+1)+(($B91/G$5)-INT(($B91/G$5)))*(INDEX('D Fleet'!$K$5:$K$36,INT(($B91/G$5))+2)-INDEX('D Fleet'!$K$5:$K$36,INT(($B91/G$5))+1)),0)</f>
        <v/>
      </c>
      <c r="H91" s="276">
        <f>IFERROR(INDEX('D Fleet'!$D$5:$D$62,MATCH(H$3-$B91,'D Fleet'!$B$5:$B$62,0)),0)*IFERROR(INDEX('D Fleet'!$K$5:$K$36,INT(($B91/H$5))+1)+(($B91/H$5)-INT(($B91/H$5)))*(INDEX('D Fleet'!$K$5:$K$36,INT(($B91/H$5))+2)-INDEX('D Fleet'!$K$5:$K$36,INT(($B91/H$5))+1)),0)</f>
        <v/>
      </c>
      <c r="I91" s="276">
        <f>IFERROR(INDEX('D Fleet'!$D$5:$D$62,MATCH(I$3-$B91,'D Fleet'!$B$5:$B$62,0)),0)*IFERROR(INDEX('D Fleet'!$K$5:$K$36,INT(($B91/I$5))+1)+(($B91/I$5)-INT(($B91/I$5)))*(INDEX('D Fleet'!$K$5:$K$36,INT(($B91/I$5))+2)-INDEX('D Fleet'!$K$5:$K$36,INT(($B91/I$5))+1)),0)</f>
        <v/>
      </c>
      <c r="J91" s="276">
        <f>IFERROR(INDEX('D Fleet'!$D$5:$D$62,MATCH(J$3-$B91,'D Fleet'!$B$5:$B$62,0)),0)*IFERROR(INDEX('D Fleet'!$K$5:$K$36,INT(($B91/J$5))+1)+(($B91/J$5)-INT(($B91/J$5)))*(INDEX('D Fleet'!$K$5:$K$36,INT(($B91/J$5))+2)-INDEX('D Fleet'!$K$5:$K$36,INT(($B91/J$5))+1)),0)</f>
        <v/>
      </c>
      <c r="K91" s="276">
        <f>IFERROR(INDEX('D Fleet'!$D$5:$D$62,MATCH(K$3-$B91,'D Fleet'!$B$5:$B$62,0)),0)*IFERROR(INDEX('D Fleet'!$K$5:$K$36,INT(($B91/K$5))+1)+(($B91/K$5)-INT(($B91/K$5)))*(INDEX('D Fleet'!$K$5:$K$36,INT(($B91/K$5))+2)-INDEX('D Fleet'!$K$5:$K$36,INT(($B91/K$5))+1)),0)</f>
        <v/>
      </c>
      <c r="L91" s="276">
        <f>IFERROR(INDEX('D Fleet'!$D$5:$D$62,MATCH(L$3-$B91,'D Fleet'!$B$5:$B$62,0)),0)*IFERROR(INDEX('D Fleet'!$K$5:$K$36,INT(($B91/L$5))+1)+(($B91/L$5)-INT(($B91/L$5)))*(INDEX('D Fleet'!$K$5:$K$36,INT(($B91/L$5))+2)-INDEX('D Fleet'!$K$5:$K$36,INT(($B91/L$5))+1)),0)</f>
        <v/>
      </c>
      <c r="M91" s="276">
        <f>IFERROR(INDEX('D Fleet'!$D$5:$D$62,MATCH(M$3-$B91,'D Fleet'!$B$5:$B$62,0)),0)*IFERROR(INDEX('D Fleet'!$K$5:$K$36,INT(($B91/M$5))+1)+(($B91/M$5)-INT(($B91/M$5)))*(INDEX('D Fleet'!$K$5:$K$36,INT(($B91/M$5))+2)-INDEX('D Fleet'!$K$5:$K$36,INT(($B91/M$5))+1)),0)</f>
        <v/>
      </c>
      <c r="N91" s="276">
        <f>IFERROR(INDEX('D Fleet'!$D$5:$D$62,MATCH(N$3-$B91,'D Fleet'!$B$5:$B$62,0)),0)*IFERROR(INDEX('D Fleet'!$K$5:$K$36,INT(($B91/N$5))+1)+(($B91/N$5)-INT(($B91/N$5)))*(INDEX('D Fleet'!$K$5:$K$36,INT(($B91/N$5))+2)-INDEX('D Fleet'!$K$5:$K$36,INT(($B91/N$5))+1)),0)</f>
        <v/>
      </c>
      <c r="P91" s="276">
        <f>E91*$D91*'E1 Fleet'!$D$98</f>
        <v/>
      </c>
      <c r="Q91" s="276">
        <f>F91*$D91*'E1 Fleet'!$D$98</f>
        <v/>
      </c>
      <c r="R91" s="276">
        <f>G91*$D91*'E1 Fleet'!$D$98</f>
        <v/>
      </c>
      <c r="S91" s="276">
        <f>H91*$D91*'E1 Fleet'!$D$98</f>
        <v/>
      </c>
      <c r="T91" s="276">
        <f>I91*$D91*'E1 Fleet'!$D$98</f>
        <v/>
      </c>
      <c r="U91" s="276">
        <f>J91*$D91*'E1 Fleet'!$D$98</f>
        <v/>
      </c>
      <c r="V91" s="276">
        <f>K91*$D91*'E1 Fleet'!$D$98</f>
        <v/>
      </c>
      <c r="W91" s="276">
        <f>L91*$D91*'E1 Fleet'!$D$98</f>
        <v/>
      </c>
      <c r="X91" s="276">
        <f>M91*$D91*'E1 Fleet'!$D$98</f>
        <v/>
      </c>
      <c r="Y91" s="276">
        <f>N91*$D91*'E1 Fleet'!$D$98</f>
        <v/>
      </c>
    </row>
    <row r="92">
      <c r="A92" t="inlineStr">
        <is>
          <t>SUV</t>
        </is>
      </c>
      <c r="B92" t="n">
        <v>39</v>
      </c>
      <c r="C92" t="n">
        <v>3</v>
      </c>
      <c r="D92" s="275">
        <f>IF($B92=0,'E1 Fleet'!$D$93,1)*EXP(-'E1 Fleet'!$D$94*MAX($B92-6,0))</f>
        <v/>
      </c>
      <c r="E92" s="276">
        <f>IFERROR(INDEX('D Fleet'!$D$5:$D$62,MATCH(E$3-$B92,'D Fleet'!$B$5:$B$62,0)),0)*IFERROR(INDEX('D Fleet'!$K$5:$K$36,INT(($B92/E$5))+1)+(($B92/E$5)-INT(($B92/E$5)))*(INDEX('D Fleet'!$K$5:$K$36,INT(($B92/E$5))+2)-INDEX('D Fleet'!$K$5:$K$36,INT(($B92/E$5))+1)),0)</f>
        <v/>
      </c>
      <c r="F92" s="276">
        <f>IFERROR(INDEX('D Fleet'!$D$5:$D$62,MATCH(F$3-$B92,'D Fleet'!$B$5:$B$62,0)),0)*IFERROR(INDEX('D Fleet'!$K$5:$K$36,INT(($B92/F$5))+1)+(($B92/F$5)-INT(($B92/F$5)))*(INDEX('D Fleet'!$K$5:$K$36,INT(($B92/F$5))+2)-INDEX('D Fleet'!$K$5:$K$36,INT(($B92/F$5))+1)),0)</f>
        <v/>
      </c>
      <c r="G92" s="276">
        <f>IFERROR(INDEX('D Fleet'!$D$5:$D$62,MATCH(G$3-$B92,'D Fleet'!$B$5:$B$62,0)),0)*IFERROR(INDEX('D Fleet'!$K$5:$K$36,INT(($B92/G$5))+1)+(($B92/G$5)-INT(($B92/G$5)))*(INDEX('D Fleet'!$K$5:$K$36,INT(($B92/G$5))+2)-INDEX('D Fleet'!$K$5:$K$36,INT(($B92/G$5))+1)),0)</f>
        <v/>
      </c>
      <c r="H92" s="276">
        <f>IFERROR(INDEX('D Fleet'!$D$5:$D$62,MATCH(H$3-$B92,'D Fleet'!$B$5:$B$62,0)),0)*IFERROR(INDEX('D Fleet'!$K$5:$K$36,INT(($B92/H$5))+1)+(($B92/H$5)-INT(($B92/H$5)))*(INDEX('D Fleet'!$K$5:$K$36,INT(($B92/H$5))+2)-INDEX('D Fleet'!$K$5:$K$36,INT(($B92/H$5))+1)),0)</f>
        <v/>
      </c>
      <c r="I92" s="276">
        <f>IFERROR(INDEX('D Fleet'!$D$5:$D$62,MATCH(I$3-$B92,'D Fleet'!$B$5:$B$62,0)),0)*IFERROR(INDEX('D Fleet'!$K$5:$K$36,INT(($B92/I$5))+1)+(($B92/I$5)-INT(($B92/I$5)))*(INDEX('D Fleet'!$K$5:$K$36,INT(($B92/I$5))+2)-INDEX('D Fleet'!$K$5:$K$36,INT(($B92/I$5))+1)),0)</f>
        <v/>
      </c>
      <c r="J92" s="276">
        <f>IFERROR(INDEX('D Fleet'!$D$5:$D$62,MATCH(J$3-$B92,'D Fleet'!$B$5:$B$62,0)),0)*IFERROR(INDEX('D Fleet'!$K$5:$K$36,INT(($B92/J$5))+1)+(($B92/J$5)-INT(($B92/J$5)))*(INDEX('D Fleet'!$K$5:$K$36,INT(($B92/J$5))+2)-INDEX('D Fleet'!$K$5:$K$36,INT(($B92/J$5))+1)),0)</f>
        <v/>
      </c>
      <c r="K92" s="276">
        <f>IFERROR(INDEX('D Fleet'!$D$5:$D$62,MATCH(K$3-$B92,'D Fleet'!$B$5:$B$62,0)),0)*IFERROR(INDEX('D Fleet'!$K$5:$K$36,INT(($B92/K$5))+1)+(($B92/K$5)-INT(($B92/K$5)))*(INDEX('D Fleet'!$K$5:$K$36,INT(($B92/K$5))+2)-INDEX('D Fleet'!$K$5:$K$36,INT(($B92/K$5))+1)),0)</f>
        <v/>
      </c>
      <c r="L92" s="276">
        <f>IFERROR(INDEX('D Fleet'!$D$5:$D$62,MATCH(L$3-$B92,'D Fleet'!$B$5:$B$62,0)),0)*IFERROR(INDEX('D Fleet'!$K$5:$K$36,INT(($B92/L$5))+1)+(($B92/L$5)-INT(($B92/L$5)))*(INDEX('D Fleet'!$K$5:$K$36,INT(($B92/L$5))+2)-INDEX('D Fleet'!$K$5:$K$36,INT(($B92/L$5))+1)),0)</f>
        <v/>
      </c>
      <c r="M92" s="276">
        <f>IFERROR(INDEX('D Fleet'!$D$5:$D$62,MATCH(M$3-$B92,'D Fleet'!$B$5:$B$62,0)),0)*IFERROR(INDEX('D Fleet'!$K$5:$K$36,INT(($B92/M$5))+1)+(($B92/M$5)-INT(($B92/M$5)))*(INDEX('D Fleet'!$K$5:$K$36,INT(($B92/M$5))+2)-INDEX('D Fleet'!$K$5:$K$36,INT(($B92/M$5))+1)),0)</f>
        <v/>
      </c>
      <c r="N92" s="276">
        <f>IFERROR(INDEX('D Fleet'!$D$5:$D$62,MATCH(N$3-$B92,'D Fleet'!$B$5:$B$62,0)),0)*IFERROR(INDEX('D Fleet'!$K$5:$K$36,INT(($B92/N$5))+1)+(($B92/N$5)-INT(($B92/N$5)))*(INDEX('D Fleet'!$K$5:$K$36,INT(($B92/N$5))+2)-INDEX('D Fleet'!$K$5:$K$36,INT(($B92/N$5))+1)),0)</f>
        <v/>
      </c>
      <c r="P92" s="276">
        <f>E92*$D92*'E1 Fleet'!$D$98</f>
        <v/>
      </c>
      <c r="Q92" s="276">
        <f>F92*$D92*'E1 Fleet'!$D$98</f>
        <v/>
      </c>
      <c r="R92" s="276">
        <f>G92*$D92*'E1 Fleet'!$D$98</f>
        <v/>
      </c>
      <c r="S92" s="276">
        <f>H92*$D92*'E1 Fleet'!$D$98</f>
        <v/>
      </c>
      <c r="T92" s="276">
        <f>I92*$D92*'E1 Fleet'!$D$98</f>
        <v/>
      </c>
      <c r="U92" s="276">
        <f>J92*$D92*'E1 Fleet'!$D$98</f>
        <v/>
      </c>
      <c r="V92" s="276">
        <f>K92*$D92*'E1 Fleet'!$D$98</f>
        <v/>
      </c>
      <c r="W92" s="276">
        <f>L92*$D92*'E1 Fleet'!$D$98</f>
        <v/>
      </c>
      <c r="X92" s="276">
        <f>M92*$D92*'E1 Fleet'!$D$98</f>
        <v/>
      </c>
      <c r="Y92" s="276">
        <f>N92*$D92*'E1 Fleet'!$D$98</f>
        <v/>
      </c>
    </row>
    <row r="93">
      <c r="A93" t="inlineStr">
        <is>
          <t>SUV</t>
        </is>
      </c>
      <c r="B93" t="n">
        <v>40</v>
      </c>
      <c r="C93" t="n">
        <v>3</v>
      </c>
      <c r="D93" s="275">
        <f>IF($B93=0,'E1 Fleet'!$D$93,1)*EXP(-'E1 Fleet'!$D$94*MAX($B93-6,0))</f>
        <v/>
      </c>
      <c r="E93" s="276">
        <f>IFERROR(INDEX('D Fleet'!$D$5:$D$62,MATCH(E$3-$B93,'D Fleet'!$B$5:$B$62,0)),0)*IFERROR(INDEX('D Fleet'!$K$5:$K$36,INT(($B93/E$5))+1)+(($B93/E$5)-INT(($B93/E$5)))*(INDEX('D Fleet'!$K$5:$K$36,INT(($B93/E$5))+2)-INDEX('D Fleet'!$K$5:$K$36,INT(($B93/E$5))+1)),0)</f>
        <v/>
      </c>
      <c r="F93" s="276">
        <f>IFERROR(INDEX('D Fleet'!$D$5:$D$62,MATCH(F$3-$B93,'D Fleet'!$B$5:$B$62,0)),0)*IFERROR(INDEX('D Fleet'!$K$5:$K$36,INT(($B93/F$5))+1)+(($B93/F$5)-INT(($B93/F$5)))*(INDEX('D Fleet'!$K$5:$K$36,INT(($B93/F$5))+2)-INDEX('D Fleet'!$K$5:$K$36,INT(($B93/F$5))+1)),0)</f>
        <v/>
      </c>
      <c r="G93" s="276">
        <f>IFERROR(INDEX('D Fleet'!$D$5:$D$62,MATCH(G$3-$B93,'D Fleet'!$B$5:$B$62,0)),0)*IFERROR(INDEX('D Fleet'!$K$5:$K$36,INT(($B93/G$5))+1)+(($B93/G$5)-INT(($B93/G$5)))*(INDEX('D Fleet'!$K$5:$K$36,INT(($B93/G$5))+2)-INDEX('D Fleet'!$K$5:$K$36,INT(($B93/G$5))+1)),0)</f>
        <v/>
      </c>
      <c r="H93" s="276">
        <f>IFERROR(INDEX('D Fleet'!$D$5:$D$62,MATCH(H$3-$B93,'D Fleet'!$B$5:$B$62,0)),0)*IFERROR(INDEX('D Fleet'!$K$5:$K$36,INT(($B93/H$5))+1)+(($B93/H$5)-INT(($B93/H$5)))*(INDEX('D Fleet'!$K$5:$K$36,INT(($B93/H$5))+2)-INDEX('D Fleet'!$K$5:$K$36,INT(($B93/H$5))+1)),0)</f>
        <v/>
      </c>
      <c r="I93" s="276">
        <f>IFERROR(INDEX('D Fleet'!$D$5:$D$62,MATCH(I$3-$B93,'D Fleet'!$B$5:$B$62,0)),0)*IFERROR(INDEX('D Fleet'!$K$5:$K$36,INT(($B93/I$5))+1)+(($B93/I$5)-INT(($B93/I$5)))*(INDEX('D Fleet'!$K$5:$K$36,INT(($B93/I$5))+2)-INDEX('D Fleet'!$K$5:$K$36,INT(($B93/I$5))+1)),0)</f>
        <v/>
      </c>
      <c r="J93" s="276">
        <f>IFERROR(INDEX('D Fleet'!$D$5:$D$62,MATCH(J$3-$B93,'D Fleet'!$B$5:$B$62,0)),0)*IFERROR(INDEX('D Fleet'!$K$5:$K$36,INT(($B93/J$5))+1)+(($B93/J$5)-INT(($B93/J$5)))*(INDEX('D Fleet'!$K$5:$K$36,INT(($B93/J$5))+2)-INDEX('D Fleet'!$K$5:$K$36,INT(($B93/J$5))+1)),0)</f>
        <v/>
      </c>
      <c r="K93" s="276">
        <f>IFERROR(INDEX('D Fleet'!$D$5:$D$62,MATCH(K$3-$B93,'D Fleet'!$B$5:$B$62,0)),0)*IFERROR(INDEX('D Fleet'!$K$5:$K$36,INT(($B93/K$5))+1)+(($B93/K$5)-INT(($B93/K$5)))*(INDEX('D Fleet'!$K$5:$K$36,INT(($B93/K$5))+2)-INDEX('D Fleet'!$K$5:$K$36,INT(($B93/K$5))+1)),0)</f>
        <v/>
      </c>
      <c r="L93" s="276">
        <f>IFERROR(INDEX('D Fleet'!$D$5:$D$62,MATCH(L$3-$B93,'D Fleet'!$B$5:$B$62,0)),0)*IFERROR(INDEX('D Fleet'!$K$5:$K$36,INT(($B93/L$5))+1)+(($B93/L$5)-INT(($B93/L$5)))*(INDEX('D Fleet'!$K$5:$K$36,INT(($B93/L$5))+2)-INDEX('D Fleet'!$K$5:$K$36,INT(($B93/L$5))+1)),0)</f>
        <v/>
      </c>
      <c r="M93" s="276">
        <f>IFERROR(INDEX('D Fleet'!$D$5:$D$62,MATCH(M$3-$B93,'D Fleet'!$B$5:$B$62,0)),0)*IFERROR(INDEX('D Fleet'!$K$5:$K$36,INT(($B93/M$5))+1)+(($B93/M$5)-INT(($B93/M$5)))*(INDEX('D Fleet'!$K$5:$K$36,INT(($B93/M$5))+2)-INDEX('D Fleet'!$K$5:$K$36,INT(($B93/M$5))+1)),0)</f>
        <v/>
      </c>
      <c r="N93" s="276">
        <f>IFERROR(INDEX('D Fleet'!$D$5:$D$62,MATCH(N$3-$B93,'D Fleet'!$B$5:$B$62,0)),0)*IFERROR(INDEX('D Fleet'!$K$5:$K$36,INT(($B93/N$5))+1)+(($B93/N$5)-INT(($B93/N$5)))*(INDEX('D Fleet'!$K$5:$K$36,INT(($B93/N$5))+2)-INDEX('D Fleet'!$K$5:$K$36,INT(($B93/N$5))+1)),0)</f>
        <v/>
      </c>
      <c r="P93" s="276">
        <f>E93*$D93*'E1 Fleet'!$D$98</f>
        <v/>
      </c>
      <c r="Q93" s="276">
        <f>F93*$D93*'E1 Fleet'!$D$98</f>
        <v/>
      </c>
      <c r="R93" s="276">
        <f>G93*$D93*'E1 Fleet'!$D$98</f>
        <v/>
      </c>
      <c r="S93" s="276">
        <f>H93*$D93*'E1 Fleet'!$D$98</f>
        <v/>
      </c>
      <c r="T93" s="276">
        <f>I93*$D93*'E1 Fleet'!$D$98</f>
        <v/>
      </c>
      <c r="U93" s="276">
        <f>J93*$D93*'E1 Fleet'!$D$98</f>
        <v/>
      </c>
      <c r="V93" s="276">
        <f>K93*$D93*'E1 Fleet'!$D$98</f>
        <v/>
      </c>
      <c r="W93" s="276">
        <f>L93*$D93*'E1 Fleet'!$D$98</f>
        <v/>
      </c>
      <c r="X93" s="276">
        <f>M93*$D93*'E1 Fleet'!$D$98</f>
        <v/>
      </c>
      <c r="Y93" s="276">
        <f>N93*$D93*'E1 Fleet'!$D$98</f>
        <v/>
      </c>
    </row>
    <row r="94">
      <c r="A94" t="inlineStr">
        <is>
          <t>SUV</t>
        </is>
      </c>
      <c r="B94" t="n">
        <v>41</v>
      </c>
      <c r="C94" t="n">
        <v>3</v>
      </c>
      <c r="D94" s="275">
        <f>IF($B94=0,'E1 Fleet'!$D$93,1)*EXP(-'E1 Fleet'!$D$94*MAX($B94-6,0))</f>
        <v/>
      </c>
      <c r="E94" s="276">
        <f>IFERROR(INDEX('D Fleet'!$D$5:$D$62,MATCH(E$3-$B94,'D Fleet'!$B$5:$B$62,0)),0)*IFERROR(INDEX('D Fleet'!$K$5:$K$36,INT(($B94/E$5))+1)+(($B94/E$5)-INT(($B94/E$5)))*(INDEX('D Fleet'!$K$5:$K$36,INT(($B94/E$5))+2)-INDEX('D Fleet'!$K$5:$K$36,INT(($B94/E$5))+1)),0)</f>
        <v/>
      </c>
      <c r="F94" s="276">
        <f>IFERROR(INDEX('D Fleet'!$D$5:$D$62,MATCH(F$3-$B94,'D Fleet'!$B$5:$B$62,0)),0)*IFERROR(INDEX('D Fleet'!$K$5:$K$36,INT(($B94/F$5))+1)+(($B94/F$5)-INT(($B94/F$5)))*(INDEX('D Fleet'!$K$5:$K$36,INT(($B94/F$5))+2)-INDEX('D Fleet'!$K$5:$K$36,INT(($B94/F$5))+1)),0)</f>
        <v/>
      </c>
      <c r="G94" s="276">
        <f>IFERROR(INDEX('D Fleet'!$D$5:$D$62,MATCH(G$3-$B94,'D Fleet'!$B$5:$B$62,0)),0)*IFERROR(INDEX('D Fleet'!$K$5:$K$36,INT(($B94/G$5))+1)+(($B94/G$5)-INT(($B94/G$5)))*(INDEX('D Fleet'!$K$5:$K$36,INT(($B94/G$5))+2)-INDEX('D Fleet'!$K$5:$K$36,INT(($B94/G$5))+1)),0)</f>
        <v/>
      </c>
      <c r="H94" s="276">
        <f>IFERROR(INDEX('D Fleet'!$D$5:$D$62,MATCH(H$3-$B94,'D Fleet'!$B$5:$B$62,0)),0)*IFERROR(INDEX('D Fleet'!$K$5:$K$36,INT(($B94/H$5))+1)+(($B94/H$5)-INT(($B94/H$5)))*(INDEX('D Fleet'!$K$5:$K$36,INT(($B94/H$5))+2)-INDEX('D Fleet'!$K$5:$K$36,INT(($B94/H$5))+1)),0)</f>
        <v/>
      </c>
      <c r="I94" s="276">
        <f>IFERROR(INDEX('D Fleet'!$D$5:$D$62,MATCH(I$3-$B94,'D Fleet'!$B$5:$B$62,0)),0)*IFERROR(INDEX('D Fleet'!$K$5:$K$36,INT(($B94/I$5))+1)+(($B94/I$5)-INT(($B94/I$5)))*(INDEX('D Fleet'!$K$5:$K$36,INT(($B94/I$5))+2)-INDEX('D Fleet'!$K$5:$K$36,INT(($B94/I$5))+1)),0)</f>
        <v/>
      </c>
      <c r="J94" s="276">
        <f>IFERROR(INDEX('D Fleet'!$D$5:$D$62,MATCH(J$3-$B94,'D Fleet'!$B$5:$B$62,0)),0)*IFERROR(INDEX('D Fleet'!$K$5:$K$36,INT(($B94/J$5))+1)+(($B94/J$5)-INT(($B94/J$5)))*(INDEX('D Fleet'!$K$5:$K$36,INT(($B94/J$5))+2)-INDEX('D Fleet'!$K$5:$K$36,INT(($B94/J$5))+1)),0)</f>
        <v/>
      </c>
      <c r="K94" s="276">
        <f>IFERROR(INDEX('D Fleet'!$D$5:$D$62,MATCH(K$3-$B94,'D Fleet'!$B$5:$B$62,0)),0)*IFERROR(INDEX('D Fleet'!$K$5:$K$36,INT(($B94/K$5))+1)+(($B94/K$5)-INT(($B94/K$5)))*(INDEX('D Fleet'!$K$5:$K$36,INT(($B94/K$5))+2)-INDEX('D Fleet'!$K$5:$K$36,INT(($B94/K$5))+1)),0)</f>
        <v/>
      </c>
      <c r="L94" s="276">
        <f>IFERROR(INDEX('D Fleet'!$D$5:$D$62,MATCH(L$3-$B94,'D Fleet'!$B$5:$B$62,0)),0)*IFERROR(INDEX('D Fleet'!$K$5:$K$36,INT(($B94/L$5))+1)+(($B94/L$5)-INT(($B94/L$5)))*(INDEX('D Fleet'!$K$5:$K$36,INT(($B94/L$5))+2)-INDEX('D Fleet'!$K$5:$K$36,INT(($B94/L$5))+1)),0)</f>
        <v/>
      </c>
      <c r="M94" s="276">
        <f>IFERROR(INDEX('D Fleet'!$D$5:$D$62,MATCH(M$3-$B94,'D Fleet'!$B$5:$B$62,0)),0)*IFERROR(INDEX('D Fleet'!$K$5:$K$36,INT(($B94/M$5))+1)+(($B94/M$5)-INT(($B94/M$5)))*(INDEX('D Fleet'!$K$5:$K$36,INT(($B94/M$5))+2)-INDEX('D Fleet'!$K$5:$K$36,INT(($B94/M$5))+1)),0)</f>
        <v/>
      </c>
      <c r="N94" s="276">
        <f>IFERROR(INDEX('D Fleet'!$D$5:$D$62,MATCH(N$3-$B94,'D Fleet'!$B$5:$B$62,0)),0)*IFERROR(INDEX('D Fleet'!$K$5:$K$36,INT(($B94/N$5))+1)+(($B94/N$5)-INT(($B94/N$5)))*(INDEX('D Fleet'!$K$5:$K$36,INT(($B94/N$5))+2)-INDEX('D Fleet'!$K$5:$K$36,INT(($B94/N$5))+1)),0)</f>
        <v/>
      </c>
      <c r="P94" s="276">
        <f>E94*$D94*'E1 Fleet'!$D$98</f>
        <v/>
      </c>
      <c r="Q94" s="276">
        <f>F94*$D94*'E1 Fleet'!$D$98</f>
        <v/>
      </c>
      <c r="R94" s="276">
        <f>G94*$D94*'E1 Fleet'!$D$98</f>
        <v/>
      </c>
      <c r="S94" s="276">
        <f>H94*$D94*'E1 Fleet'!$D$98</f>
        <v/>
      </c>
      <c r="T94" s="276">
        <f>I94*$D94*'E1 Fleet'!$D$98</f>
        <v/>
      </c>
      <c r="U94" s="276">
        <f>J94*$D94*'E1 Fleet'!$D$98</f>
        <v/>
      </c>
      <c r="V94" s="276">
        <f>K94*$D94*'E1 Fleet'!$D$98</f>
        <v/>
      </c>
      <c r="W94" s="276">
        <f>L94*$D94*'E1 Fleet'!$D$98</f>
        <v/>
      </c>
      <c r="X94" s="276">
        <f>M94*$D94*'E1 Fleet'!$D$98</f>
        <v/>
      </c>
      <c r="Y94" s="276">
        <f>N94*$D94*'E1 Fleet'!$D$98</f>
        <v/>
      </c>
    </row>
    <row r="95">
      <c r="A95" t="inlineStr">
        <is>
          <t>SUV</t>
        </is>
      </c>
      <c r="B95" t="n">
        <v>42</v>
      </c>
      <c r="C95" t="n">
        <v>3</v>
      </c>
      <c r="D95" s="275">
        <f>IF($B95=0,'E1 Fleet'!$D$93,1)*EXP(-'E1 Fleet'!$D$94*MAX($B95-6,0))</f>
        <v/>
      </c>
      <c r="E95" s="276">
        <f>IFERROR(INDEX('D Fleet'!$D$5:$D$62,MATCH(E$3-$B95,'D Fleet'!$B$5:$B$62,0)),0)*IFERROR(INDEX('D Fleet'!$K$5:$K$36,INT(($B95/E$5))+1)+(($B95/E$5)-INT(($B95/E$5)))*(INDEX('D Fleet'!$K$5:$K$36,INT(($B95/E$5))+2)-INDEX('D Fleet'!$K$5:$K$36,INT(($B95/E$5))+1)),0)</f>
        <v/>
      </c>
      <c r="F95" s="276">
        <f>IFERROR(INDEX('D Fleet'!$D$5:$D$62,MATCH(F$3-$B95,'D Fleet'!$B$5:$B$62,0)),0)*IFERROR(INDEX('D Fleet'!$K$5:$K$36,INT(($B95/F$5))+1)+(($B95/F$5)-INT(($B95/F$5)))*(INDEX('D Fleet'!$K$5:$K$36,INT(($B95/F$5))+2)-INDEX('D Fleet'!$K$5:$K$36,INT(($B95/F$5))+1)),0)</f>
        <v/>
      </c>
      <c r="G95" s="276">
        <f>IFERROR(INDEX('D Fleet'!$D$5:$D$62,MATCH(G$3-$B95,'D Fleet'!$B$5:$B$62,0)),0)*IFERROR(INDEX('D Fleet'!$K$5:$K$36,INT(($B95/G$5))+1)+(($B95/G$5)-INT(($B95/G$5)))*(INDEX('D Fleet'!$K$5:$K$36,INT(($B95/G$5))+2)-INDEX('D Fleet'!$K$5:$K$36,INT(($B95/G$5))+1)),0)</f>
        <v/>
      </c>
      <c r="H95" s="276">
        <f>IFERROR(INDEX('D Fleet'!$D$5:$D$62,MATCH(H$3-$B95,'D Fleet'!$B$5:$B$62,0)),0)*IFERROR(INDEX('D Fleet'!$K$5:$K$36,INT(($B95/H$5))+1)+(($B95/H$5)-INT(($B95/H$5)))*(INDEX('D Fleet'!$K$5:$K$36,INT(($B95/H$5))+2)-INDEX('D Fleet'!$K$5:$K$36,INT(($B95/H$5))+1)),0)</f>
        <v/>
      </c>
      <c r="I95" s="276">
        <f>IFERROR(INDEX('D Fleet'!$D$5:$D$62,MATCH(I$3-$B95,'D Fleet'!$B$5:$B$62,0)),0)*IFERROR(INDEX('D Fleet'!$K$5:$K$36,INT(($B95/I$5))+1)+(($B95/I$5)-INT(($B95/I$5)))*(INDEX('D Fleet'!$K$5:$K$36,INT(($B95/I$5))+2)-INDEX('D Fleet'!$K$5:$K$36,INT(($B95/I$5))+1)),0)</f>
        <v/>
      </c>
      <c r="J95" s="276">
        <f>IFERROR(INDEX('D Fleet'!$D$5:$D$62,MATCH(J$3-$B95,'D Fleet'!$B$5:$B$62,0)),0)*IFERROR(INDEX('D Fleet'!$K$5:$K$36,INT(($B95/J$5))+1)+(($B95/J$5)-INT(($B95/J$5)))*(INDEX('D Fleet'!$K$5:$K$36,INT(($B95/J$5))+2)-INDEX('D Fleet'!$K$5:$K$36,INT(($B95/J$5))+1)),0)</f>
        <v/>
      </c>
      <c r="K95" s="276">
        <f>IFERROR(INDEX('D Fleet'!$D$5:$D$62,MATCH(K$3-$B95,'D Fleet'!$B$5:$B$62,0)),0)*IFERROR(INDEX('D Fleet'!$K$5:$K$36,INT(($B95/K$5))+1)+(($B95/K$5)-INT(($B95/K$5)))*(INDEX('D Fleet'!$K$5:$K$36,INT(($B95/K$5))+2)-INDEX('D Fleet'!$K$5:$K$36,INT(($B95/K$5))+1)),0)</f>
        <v/>
      </c>
      <c r="L95" s="276">
        <f>IFERROR(INDEX('D Fleet'!$D$5:$D$62,MATCH(L$3-$B95,'D Fleet'!$B$5:$B$62,0)),0)*IFERROR(INDEX('D Fleet'!$K$5:$K$36,INT(($B95/L$5))+1)+(($B95/L$5)-INT(($B95/L$5)))*(INDEX('D Fleet'!$K$5:$K$36,INT(($B95/L$5))+2)-INDEX('D Fleet'!$K$5:$K$36,INT(($B95/L$5))+1)),0)</f>
        <v/>
      </c>
      <c r="M95" s="276">
        <f>IFERROR(INDEX('D Fleet'!$D$5:$D$62,MATCH(M$3-$B95,'D Fleet'!$B$5:$B$62,0)),0)*IFERROR(INDEX('D Fleet'!$K$5:$K$36,INT(($B95/M$5))+1)+(($B95/M$5)-INT(($B95/M$5)))*(INDEX('D Fleet'!$K$5:$K$36,INT(($B95/M$5))+2)-INDEX('D Fleet'!$K$5:$K$36,INT(($B95/M$5))+1)),0)</f>
        <v/>
      </c>
      <c r="N95" s="276">
        <f>IFERROR(INDEX('D Fleet'!$D$5:$D$62,MATCH(N$3-$B95,'D Fleet'!$B$5:$B$62,0)),0)*IFERROR(INDEX('D Fleet'!$K$5:$K$36,INT(($B95/N$5))+1)+(($B95/N$5)-INT(($B95/N$5)))*(INDEX('D Fleet'!$K$5:$K$36,INT(($B95/N$5))+2)-INDEX('D Fleet'!$K$5:$K$36,INT(($B95/N$5))+1)),0)</f>
        <v/>
      </c>
      <c r="P95" s="276">
        <f>E95*$D95*'E1 Fleet'!$D$98</f>
        <v/>
      </c>
      <c r="Q95" s="276">
        <f>F95*$D95*'E1 Fleet'!$D$98</f>
        <v/>
      </c>
      <c r="R95" s="276">
        <f>G95*$D95*'E1 Fleet'!$D$98</f>
        <v/>
      </c>
      <c r="S95" s="276">
        <f>H95*$D95*'E1 Fleet'!$D$98</f>
        <v/>
      </c>
      <c r="T95" s="276">
        <f>I95*$D95*'E1 Fleet'!$D$98</f>
        <v/>
      </c>
      <c r="U95" s="276">
        <f>J95*$D95*'E1 Fleet'!$D$98</f>
        <v/>
      </c>
      <c r="V95" s="276">
        <f>K95*$D95*'E1 Fleet'!$D$98</f>
        <v/>
      </c>
      <c r="W95" s="276">
        <f>L95*$D95*'E1 Fleet'!$D$98</f>
        <v/>
      </c>
      <c r="X95" s="276">
        <f>M95*$D95*'E1 Fleet'!$D$98</f>
        <v/>
      </c>
      <c r="Y95" s="276">
        <f>N95*$D95*'E1 Fleet'!$D$98</f>
        <v/>
      </c>
    </row>
    <row r="96">
      <c r="A96" t="inlineStr">
        <is>
          <t>SUV</t>
        </is>
      </c>
      <c r="B96" t="n">
        <v>43</v>
      </c>
      <c r="C96" t="n">
        <v>3</v>
      </c>
      <c r="D96" s="275">
        <f>IF($B96=0,'E1 Fleet'!$D$93,1)*EXP(-'E1 Fleet'!$D$94*MAX($B96-6,0))</f>
        <v/>
      </c>
      <c r="E96" s="276">
        <f>IFERROR(INDEX('D Fleet'!$D$5:$D$62,MATCH(E$3-$B96,'D Fleet'!$B$5:$B$62,0)),0)*IFERROR(INDEX('D Fleet'!$K$5:$K$36,INT(($B96/E$5))+1)+(($B96/E$5)-INT(($B96/E$5)))*(INDEX('D Fleet'!$K$5:$K$36,INT(($B96/E$5))+2)-INDEX('D Fleet'!$K$5:$K$36,INT(($B96/E$5))+1)),0)</f>
        <v/>
      </c>
      <c r="F96" s="276">
        <f>IFERROR(INDEX('D Fleet'!$D$5:$D$62,MATCH(F$3-$B96,'D Fleet'!$B$5:$B$62,0)),0)*IFERROR(INDEX('D Fleet'!$K$5:$K$36,INT(($B96/F$5))+1)+(($B96/F$5)-INT(($B96/F$5)))*(INDEX('D Fleet'!$K$5:$K$36,INT(($B96/F$5))+2)-INDEX('D Fleet'!$K$5:$K$36,INT(($B96/F$5))+1)),0)</f>
        <v/>
      </c>
      <c r="G96" s="276">
        <f>IFERROR(INDEX('D Fleet'!$D$5:$D$62,MATCH(G$3-$B96,'D Fleet'!$B$5:$B$62,0)),0)*IFERROR(INDEX('D Fleet'!$K$5:$K$36,INT(($B96/G$5))+1)+(($B96/G$5)-INT(($B96/G$5)))*(INDEX('D Fleet'!$K$5:$K$36,INT(($B96/G$5))+2)-INDEX('D Fleet'!$K$5:$K$36,INT(($B96/G$5))+1)),0)</f>
        <v/>
      </c>
      <c r="H96" s="276">
        <f>IFERROR(INDEX('D Fleet'!$D$5:$D$62,MATCH(H$3-$B96,'D Fleet'!$B$5:$B$62,0)),0)*IFERROR(INDEX('D Fleet'!$K$5:$K$36,INT(($B96/H$5))+1)+(($B96/H$5)-INT(($B96/H$5)))*(INDEX('D Fleet'!$K$5:$K$36,INT(($B96/H$5))+2)-INDEX('D Fleet'!$K$5:$K$36,INT(($B96/H$5))+1)),0)</f>
        <v/>
      </c>
      <c r="I96" s="276">
        <f>IFERROR(INDEX('D Fleet'!$D$5:$D$62,MATCH(I$3-$B96,'D Fleet'!$B$5:$B$62,0)),0)*IFERROR(INDEX('D Fleet'!$K$5:$K$36,INT(($B96/I$5))+1)+(($B96/I$5)-INT(($B96/I$5)))*(INDEX('D Fleet'!$K$5:$K$36,INT(($B96/I$5))+2)-INDEX('D Fleet'!$K$5:$K$36,INT(($B96/I$5))+1)),0)</f>
        <v/>
      </c>
      <c r="J96" s="276">
        <f>IFERROR(INDEX('D Fleet'!$D$5:$D$62,MATCH(J$3-$B96,'D Fleet'!$B$5:$B$62,0)),0)*IFERROR(INDEX('D Fleet'!$K$5:$K$36,INT(($B96/J$5))+1)+(($B96/J$5)-INT(($B96/J$5)))*(INDEX('D Fleet'!$K$5:$K$36,INT(($B96/J$5))+2)-INDEX('D Fleet'!$K$5:$K$36,INT(($B96/J$5))+1)),0)</f>
        <v/>
      </c>
      <c r="K96" s="276">
        <f>IFERROR(INDEX('D Fleet'!$D$5:$D$62,MATCH(K$3-$B96,'D Fleet'!$B$5:$B$62,0)),0)*IFERROR(INDEX('D Fleet'!$K$5:$K$36,INT(($B96/K$5))+1)+(($B96/K$5)-INT(($B96/K$5)))*(INDEX('D Fleet'!$K$5:$K$36,INT(($B96/K$5))+2)-INDEX('D Fleet'!$K$5:$K$36,INT(($B96/K$5))+1)),0)</f>
        <v/>
      </c>
      <c r="L96" s="276">
        <f>IFERROR(INDEX('D Fleet'!$D$5:$D$62,MATCH(L$3-$B96,'D Fleet'!$B$5:$B$62,0)),0)*IFERROR(INDEX('D Fleet'!$K$5:$K$36,INT(($B96/L$5))+1)+(($B96/L$5)-INT(($B96/L$5)))*(INDEX('D Fleet'!$K$5:$K$36,INT(($B96/L$5))+2)-INDEX('D Fleet'!$K$5:$K$36,INT(($B96/L$5))+1)),0)</f>
        <v/>
      </c>
      <c r="M96" s="276">
        <f>IFERROR(INDEX('D Fleet'!$D$5:$D$62,MATCH(M$3-$B96,'D Fleet'!$B$5:$B$62,0)),0)*IFERROR(INDEX('D Fleet'!$K$5:$K$36,INT(($B96/M$5))+1)+(($B96/M$5)-INT(($B96/M$5)))*(INDEX('D Fleet'!$K$5:$K$36,INT(($B96/M$5))+2)-INDEX('D Fleet'!$K$5:$K$36,INT(($B96/M$5))+1)),0)</f>
        <v/>
      </c>
      <c r="N96" s="276">
        <f>IFERROR(INDEX('D Fleet'!$D$5:$D$62,MATCH(N$3-$B96,'D Fleet'!$B$5:$B$62,0)),0)*IFERROR(INDEX('D Fleet'!$K$5:$K$36,INT(($B96/N$5))+1)+(($B96/N$5)-INT(($B96/N$5)))*(INDEX('D Fleet'!$K$5:$K$36,INT(($B96/N$5))+2)-INDEX('D Fleet'!$K$5:$K$36,INT(($B96/N$5))+1)),0)</f>
        <v/>
      </c>
      <c r="P96" s="276">
        <f>E96*$D96*'E1 Fleet'!$D$98</f>
        <v/>
      </c>
      <c r="Q96" s="276">
        <f>F96*$D96*'E1 Fleet'!$D$98</f>
        <v/>
      </c>
      <c r="R96" s="276">
        <f>G96*$D96*'E1 Fleet'!$D$98</f>
        <v/>
      </c>
      <c r="S96" s="276">
        <f>H96*$D96*'E1 Fleet'!$D$98</f>
        <v/>
      </c>
      <c r="T96" s="276">
        <f>I96*$D96*'E1 Fleet'!$D$98</f>
        <v/>
      </c>
      <c r="U96" s="276">
        <f>J96*$D96*'E1 Fleet'!$D$98</f>
        <v/>
      </c>
      <c r="V96" s="276">
        <f>K96*$D96*'E1 Fleet'!$D$98</f>
        <v/>
      </c>
      <c r="W96" s="276">
        <f>L96*$D96*'E1 Fleet'!$D$98</f>
        <v/>
      </c>
      <c r="X96" s="276">
        <f>M96*$D96*'E1 Fleet'!$D$98</f>
        <v/>
      </c>
      <c r="Y96" s="276">
        <f>N96*$D96*'E1 Fleet'!$D$98</f>
        <v/>
      </c>
    </row>
    <row r="97">
      <c r="A97" t="inlineStr">
        <is>
          <t>SUV</t>
        </is>
      </c>
      <c r="B97" t="n">
        <v>44</v>
      </c>
      <c r="C97" t="n">
        <v>3</v>
      </c>
      <c r="D97" s="275">
        <f>IF($B97=0,'E1 Fleet'!$D$93,1)*EXP(-'E1 Fleet'!$D$94*MAX($B97-6,0))</f>
        <v/>
      </c>
      <c r="E97" s="276">
        <f>IFERROR(INDEX('D Fleet'!$D$5:$D$62,MATCH(E$3-$B97,'D Fleet'!$B$5:$B$62,0)),0)*IFERROR(INDEX('D Fleet'!$K$5:$K$36,INT(($B97/E$5))+1)+(($B97/E$5)-INT(($B97/E$5)))*(INDEX('D Fleet'!$K$5:$K$36,INT(($B97/E$5))+2)-INDEX('D Fleet'!$K$5:$K$36,INT(($B97/E$5))+1)),0)</f>
        <v/>
      </c>
      <c r="F97" s="276">
        <f>IFERROR(INDEX('D Fleet'!$D$5:$D$62,MATCH(F$3-$B97,'D Fleet'!$B$5:$B$62,0)),0)*IFERROR(INDEX('D Fleet'!$K$5:$K$36,INT(($B97/F$5))+1)+(($B97/F$5)-INT(($B97/F$5)))*(INDEX('D Fleet'!$K$5:$K$36,INT(($B97/F$5))+2)-INDEX('D Fleet'!$K$5:$K$36,INT(($B97/F$5))+1)),0)</f>
        <v/>
      </c>
      <c r="G97" s="276">
        <f>IFERROR(INDEX('D Fleet'!$D$5:$D$62,MATCH(G$3-$B97,'D Fleet'!$B$5:$B$62,0)),0)*IFERROR(INDEX('D Fleet'!$K$5:$K$36,INT(($B97/G$5))+1)+(($B97/G$5)-INT(($B97/G$5)))*(INDEX('D Fleet'!$K$5:$K$36,INT(($B97/G$5))+2)-INDEX('D Fleet'!$K$5:$K$36,INT(($B97/G$5))+1)),0)</f>
        <v/>
      </c>
      <c r="H97" s="276">
        <f>IFERROR(INDEX('D Fleet'!$D$5:$D$62,MATCH(H$3-$B97,'D Fleet'!$B$5:$B$62,0)),0)*IFERROR(INDEX('D Fleet'!$K$5:$K$36,INT(($B97/H$5))+1)+(($B97/H$5)-INT(($B97/H$5)))*(INDEX('D Fleet'!$K$5:$K$36,INT(($B97/H$5))+2)-INDEX('D Fleet'!$K$5:$K$36,INT(($B97/H$5))+1)),0)</f>
        <v/>
      </c>
      <c r="I97" s="276">
        <f>IFERROR(INDEX('D Fleet'!$D$5:$D$62,MATCH(I$3-$B97,'D Fleet'!$B$5:$B$62,0)),0)*IFERROR(INDEX('D Fleet'!$K$5:$K$36,INT(($B97/I$5))+1)+(($B97/I$5)-INT(($B97/I$5)))*(INDEX('D Fleet'!$K$5:$K$36,INT(($B97/I$5))+2)-INDEX('D Fleet'!$K$5:$K$36,INT(($B97/I$5))+1)),0)</f>
        <v/>
      </c>
      <c r="J97" s="276">
        <f>IFERROR(INDEX('D Fleet'!$D$5:$D$62,MATCH(J$3-$B97,'D Fleet'!$B$5:$B$62,0)),0)*IFERROR(INDEX('D Fleet'!$K$5:$K$36,INT(($B97/J$5))+1)+(($B97/J$5)-INT(($B97/J$5)))*(INDEX('D Fleet'!$K$5:$K$36,INT(($B97/J$5))+2)-INDEX('D Fleet'!$K$5:$K$36,INT(($B97/J$5))+1)),0)</f>
        <v/>
      </c>
      <c r="K97" s="276">
        <f>IFERROR(INDEX('D Fleet'!$D$5:$D$62,MATCH(K$3-$B97,'D Fleet'!$B$5:$B$62,0)),0)*IFERROR(INDEX('D Fleet'!$K$5:$K$36,INT(($B97/K$5))+1)+(($B97/K$5)-INT(($B97/K$5)))*(INDEX('D Fleet'!$K$5:$K$36,INT(($B97/K$5))+2)-INDEX('D Fleet'!$K$5:$K$36,INT(($B97/K$5))+1)),0)</f>
        <v/>
      </c>
      <c r="L97" s="276">
        <f>IFERROR(INDEX('D Fleet'!$D$5:$D$62,MATCH(L$3-$B97,'D Fleet'!$B$5:$B$62,0)),0)*IFERROR(INDEX('D Fleet'!$K$5:$K$36,INT(($B97/L$5))+1)+(($B97/L$5)-INT(($B97/L$5)))*(INDEX('D Fleet'!$K$5:$K$36,INT(($B97/L$5))+2)-INDEX('D Fleet'!$K$5:$K$36,INT(($B97/L$5))+1)),0)</f>
        <v/>
      </c>
      <c r="M97" s="276">
        <f>IFERROR(INDEX('D Fleet'!$D$5:$D$62,MATCH(M$3-$B97,'D Fleet'!$B$5:$B$62,0)),0)*IFERROR(INDEX('D Fleet'!$K$5:$K$36,INT(($B97/M$5))+1)+(($B97/M$5)-INT(($B97/M$5)))*(INDEX('D Fleet'!$K$5:$K$36,INT(($B97/M$5))+2)-INDEX('D Fleet'!$K$5:$K$36,INT(($B97/M$5))+1)),0)</f>
        <v/>
      </c>
      <c r="N97" s="276">
        <f>IFERROR(INDEX('D Fleet'!$D$5:$D$62,MATCH(N$3-$B97,'D Fleet'!$B$5:$B$62,0)),0)*IFERROR(INDEX('D Fleet'!$K$5:$K$36,INT(($B97/N$5))+1)+(($B97/N$5)-INT(($B97/N$5)))*(INDEX('D Fleet'!$K$5:$K$36,INT(($B97/N$5))+2)-INDEX('D Fleet'!$K$5:$K$36,INT(($B97/N$5))+1)),0)</f>
        <v/>
      </c>
      <c r="P97" s="276">
        <f>E97*$D97*'E1 Fleet'!$D$98</f>
        <v/>
      </c>
      <c r="Q97" s="276">
        <f>F97*$D97*'E1 Fleet'!$D$98</f>
        <v/>
      </c>
      <c r="R97" s="276">
        <f>G97*$D97*'E1 Fleet'!$D$98</f>
        <v/>
      </c>
      <c r="S97" s="276">
        <f>H97*$D97*'E1 Fleet'!$D$98</f>
        <v/>
      </c>
      <c r="T97" s="276">
        <f>I97*$D97*'E1 Fleet'!$D$98</f>
        <v/>
      </c>
      <c r="U97" s="276">
        <f>J97*$D97*'E1 Fleet'!$D$98</f>
        <v/>
      </c>
      <c r="V97" s="276">
        <f>K97*$D97*'E1 Fleet'!$D$98</f>
        <v/>
      </c>
      <c r="W97" s="276">
        <f>L97*$D97*'E1 Fleet'!$D$98</f>
        <v/>
      </c>
      <c r="X97" s="276">
        <f>M97*$D97*'E1 Fleet'!$D$98</f>
        <v/>
      </c>
      <c r="Y97" s="276">
        <f>N97*$D97*'E1 Fleet'!$D$98</f>
        <v/>
      </c>
    </row>
    <row r="98">
      <c r="A98" t="inlineStr">
        <is>
          <t>SUV</t>
        </is>
      </c>
      <c r="B98" t="n">
        <v>45</v>
      </c>
      <c r="C98" t="n">
        <v>3</v>
      </c>
      <c r="D98" s="275">
        <f>IF($B98=0,'E1 Fleet'!$D$93,1)*EXP(-'E1 Fleet'!$D$94*MAX($B98-6,0))</f>
        <v/>
      </c>
      <c r="E98" s="276">
        <f>IFERROR(INDEX('D Fleet'!$D$5:$D$62,MATCH(E$3-$B98,'D Fleet'!$B$5:$B$62,0)),0)*IFERROR(INDEX('D Fleet'!$K$5:$K$36,INT(($B98/E$5))+1)+(($B98/E$5)-INT(($B98/E$5)))*(INDEX('D Fleet'!$K$5:$K$36,INT(($B98/E$5))+2)-INDEX('D Fleet'!$K$5:$K$36,INT(($B98/E$5))+1)),0)</f>
        <v/>
      </c>
      <c r="F98" s="276">
        <f>IFERROR(INDEX('D Fleet'!$D$5:$D$62,MATCH(F$3-$B98,'D Fleet'!$B$5:$B$62,0)),0)*IFERROR(INDEX('D Fleet'!$K$5:$K$36,INT(($B98/F$5))+1)+(($B98/F$5)-INT(($B98/F$5)))*(INDEX('D Fleet'!$K$5:$K$36,INT(($B98/F$5))+2)-INDEX('D Fleet'!$K$5:$K$36,INT(($B98/F$5))+1)),0)</f>
        <v/>
      </c>
      <c r="G98" s="276">
        <f>IFERROR(INDEX('D Fleet'!$D$5:$D$62,MATCH(G$3-$B98,'D Fleet'!$B$5:$B$62,0)),0)*IFERROR(INDEX('D Fleet'!$K$5:$K$36,INT(($B98/G$5))+1)+(($B98/G$5)-INT(($B98/G$5)))*(INDEX('D Fleet'!$K$5:$K$36,INT(($B98/G$5))+2)-INDEX('D Fleet'!$K$5:$K$36,INT(($B98/G$5))+1)),0)</f>
        <v/>
      </c>
      <c r="H98" s="276">
        <f>IFERROR(INDEX('D Fleet'!$D$5:$D$62,MATCH(H$3-$B98,'D Fleet'!$B$5:$B$62,0)),0)*IFERROR(INDEX('D Fleet'!$K$5:$K$36,INT(($B98/H$5))+1)+(($B98/H$5)-INT(($B98/H$5)))*(INDEX('D Fleet'!$K$5:$K$36,INT(($B98/H$5))+2)-INDEX('D Fleet'!$K$5:$K$36,INT(($B98/H$5))+1)),0)</f>
        <v/>
      </c>
      <c r="I98" s="276">
        <f>IFERROR(INDEX('D Fleet'!$D$5:$D$62,MATCH(I$3-$B98,'D Fleet'!$B$5:$B$62,0)),0)*IFERROR(INDEX('D Fleet'!$K$5:$K$36,INT(($B98/I$5))+1)+(($B98/I$5)-INT(($B98/I$5)))*(INDEX('D Fleet'!$K$5:$K$36,INT(($B98/I$5))+2)-INDEX('D Fleet'!$K$5:$K$36,INT(($B98/I$5))+1)),0)</f>
        <v/>
      </c>
      <c r="J98" s="276">
        <f>IFERROR(INDEX('D Fleet'!$D$5:$D$62,MATCH(J$3-$B98,'D Fleet'!$B$5:$B$62,0)),0)*IFERROR(INDEX('D Fleet'!$K$5:$K$36,INT(($B98/J$5))+1)+(($B98/J$5)-INT(($B98/J$5)))*(INDEX('D Fleet'!$K$5:$K$36,INT(($B98/J$5))+2)-INDEX('D Fleet'!$K$5:$K$36,INT(($B98/J$5))+1)),0)</f>
        <v/>
      </c>
      <c r="K98" s="276">
        <f>IFERROR(INDEX('D Fleet'!$D$5:$D$62,MATCH(K$3-$B98,'D Fleet'!$B$5:$B$62,0)),0)*IFERROR(INDEX('D Fleet'!$K$5:$K$36,INT(($B98/K$5))+1)+(($B98/K$5)-INT(($B98/K$5)))*(INDEX('D Fleet'!$K$5:$K$36,INT(($B98/K$5))+2)-INDEX('D Fleet'!$K$5:$K$36,INT(($B98/K$5))+1)),0)</f>
        <v/>
      </c>
      <c r="L98" s="276">
        <f>IFERROR(INDEX('D Fleet'!$D$5:$D$62,MATCH(L$3-$B98,'D Fleet'!$B$5:$B$62,0)),0)*IFERROR(INDEX('D Fleet'!$K$5:$K$36,INT(($B98/L$5))+1)+(($B98/L$5)-INT(($B98/L$5)))*(INDEX('D Fleet'!$K$5:$K$36,INT(($B98/L$5))+2)-INDEX('D Fleet'!$K$5:$K$36,INT(($B98/L$5))+1)),0)</f>
        <v/>
      </c>
      <c r="M98" s="276">
        <f>IFERROR(INDEX('D Fleet'!$D$5:$D$62,MATCH(M$3-$B98,'D Fleet'!$B$5:$B$62,0)),0)*IFERROR(INDEX('D Fleet'!$K$5:$K$36,INT(($B98/M$5))+1)+(($B98/M$5)-INT(($B98/M$5)))*(INDEX('D Fleet'!$K$5:$K$36,INT(($B98/M$5))+2)-INDEX('D Fleet'!$K$5:$K$36,INT(($B98/M$5))+1)),0)</f>
        <v/>
      </c>
      <c r="N98" s="276">
        <f>IFERROR(INDEX('D Fleet'!$D$5:$D$62,MATCH(N$3-$B98,'D Fleet'!$B$5:$B$62,0)),0)*IFERROR(INDEX('D Fleet'!$K$5:$K$36,INT(($B98/N$5))+1)+(($B98/N$5)-INT(($B98/N$5)))*(INDEX('D Fleet'!$K$5:$K$36,INT(($B98/N$5))+2)-INDEX('D Fleet'!$K$5:$K$36,INT(($B98/N$5))+1)),0)</f>
        <v/>
      </c>
      <c r="P98" s="276">
        <f>E98*$D98*'E1 Fleet'!$D$98</f>
        <v/>
      </c>
      <c r="Q98" s="276">
        <f>F98*$D98*'E1 Fleet'!$D$98</f>
        <v/>
      </c>
      <c r="R98" s="276">
        <f>G98*$D98*'E1 Fleet'!$D$98</f>
        <v/>
      </c>
      <c r="S98" s="276">
        <f>H98*$D98*'E1 Fleet'!$D$98</f>
        <v/>
      </c>
      <c r="T98" s="276">
        <f>I98*$D98*'E1 Fleet'!$D$98</f>
        <v/>
      </c>
      <c r="U98" s="276">
        <f>J98*$D98*'E1 Fleet'!$D$98</f>
        <v/>
      </c>
      <c r="V98" s="276">
        <f>K98*$D98*'E1 Fleet'!$D$98</f>
        <v/>
      </c>
      <c r="W98" s="276">
        <f>L98*$D98*'E1 Fleet'!$D$98</f>
        <v/>
      </c>
      <c r="X98" s="276">
        <f>M98*$D98*'E1 Fleet'!$D$98</f>
        <v/>
      </c>
      <c r="Y98" s="276">
        <f>N98*$D98*'E1 Fleet'!$D$98</f>
        <v/>
      </c>
    </row>
    <row r="99">
      <c r="A99" t="inlineStr">
        <is>
          <t>Pickup</t>
        </is>
      </c>
      <c r="B99" t="n">
        <v>0</v>
      </c>
      <c r="C99" t="n">
        <v>0</v>
      </c>
      <c r="D99" s="275">
        <f>IF($B99=0,'E1 Fleet'!$D$93,1)*EXP(-'E1 Fleet'!$D$94*MAX($B99-6,0))</f>
        <v/>
      </c>
      <c r="E99" s="276">
        <f>IFERROR(INDEX('D Fleet'!$E$5:$E$62,MATCH(E$3-$B99,'D Fleet'!$B$5:$B$62,0)),0)*IFERROR(INDEX('D Fleet'!$K$5:$K$36,INT(($B99/E$5))+1)+(($B99/E$5)-INT(($B99/E$5)))*(INDEX('D Fleet'!$K$5:$K$36,INT(($B99/E$5))+2)-INDEX('D Fleet'!$K$5:$K$36,INT(($B99/E$5))+1)),0)</f>
        <v/>
      </c>
      <c r="F99" s="276">
        <f>IFERROR(INDEX('D Fleet'!$E$5:$E$62,MATCH(F$3-$B99,'D Fleet'!$B$5:$B$62,0)),0)*IFERROR(INDEX('D Fleet'!$K$5:$K$36,INT(($B99/F$5))+1)+(($B99/F$5)-INT(($B99/F$5)))*(INDEX('D Fleet'!$K$5:$K$36,INT(($B99/F$5))+2)-INDEX('D Fleet'!$K$5:$K$36,INT(($B99/F$5))+1)),0)</f>
        <v/>
      </c>
      <c r="G99" s="276">
        <f>IFERROR(INDEX('D Fleet'!$E$5:$E$62,MATCH(G$3-$B99,'D Fleet'!$B$5:$B$62,0)),0)*IFERROR(INDEX('D Fleet'!$K$5:$K$36,INT(($B99/G$5))+1)+(($B99/G$5)-INT(($B99/G$5)))*(INDEX('D Fleet'!$K$5:$K$36,INT(($B99/G$5))+2)-INDEX('D Fleet'!$K$5:$K$36,INT(($B99/G$5))+1)),0)</f>
        <v/>
      </c>
      <c r="H99" s="276">
        <f>IFERROR(INDEX('D Fleet'!$E$5:$E$62,MATCH(H$3-$B99,'D Fleet'!$B$5:$B$62,0)),0)*IFERROR(INDEX('D Fleet'!$K$5:$K$36,INT(($B99/H$5))+1)+(($B99/H$5)-INT(($B99/H$5)))*(INDEX('D Fleet'!$K$5:$K$36,INT(($B99/H$5))+2)-INDEX('D Fleet'!$K$5:$K$36,INT(($B99/H$5))+1)),0)</f>
        <v/>
      </c>
      <c r="I99" s="276">
        <f>IFERROR(INDEX('D Fleet'!$E$5:$E$62,MATCH(I$3-$B99,'D Fleet'!$B$5:$B$62,0)),0)*IFERROR(INDEX('D Fleet'!$K$5:$K$36,INT(($B99/I$5))+1)+(($B99/I$5)-INT(($B99/I$5)))*(INDEX('D Fleet'!$K$5:$K$36,INT(($B99/I$5))+2)-INDEX('D Fleet'!$K$5:$K$36,INT(($B99/I$5))+1)),0)</f>
        <v/>
      </c>
      <c r="J99" s="276">
        <f>IFERROR(INDEX('D Fleet'!$E$5:$E$62,MATCH(J$3-$B99,'D Fleet'!$B$5:$B$62,0)),0)*IFERROR(INDEX('D Fleet'!$K$5:$K$36,INT(($B99/J$5))+1)+(($B99/J$5)-INT(($B99/J$5)))*(INDEX('D Fleet'!$K$5:$K$36,INT(($B99/J$5))+2)-INDEX('D Fleet'!$K$5:$K$36,INT(($B99/J$5))+1)),0)</f>
        <v/>
      </c>
      <c r="K99" s="276">
        <f>IFERROR(INDEX('D Fleet'!$E$5:$E$62,MATCH(K$3-$B99,'D Fleet'!$B$5:$B$62,0)),0)*IFERROR(INDEX('D Fleet'!$K$5:$K$36,INT(($B99/K$5))+1)+(($B99/K$5)-INT(($B99/K$5)))*(INDEX('D Fleet'!$K$5:$K$36,INT(($B99/K$5))+2)-INDEX('D Fleet'!$K$5:$K$36,INT(($B99/K$5))+1)),0)</f>
        <v/>
      </c>
      <c r="L99" s="276">
        <f>IFERROR(INDEX('D Fleet'!$E$5:$E$62,MATCH(L$3-$B99,'D Fleet'!$B$5:$B$62,0)),0)*IFERROR(INDEX('D Fleet'!$K$5:$K$36,INT(($B99/L$5))+1)+(($B99/L$5)-INT(($B99/L$5)))*(INDEX('D Fleet'!$K$5:$K$36,INT(($B99/L$5))+2)-INDEX('D Fleet'!$K$5:$K$36,INT(($B99/L$5))+1)),0)</f>
        <v/>
      </c>
      <c r="M99" s="276">
        <f>IFERROR(INDEX('D Fleet'!$E$5:$E$62,MATCH(M$3-$B99,'D Fleet'!$B$5:$B$62,0)),0)*IFERROR(INDEX('D Fleet'!$K$5:$K$36,INT(($B99/M$5))+1)+(($B99/M$5)-INT(($B99/M$5)))*(INDEX('D Fleet'!$K$5:$K$36,INT(($B99/M$5))+2)-INDEX('D Fleet'!$K$5:$K$36,INT(($B99/M$5))+1)),0)</f>
        <v/>
      </c>
      <c r="N99" s="276">
        <f>IFERROR(INDEX('D Fleet'!$E$5:$E$62,MATCH(N$3-$B99,'D Fleet'!$B$5:$B$62,0)),0)*IFERROR(INDEX('D Fleet'!$K$5:$K$36,INT(($B99/N$5))+1)+(($B99/N$5)-INT(($B99/N$5)))*(INDEX('D Fleet'!$K$5:$K$36,INT(($B99/N$5))+2)-INDEX('D Fleet'!$K$5:$K$36,INT(($B99/N$5))+1)),0)</f>
        <v/>
      </c>
      <c r="P99" s="276">
        <f>E99*$D99*'E1 Fleet'!$D$99</f>
        <v/>
      </c>
      <c r="Q99" s="276">
        <f>F99*$D99*'E1 Fleet'!$D$99</f>
        <v/>
      </c>
      <c r="R99" s="276">
        <f>G99*$D99*'E1 Fleet'!$D$99</f>
        <v/>
      </c>
      <c r="S99" s="276">
        <f>H99*$D99*'E1 Fleet'!$D$99</f>
        <v/>
      </c>
      <c r="T99" s="276">
        <f>I99*$D99*'E1 Fleet'!$D$99</f>
        <v/>
      </c>
      <c r="U99" s="276">
        <f>J99*$D99*'E1 Fleet'!$D$99</f>
        <v/>
      </c>
      <c r="V99" s="276">
        <f>K99*$D99*'E1 Fleet'!$D$99</f>
        <v/>
      </c>
      <c r="W99" s="276">
        <f>L99*$D99*'E1 Fleet'!$D$99</f>
        <v/>
      </c>
      <c r="X99" s="276">
        <f>M99*$D99*'E1 Fleet'!$D$99</f>
        <v/>
      </c>
      <c r="Y99" s="276">
        <f>N99*$D99*'E1 Fleet'!$D$99</f>
        <v/>
      </c>
    </row>
    <row r="100">
      <c r="A100" t="inlineStr">
        <is>
          <t>Pickup</t>
        </is>
      </c>
      <c r="B100" t="n">
        <v>1</v>
      </c>
      <c r="C100" t="n">
        <v>1</v>
      </c>
      <c r="D100" s="275">
        <f>IF($B100=0,'E1 Fleet'!$D$93,1)*EXP(-'E1 Fleet'!$D$94*MAX($B100-6,0))</f>
        <v/>
      </c>
      <c r="E100" s="276">
        <f>IFERROR(INDEX('D Fleet'!$E$5:$E$62,MATCH(E$3-$B100,'D Fleet'!$B$5:$B$62,0)),0)*IFERROR(INDEX('D Fleet'!$K$5:$K$36,INT(($B100/E$5))+1)+(($B100/E$5)-INT(($B100/E$5)))*(INDEX('D Fleet'!$K$5:$K$36,INT(($B100/E$5))+2)-INDEX('D Fleet'!$K$5:$K$36,INT(($B100/E$5))+1)),0)</f>
        <v/>
      </c>
      <c r="F100" s="276">
        <f>IFERROR(INDEX('D Fleet'!$E$5:$E$62,MATCH(F$3-$B100,'D Fleet'!$B$5:$B$62,0)),0)*IFERROR(INDEX('D Fleet'!$K$5:$K$36,INT(($B100/F$5))+1)+(($B100/F$5)-INT(($B100/F$5)))*(INDEX('D Fleet'!$K$5:$K$36,INT(($B100/F$5))+2)-INDEX('D Fleet'!$K$5:$K$36,INT(($B100/F$5))+1)),0)</f>
        <v/>
      </c>
      <c r="G100" s="276">
        <f>IFERROR(INDEX('D Fleet'!$E$5:$E$62,MATCH(G$3-$B100,'D Fleet'!$B$5:$B$62,0)),0)*IFERROR(INDEX('D Fleet'!$K$5:$K$36,INT(($B100/G$5))+1)+(($B100/G$5)-INT(($B100/G$5)))*(INDEX('D Fleet'!$K$5:$K$36,INT(($B100/G$5))+2)-INDEX('D Fleet'!$K$5:$K$36,INT(($B100/G$5))+1)),0)</f>
        <v/>
      </c>
      <c r="H100" s="276">
        <f>IFERROR(INDEX('D Fleet'!$E$5:$E$62,MATCH(H$3-$B100,'D Fleet'!$B$5:$B$62,0)),0)*IFERROR(INDEX('D Fleet'!$K$5:$K$36,INT(($B100/H$5))+1)+(($B100/H$5)-INT(($B100/H$5)))*(INDEX('D Fleet'!$K$5:$K$36,INT(($B100/H$5))+2)-INDEX('D Fleet'!$K$5:$K$36,INT(($B100/H$5))+1)),0)</f>
        <v/>
      </c>
      <c r="I100" s="276">
        <f>IFERROR(INDEX('D Fleet'!$E$5:$E$62,MATCH(I$3-$B100,'D Fleet'!$B$5:$B$62,0)),0)*IFERROR(INDEX('D Fleet'!$K$5:$K$36,INT(($B100/I$5))+1)+(($B100/I$5)-INT(($B100/I$5)))*(INDEX('D Fleet'!$K$5:$K$36,INT(($B100/I$5))+2)-INDEX('D Fleet'!$K$5:$K$36,INT(($B100/I$5))+1)),0)</f>
        <v/>
      </c>
      <c r="J100" s="276">
        <f>IFERROR(INDEX('D Fleet'!$E$5:$E$62,MATCH(J$3-$B100,'D Fleet'!$B$5:$B$62,0)),0)*IFERROR(INDEX('D Fleet'!$K$5:$K$36,INT(($B100/J$5))+1)+(($B100/J$5)-INT(($B100/J$5)))*(INDEX('D Fleet'!$K$5:$K$36,INT(($B100/J$5))+2)-INDEX('D Fleet'!$K$5:$K$36,INT(($B100/J$5))+1)),0)</f>
        <v/>
      </c>
      <c r="K100" s="276">
        <f>IFERROR(INDEX('D Fleet'!$E$5:$E$62,MATCH(K$3-$B100,'D Fleet'!$B$5:$B$62,0)),0)*IFERROR(INDEX('D Fleet'!$K$5:$K$36,INT(($B100/K$5))+1)+(($B100/K$5)-INT(($B100/K$5)))*(INDEX('D Fleet'!$K$5:$K$36,INT(($B100/K$5))+2)-INDEX('D Fleet'!$K$5:$K$36,INT(($B100/K$5))+1)),0)</f>
        <v/>
      </c>
      <c r="L100" s="276">
        <f>IFERROR(INDEX('D Fleet'!$E$5:$E$62,MATCH(L$3-$B100,'D Fleet'!$B$5:$B$62,0)),0)*IFERROR(INDEX('D Fleet'!$K$5:$K$36,INT(($B100/L$5))+1)+(($B100/L$5)-INT(($B100/L$5)))*(INDEX('D Fleet'!$K$5:$K$36,INT(($B100/L$5))+2)-INDEX('D Fleet'!$K$5:$K$36,INT(($B100/L$5))+1)),0)</f>
        <v/>
      </c>
      <c r="M100" s="276">
        <f>IFERROR(INDEX('D Fleet'!$E$5:$E$62,MATCH(M$3-$B100,'D Fleet'!$B$5:$B$62,0)),0)*IFERROR(INDEX('D Fleet'!$K$5:$K$36,INT(($B100/M$5))+1)+(($B100/M$5)-INT(($B100/M$5)))*(INDEX('D Fleet'!$K$5:$K$36,INT(($B100/M$5))+2)-INDEX('D Fleet'!$K$5:$K$36,INT(($B100/M$5))+1)),0)</f>
        <v/>
      </c>
      <c r="N100" s="276">
        <f>IFERROR(INDEX('D Fleet'!$E$5:$E$62,MATCH(N$3-$B100,'D Fleet'!$B$5:$B$62,0)),0)*IFERROR(INDEX('D Fleet'!$K$5:$K$36,INT(($B100/N$5))+1)+(($B100/N$5)-INT(($B100/N$5)))*(INDEX('D Fleet'!$K$5:$K$36,INT(($B100/N$5))+2)-INDEX('D Fleet'!$K$5:$K$36,INT(($B100/N$5))+1)),0)</f>
        <v/>
      </c>
      <c r="P100" s="276">
        <f>E100*$D100*'E1 Fleet'!$D$99</f>
        <v/>
      </c>
      <c r="Q100" s="276">
        <f>F100*$D100*'E1 Fleet'!$D$99</f>
        <v/>
      </c>
      <c r="R100" s="276">
        <f>G100*$D100*'E1 Fleet'!$D$99</f>
        <v/>
      </c>
      <c r="S100" s="276">
        <f>H100*$D100*'E1 Fleet'!$D$99</f>
        <v/>
      </c>
      <c r="T100" s="276">
        <f>I100*$D100*'E1 Fleet'!$D$99</f>
        <v/>
      </c>
      <c r="U100" s="276">
        <f>J100*$D100*'E1 Fleet'!$D$99</f>
        <v/>
      </c>
      <c r="V100" s="276">
        <f>K100*$D100*'E1 Fleet'!$D$99</f>
        <v/>
      </c>
      <c r="W100" s="276">
        <f>L100*$D100*'E1 Fleet'!$D$99</f>
        <v/>
      </c>
      <c r="X100" s="276">
        <f>M100*$D100*'E1 Fleet'!$D$99</f>
        <v/>
      </c>
      <c r="Y100" s="276">
        <f>N100*$D100*'E1 Fleet'!$D$99</f>
        <v/>
      </c>
    </row>
    <row r="101">
      <c r="A101" t="inlineStr">
        <is>
          <t>Pickup</t>
        </is>
      </c>
      <c r="B101" t="n">
        <v>2</v>
      </c>
      <c r="C101" t="n">
        <v>1</v>
      </c>
      <c r="D101" s="275">
        <f>IF($B101=0,'E1 Fleet'!$D$93,1)*EXP(-'E1 Fleet'!$D$94*MAX($B101-6,0))</f>
        <v/>
      </c>
      <c r="E101" s="276">
        <f>IFERROR(INDEX('D Fleet'!$E$5:$E$62,MATCH(E$3-$B101,'D Fleet'!$B$5:$B$62,0)),0)*IFERROR(INDEX('D Fleet'!$K$5:$K$36,INT(($B101/E$5))+1)+(($B101/E$5)-INT(($B101/E$5)))*(INDEX('D Fleet'!$K$5:$K$36,INT(($B101/E$5))+2)-INDEX('D Fleet'!$K$5:$K$36,INT(($B101/E$5))+1)),0)</f>
        <v/>
      </c>
      <c r="F101" s="276">
        <f>IFERROR(INDEX('D Fleet'!$E$5:$E$62,MATCH(F$3-$B101,'D Fleet'!$B$5:$B$62,0)),0)*IFERROR(INDEX('D Fleet'!$K$5:$K$36,INT(($B101/F$5))+1)+(($B101/F$5)-INT(($B101/F$5)))*(INDEX('D Fleet'!$K$5:$K$36,INT(($B101/F$5))+2)-INDEX('D Fleet'!$K$5:$K$36,INT(($B101/F$5))+1)),0)</f>
        <v/>
      </c>
      <c r="G101" s="276">
        <f>IFERROR(INDEX('D Fleet'!$E$5:$E$62,MATCH(G$3-$B101,'D Fleet'!$B$5:$B$62,0)),0)*IFERROR(INDEX('D Fleet'!$K$5:$K$36,INT(($B101/G$5))+1)+(($B101/G$5)-INT(($B101/G$5)))*(INDEX('D Fleet'!$K$5:$K$36,INT(($B101/G$5))+2)-INDEX('D Fleet'!$K$5:$K$36,INT(($B101/G$5))+1)),0)</f>
        <v/>
      </c>
      <c r="H101" s="276">
        <f>IFERROR(INDEX('D Fleet'!$E$5:$E$62,MATCH(H$3-$B101,'D Fleet'!$B$5:$B$62,0)),0)*IFERROR(INDEX('D Fleet'!$K$5:$K$36,INT(($B101/H$5))+1)+(($B101/H$5)-INT(($B101/H$5)))*(INDEX('D Fleet'!$K$5:$K$36,INT(($B101/H$5))+2)-INDEX('D Fleet'!$K$5:$K$36,INT(($B101/H$5))+1)),0)</f>
        <v/>
      </c>
      <c r="I101" s="276">
        <f>IFERROR(INDEX('D Fleet'!$E$5:$E$62,MATCH(I$3-$B101,'D Fleet'!$B$5:$B$62,0)),0)*IFERROR(INDEX('D Fleet'!$K$5:$K$36,INT(($B101/I$5))+1)+(($B101/I$5)-INT(($B101/I$5)))*(INDEX('D Fleet'!$K$5:$K$36,INT(($B101/I$5))+2)-INDEX('D Fleet'!$K$5:$K$36,INT(($B101/I$5))+1)),0)</f>
        <v/>
      </c>
      <c r="J101" s="276">
        <f>IFERROR(INDEX('D Fleet'!$E$5:$E$62,MATCH(J$3-$B101,'D Fleet'!$B$5:$B$62,0)),0)*IFERROR(INDEX('D Fleet'!$K$5:$K$36,INT(($B101/J$5))+1)+(($B101/J$5)-INT(($B101/J$5)))*(INDEX('D Fleet'!$K$5:$K$36,INT(($B101/J$5))+2)-INDEX('D Fleet'!$K$5:$K$36,INT(($B101/J$5))+1)),0)</f>
        <v/>
      </c>
      <c r="K101" s="276">
        <f>IFERROR(INDEX('D Fleet'!$E$5:$E$62,MATCH(K$3-$B101,'D Fleet'!$B$5:$B$62,0)),0)*IFERROR(INDEX('D Fleet'!$K$5:$K$36,INT(($B101/K$5))+1)+(($B101/K$5)-INT(($B101/K$5)))*(INDEX('D Fleet'!$K$5:$K$36,INT(($B101/K$5))+2)-INDEX('D Fleet'!$K$5:$K$36,INT(($B101/K$5))+1)),0)</f>
        <v/>
      </c>
      <c r="L101" s="276">
        <f>IFERROR(INDEX('D Fleet'!$E$5:$E$62,MATCH(L$3-$B101,'D Fleet'!$B$5:$B$62,0)),0)*IFERROR(INDEX('D Fleet'!$K$5:$K$36,INT(($B101/L$5))+1)+(($B101/L$5)-INT(($B101/L$5)))*(INDEX('D Fleet'!$K$5:$K$36,INT(($B101/L$5))+2)-INDEX('D Fleet'!$K$5:$K$36,INT(($B101/L$5))+1)),0)</f>
        <v/>
      </c>
      <c r="M101" s="276">
        <f>IFERROR(INDEX('D Fleet'!$E$5:$E$62,MATCH(M$3-$B101,'D Fleet'!$B$5:$B$62,0)),0)*IFERROR(INDEX('D Fleet'!$K$5:$K$36,INT(($B101/M$5))+1)+(($B101/M$5)-INT(($B101/M$5)))*(INDEX('D Fleet'!$K$5:$K$36,INT(($B101/M$5))+2)-INDEX('D Fleet'!$K$5:$K$36,INT(($B101/M$5))+1)),0)</f>
        <v/>
      </c>
      <c r="N101" s="276">
        <f>IFERROR(INDEX('D Fleet'!$E$5:$E$62,MATCH(N$3-$B101,'D Fleet'!$B$5:$B$62,0)),0)*IFERROR(INDEX('D Fleet'!$K$5:$K$36,INT(($B101/N$5))+1)+(($B101/N$5)-INT(($B101/N$5)))*(INDEX('D Fleet'!$K$5:$K$36,INT(($B101/N$5))+2)-INDEX('D Fleet'!$K$5:$K$36,INT(($B101/N$5))+1)),0)</f>
        <v/>
      </c>
      <c r="P101" s="276">
        <f>E101*$D101*'E1 Fleet'!$D$99</f>
        <v/>
      </c>
      <c r="Q101" s="276">
        <f>F101*$D101*'E1 Fleet'!$D$99</f>
        <v/>
      </c>
      <c r="R101" s="276">
        <f>G101*$D101*'E1 Fleet'!$D$99</f>
        <v/>
      </c>
      <c r="S101" s="276">
        <f>H101*$D101*'E1 Fleet'!$D$99</f>
        <v/>
      </c>
      <c r="T101" s="276">
        <f>I101*$D101*'E1 Fleet'!$D$99</f>
        <v/>
      </c>
      <c r="U101" s="276">
        <f>J101*$D101*'E1 Fleet'!$D$99</f>
        <v/>
      </c>
      <c r="V101" s="276">
        <f>K101*$D101*'E1 Fleet'!$D$99</f>
        <v/>
      </c>
      <c r="W101" s="276">
        <f>L101*$D101*'E1 Fleet'!$D$99</f>
        <v/>
      </c>
      <c r="X101" s="276">
        <f>M101*$D101*'E1 Fleet'!$D$99</f>
        <v/>
      </c>
      <c r="Y101" s="276">
        <f>N101*$D101*'E1 Fleet'!$D$99</f>
        <v/>
      </c>
    </row>
    <row r="102">
      <c r="A102" t="inlineStr">
        <is>
          <t>Pickup</t>
        </is>
      </c>
      <c r="B102" t="n">
        <v>3</v>
      </c>
      <c r="C102" t="n">
        <v>1</v>
      </c>
      <c r="D102" s="275">
        <f>IF($B102=0,'E1 Fleet'!$D$93,1)*EXP(-'E1 Fleet'!$D$94*MAX($B102-6,0))</f>
        <v/>
      </c>
      <c r="E102" s="276">
        <f>IFERROR(INDEX('D Fleet'!$E$5:$E$62,MATCH(E$3-$B102,'D Fleet'!$B$5:$B$62,0)),0)*IFERROR(INDEX('D Fleet'!$K$5:$K$36,INT(($B102/E$5))+1)+(($B102/E$5)-INT(($B102/E$5)))*(INDEX('D Fleet'!$K$5:$K$36,INT(($B102/E$5))+2)-INDEX('D Fleet'!$K$5:$K$36,INT(($B102/E$5))+1)),0)</f>
        <v/>
      </c>
      <c r="F102" s="276">
        <f>IFERROR(INDEX('D Fleet'!$E$5:$E$62,MATCH(F$3-$B102,'D Fleet'!$B$5:$B$62,0)),0)*IFERROR(INDEX('D Fleet'!$K$5:$K$36,INT(($B102/F$5))+1)+(($B102/F$5)-INT(($B102/F$5)))*(INDEX('D Fleet'!$K$5:$K$36,INT(($B102/F$5))+2)-INDEX('D Fleet'!$K$5:$K$36,INT(($B102/F$5))+1)),0)</f>
        <v/>
      </c>
      <c r="G102" s="276">
        <f>IFERROR(INDEX('D Fleet'!$E$5:$E$62,MATCH(G$3-$B102,'D Fleet'!$B$5:$B$62,0)),0)*IFERROR(INDEX('D Fleet'!$K$5:$K$36,INT(($B102/G$5))+1)+(($B102/G$5)-INT(($B102/G$5)))*(INDEX('D Fleet'!$K$5:$K$36,INT(($B102/G$5))+2)-INDEX('D Fleet'!$K$5:$K$36,INT(($B102/G$5))+1)),0)</f>
        <v/>
      </c>
      <c r="H102" s="276">
        <f>IFERROR(INDEX('D Fleet'!$E$5:$E$62,MATCH(H$3-$B102,'D Fleet'!$B$5:$B$62,0)),0)*IFERROR(INDEX('D Fleet'!$K$5:$K$36,INT(($B102/H$5))+1)+(($B102/H$5)-INT(($B102/H$5)))*(INDEX('D Fleet'!$K$5:$K$36,INT(($B102/H$5))+2)-INDEX('D Fleet'!$K$5:$K$36,INT(($B102/H$5))+1)),0)</f>
        <v/>
      </c>
      <c r="I102" s="276">
        <f>IFERROR(INDEX('D Fleet'!$E$5:$E$62,MATCH(I$3-$B102,'D Fleet'!$B$5:$B$62,0)),0)*IFERROR(INDEX('D Fleet'!$K$5:$K$36,INT(($B102/I$5))+1)+(($B102/I$5)-INT(($B102/I$5)))*(INDEX('D Fleet'!$K$5:$K$36,INT(($B102/I$5))+2)-INDEX('D Fleet'!$K$5:$K$36,INT(($B102/I$5))+1)),0)</f>
        <v/>
      </c>
      <c r="J102" s="276">
        <f>IFERROR(INDEX('D Fleet'!$E$5:$E$62,MATCH(J$3-$B102,'D Fleet'!$B$5:$B$62,0)),0)*IFERROR(INDEX('D Fleet'!$K$5:$K$36,INT(($B102/J$5))+1)+(($B102/J$5)-INT(($B102/J$5)))*(INDEX('D Fleet'!$K$5:$K$36,INT(($B102/J$5))+2)-INDEX('D Fleet'!$K$5:$K$36,INT(($B102/J$5))+1)),0)</f>
        <v/>
      </c>
      <c r="K102" s="276">
        <f>IFERROR(INDEX('D Fleet'!$E$5:$E$62,MATCH(K$3-$B102,'D Fleet'!$B$5:$B$62,0)),0)*IFERROR(INDEX('D Fleet'!$K$5:$K$36,INT(($B102/K$5))+1)+(($B102/K$5)-INT(($B102/K$5)))*(INDEX('D Fleet'!$K$5:$K$36,INT(($B102/K$5))+2)-INDEX('D Fleet'!$K$5:$K$36,INT(($B102/K$5))+1)),0)</f>
        <v/>
      </c>
      <c r="L102" s="276">
        <f>IFERROR(INDEX('D Fleet'!$E$5:$E$62,MATCH(L$3-$B102,'D Fleet'!$B$5:$B$62,0)),0)*IFERROR(INDEX('D Fleet'!$K$5:$K$36,INT(($B102/L$5))+1)+(($B102/L$5)-INT(($B102/L$5)))*(INDEX('D Fleet'!$K$5:$K$36,INT(($B102/L$5))+2)-INDEX('D Fleet'!$K$5:$K$36,INT(($B102/L$5))+1)),0)</f>
        <v/>
      </c>
      <c r="M102" s="276">
        <f>IFERROR(INDEX('D Fleet'!$E$5:$E$62,MATCH(M$3-$B102,'D Fleet'!$B$5:$B$62,0)),0)*IFERROR(INDEX('D Fleet'!$K$5:$K$36,INT(($B102/M$5))+1)+(($B102/M$5)-INT(($B102/M$5)))*(INDEX('D Fleet'!$K$5:$K$36,INT(($B102/M$5))+2)-INDEX('D Fleet'!$K$5:$K$36,INT(($B102/M$5))+1)),0)</f>
        <v/>
      </c>
      <c r="N102" s="276">
        <f>IFERROR(INDEX('D Fleet'!$E$5:$E$62,MATCH(N$3-$B102,'D Fleet'!$B$5:$B$62,0)),0)*IFERROR(INDEX('D Fleet'!$K$5:$K$36,INT(($B102/N$5))+1)+(($B102/N$5)-INT(($B102/N$5)))*(INDEX('D Fleet'!$K$5:$K$36,INT(($B102/N$5))+2)-INDEX('D Fleet'!$K$5:$K$36,INT(($B102/N$5))+1)),0)</f>
        <v/>
      </c>
      <c r="P102" s="276">
        <f>E102*$D102*'E1 Fleet'!$D$99</f>
        <v/>
      </c>
      <c r="Q102" s="276">
        <f>F102*$D102*'E1 Fleet'!$D$99</f>
        <v/>
      </c>
      <c r="R102" s="276">
        <f>G102*$D102*'E1 Fleet'!$D$99</f>
        <v/>
      </c>
      <c r="S102" s="276">
        <f>H102*$D102*'E1 Fleet'!$D$99</f>
        <v/>
      </c>
      <c r="T102" s="276">
        <f>I102*$D102*'E1 Fleet'!$D$99</f>
        <v/>
      </c>
      <c r="U102" s="276">
        <f>J102*$D102*'E1 Fleet'!$D$99</f>
        <v/>
      </c>
      <c r="V102" s="276">
        <f>K102*$D102*'E1 Fleet'!$D$99</f>
        <v/>
      </c>
      <c r="W102" s="276">
        <f>L102*$D102*'E1 Fleet'!$D$99</f>
        <v/>
      </c>
      <c r="X102" s="276">
        <f>M102*$D102*'E1 Fleet'!$D$99</f>
        <v/>
      </c>
      <c r="Y102" s="276">
        <f>N102*$D102*'E1 Fleet'!$D$99</f>
        <v/>
      </c>
    </row>
    <row r="103">
      <c r="A103" t="inlineStr">
        <is>
          <t>Pickup</t>
        </is>
      </c>
      <c r="B103" t="n">
        <v>4</v>
      </c>
      <c r="C103" t="n">
        <v>2</v>
      </c>
      <c r="D103" s="275">
        <f>IF($B103=0,'E1 Fleet'!$D$93,1)*EXP(-'E1 Fleet'!$D$94*MAX($B103-6,0))</f>
        <v/>
      </c>
      <c r="E103" s="276">
        <f>IFERROR(INDEX('D Fleet'!$E$5:$E$62,MATCH(E$3-$B103,'D Fleet'!$B$5:$B$62,0)),0)*IFERROR(INDEX('D Fleet'!$K$5:$K$36,INT(($B103/E$5))+1)+(($B103/E$5)-INT(($B103/E$5)))*(INDEX('D Fleet'!$K$5:$K$36,INT(($B103/E$5))+2)-INDEX('D Fleet'!$K$5:$K$36,INT(($B103/E$5))+1)),0)</f>
        <v/>
      </c>
      <c r="F103" s="276">
        <f>IFERROR(INDEX('D Fleet'!$E$5:$E$62,MATCH(F$3-$B103,'D Fleet'!$B$5:$B$62,0)),0)*IFERROR(INDEX('D Fleet'!$K$5:$K$36,INT(($B103/F$5))+1)+(($B103/F$5)-INT(($B103/F$5)))*(INDEX('D Fleet'!$K$5:$K$36,INT(($B103/F$5))+2)-INDEX('D Fleet'!$K$5:$K$36,INT(($B103/F$5))+1)),0)</f>
        <v/>
      </c>
      <c r="G103" s="276">
        <f>IFERROR(INDEX('D Fleet'!$E$5:$E$62,MATCH(G$3-$B103,'D Fleet'!$B$5:$B$62,0)),0)*IFERROR(INDEX('D Fleet'!$K$5:$K$36,INT(($B103/G$5))+1)+(($B103/G$5)-INT(($B103/G$5)))*(INDEX('D Fleet'!$K$5:$K$36,INT(($B103/G$5))+2)-INDEX('D Fleet'!$K$5:$K$36,INT(($B103/G$5))+1)),0)</f>
        <v/>
      </c>
      <c r="H103" s="276">
        <f>IFERROR(INDEX('D Fleet'!$E$5:$E$62,MATCH(H$3-$B103,'D Fleet'!$B$5:$B$62,0)),0)*IFERROR(INDEX('D Fleet'!$K$5:$K$36,INT(($B103/H$5))+1)+(($B103/H$5)-INT(($B103/H$5)))*(INDEX('D Fleet'!$K$5:$K$36,INT(($B103/H$5))+2)-INDEX('D Fleet'!$K$5:$K$36,INT(($B103/H$5))+1)),0)</f>
        <v/>
      </c>
      <c r="I103" s="276">
        <f>IFERROR(INDEX('D Fleet'!$E$5:$E$62,MATCH(I$3-$B103,'D Fleet'!$B$5:$B$62,0)),0)*IFERROR(INDEX('D Fleet'!$K$5:$K$36,INT(($B103/I$5))+1)+(($B103/I$5)-INT(($B103/I$5)))*(INDEX('D Fleet'!$K$5:$K$36,INT(($B103/I$5))+2)-INDEX('D Fleet'!$K$5:$K$36,INT(($B103/I$5))+1)),0)</f>
        <v/>
      </c>
      <c r="J103" s="276">
        <f>IFERROR(INDEX('D Fleet'!$E$5:$E$62,MATCH(J$3-$B103,'D Fleet'!$B$5:$B$62,0)),0)*IFERROR(INDEX('D Fleet'!$K$5:$K$36,INT(($B103/J$5))+1)+(($B103/J$5)-INT(($B103/J$5)))*(INDEX('D Fleet'!$K$5:$K$36,INT(($B103/J$5))+2)-INDEX('D Fleet'!$K$5:$K$36,INT(($B103/J$5))+1)),0)</f>
        <v/>
      </c>
      <c r="K103" s="276">
        <f>IFERROR(INDEX('D Fleet'!$E$5:$E$62,MATCH(K$3-$B103,'D Fleet'!$B$5:$B$62,0)),0)*IFERROR(INDEX('D Fleet'!$K$5:$K$36,INT(($B103/K$5))+1)+(($B103/K$5)-INT(($B103/K$5)))*(INDEX('D Fleet'!$K$5:$K$36,INT(($B103/K$5))+2)-INDEX('D Fleet'!$K$5:$K$36,INT(($B103/K$5))+1)),0)</f>
        <v/>
      </c>
      <c r="L103" s="276">
        <f>IFERROR(INDEX('D Fleet'!$E$5:$E$62,MATCH(L$3-$B103,'D Fleet'!$B$5:$B$62,0)),0)*IFERROR(INDEX('D Fleet'!$K$5:$K$36,INT(($B103/L$5))+1)+(($B103/L$5)-INT(($B103/L$5)))*(INDEX('D Fleet'!$K$5:$K$36,INT(($B103/L$5))+2)-INDEX('D Fleet'!$K$5:$K$36,INT(($B103/L$5))+1)),0)</f>
        <v/>
      </c>
      <c r="M103" s="276">
        <f>IFERROR(INDEX('D Fleet'!$E$5:$E$62,MATCH(M$3-$B103,'D Fleet'!$B$5:$B$62,0)),0)*IFERROR(INDEX('D Fleet'!$K$5:$K$36,INT(($B103/M$5))+1)+(($B103/M$5)-INT(($B103/M$5)))*(INDEX('D Fleet'!$K$5:$K$36,INT(($B103/M$5))+2)-INDEX('D Fleet'!$K$5:$K$36,INT(($B103/M$5))+1)),0)</f>
        <v/>
      </c>
      <c r="N103" s="276">
        <f>IFERROR(INDEX('D Fleet'!$E$5:$E$62,MATCH(N$3-$B103,'D Fleet'!$B$5:$B$62,0)),0)*IFERROR(INDEX('D Fleet'!$K$5:$K$36,INT(($B103/N$5))+1)+(($B103/N$5)-INT(($B103/N$5)))*(INDEX('D Fleet'!$K$5:$K$36,INT(($B103/N$5))+2)-INDEX('D Fleet'!$K$5:$K$36,INT(($B103/N$5))+1)),0)</f>
        <v/>
      </c>
      <c r="P103" s="276">
        <f>E103*$D103*'E1 Fleet'!$D$99</f>
        <v/>
      </c>
      <c r="Q103" s="276">
        <f>F103*$D103*'E1 Fleet'!$D$99</f>
        <v/>
      </c>
      <c r="R103" s="276">
        <f>G103*$D103*'E1 Fleet'!$D$99</f>
        <v/>
      </c>
      <c r="S103" s="276">
        <f>H103*$D103*'E1 Fleet'!$D$99</f>
        <v/>
      </c>
      <c r="T103" s="276">
        <f>I103*$D103*'E1 Fleet'!$D$99</f>
        <v/>
      </c>
      <c r="U103" s="276">
        <f>J103*$D103*'E1 Fleet'!$D$99</f>
        <v/>
      </c>
      <c r="V103" s="276">
        <f>K103*$D103*'E1 Fleet'!$D$99</f>
        <v/>
      </c>
      <c r="W103" s="276">
        <f>L103*$D103*'E1 Fleet'!$D$99</f>
        <v/>
      </c>
      <c r="X103" s="276">
        <f>M103*$D103*'E1 Fleet'!$D$99</f>
        <v/>
      </c>
      <c r="Y103" s="276">
        <f>N103*$D103*'E1 Fleet'!$D$99</f>
        <v/>
      </c>
    </row>
    <row r="104">
      <c r="A104" t="inlineStr">
        <is>
          <t>Pickup</t>
        </is>
      </c>
      <c r="B104" t="n">
        <v>5</v>
      </c>
      <c r="C104" t="n">
        <v>2</v>
      </c>
      <c r="D104" s="275">
        <f>IF($B104=0,'E1 Fleet'!$D$93,1)*EXP(-'E1 Fleet'!$D$94*MAX($B104-6,0))</f>
        <v/>
      </c>
      <c r="E104" s="276">
        <f>IFERROR(INDEX('D Fleet'!$E$5:$E$62,MATCH(E$3-$B104,'D Fleet'!$B$5:$B$62,0)),0)*IFERROR(INDEX('D Fleet'!$K$5:$K$36,INT(($B104/E$5))+1)+(($B104/E$5)-INT(($B104/E$5)))*(INDEX('D Fleet'!$K$5:$K$36,INT(($B104/E$5))+2)-INDEX('D Fleet'!$K$5:$K$36,INT(($B104/E$5))+1)),0)</f>
        <v/>
      </c>
      <c r="F104" s="276">
        <f>IFERROR(INDEX('D Fleet'!$E$5:$E$62,MATCH(F$3-$B104,'D Fleet'!$B$5:$B$62,0)),0)*IFERROR(INDEX('D Fleet'!$K$5:$K$36,INT(($B104/F$5))+1)+(($B104/F$5)-INT(($B104/F$5)))*(INDEX('D Fleet'!$K$5:$K$36,INT(($B104/F$5))+2)-INDEX('D Fleet'!$K$5:$K$36,INT(($B104/F$5))+1)),0)</f>
        <v/>
      </c>
      <c r="G104" s="276">
        <f>IFERROR(INDEX('D Fleet'!$E$5:$E$62,MATCH(G$3-$B104,'D Fleet'!$B$5:$B$62,0)),0)*IFERROR(INDEX('D Fleet'!$K$5:$K$36,INT(($B104/G$5))+1)+(($B104/G$5)-INT(($B104/G$5)))*(INDEX('D Fleet'!$K$5:$K$36,INT(($B104/G$5))+2)-INDEX('D Fleet'!$K$5:$K$36,INT(($B104/G$5))+1)),0)</f>
        <v/>
      </c>
      <c r="H104" s="276">
        <f>IFERROR(INDEX('D Fleet'!$E$5:$E$62,MATCH(H$3-$B104,'D Fleet'!$B$5:$B$62,0)),0)*IFERROR(INDEX('D Fleet'!$K$5:$K$36,INT(($B104/H$5))+1)+(($B104/H$5)-INT(($B104/H$5)))*(INDEX('D Fleet'!$K$5:$K$36,INT(($B104/H$5))+2)-INDEX('D Fleet'!$K$5:$K$36,INT(($B104/H$5))+1)),0)</f>
        <v/>
      </c>
      <c r="I104" s="276">
        <f>IFERROR(INDEX('D Fleet'!$E$5:$E$62,MATCH(I$3-$B104,'D Fleet'!$B$5:$B$62,0)),0)*IFERROR(INDEX('D Fleet'!$K$5:$K$36,INT(($B104/I$5))+1)+(($B104/I$5)-INT(($B104/I$5)))*(INDEX('D Fleet'!$K$5:$K$36,INT(($B104/I$5))+2)-INDEX('D Fleet'!$K$5:$K$36,INT(($B104/I$5))+1)),0)</f>
        <v/>
      </c>
      <c r="J104" s="276">
        <f>IFERROR(INDEX('D Fleet'!$E$5:$E$62,MATCH(J$3-$B104,'D Fleet'!$B$5:$B$62,0)),0)*IFERROR(INDEX('D Fleet'!$K$5:$K$36,INT(($B104/J$5))+1)+(($B104/J$5)-INT(($B104/J$5)))*(INDEX('D Fleet'!$K$5:$K$36,INT(($B104/J$5))+2)-INDEX('D Fleet'!$K$5:$K$36,INT(($B104/J$5))+1)),0)</f>
        <v/>
      </c>
      <c r="K104" s="276">
        <f>IFERROR(INDEX('D Fleet'!$E$5:$E$62,MATCH(K$3-$B104,'D Fleet'!$B$5:$B$62,0)),0)*IFERROR(INDEX('D Fleet'!$K$5:$K$36,INT(($B104/K$5))+1)+(($B104/K$5)-INT(($B104/K$5)))*(INDEX('D Fleet'!$K$5:$K$36,INT(($B104/K$5))+2)-INDEX('D Fleet'!$K$5:$K$36,INT(($B104/K$5))+1)),0)</f>
        <v/>
      </c>
      <c r="L104" s="276">
        <f>IFERROR(INDEX('D Fleet'!$E$5:$E$62,MATCH(L$3-$B104,'D Fleet'!$B$5:$B$62,0)),0)*IFERROR(INDEX('D Fleet'!$K$5:$K$36,INT(($B104/L$5))+1)+(($B104/L$5)-INT(($B104/L$5)))*(INDEX('D Fleet'!$K$5:$K$36,INT(($B104/L$5))+2)-INDEX('D Fleet'!$K$5:$K$36,INT(($B104/L$5))+1)),0)</f>
        <v/>
      </c>
      <c r="M104" s="276">
        <f>IFERROR(INDEX('D Fleet'!$E$5:$E$62,MATCH(M$3-$B104,'D Fleet'!$B$5:$B$62,0)),0)*IFERROR(INDEX('D Fleet'!$K$5:$K$36,INT(($B104/M$5))+1)+(($B104/M$5)-INT(($B104/M$5)))*(INDEX('D Fleet'!$K$5:$K$36,INT(($B104/M$5))+2)-INDEX('D Fleet'!$K$5:$K$36,INT(($B104/M$5))+1)),0)</f>
        <v/>
      </c>
      <c r="N104" s="276">
        <f>IFERROR(INDEX('D Fleet'!$E$5:$E$62,MATCH(N$3-$B104,'D Fleet'!$B$5:$B$62,0)),0)*IFERROR(INDEX('D Fleet'!$K$5:$K$36,INT(($B104/N$5))+1)+(($B104/N$5)-INT(($B104/N$5)))*(INDEX('D Fleet'!$K$5:$K$36,INT(($B104/N$5))+2)-INDEX('D Fleet'!$K$5:$K$36,INT(($B104/N$5))+1)),0)</f>
        <v/>
      </c>
      <c r="P104" s="276">
        <f>E104*$D104*'E1 Fleet'!$D$99</f>
        <v/>
      </c>
      <c r="Q104" s="276">
        <f>F104*$D104*'E1 Fleet'!$D$99</f>
        <v/>
      </c>
      <c r="R104" s="276">
        <f>G104*$D104*'E1 Fleet'!$D$99</f>
        <v/>
      </c>
      <c r="S104" s="276">
        <f>H104*$D104*'E1 Fleet'!$D$99</f>
        <v/>
      </c>
      <c r="T104" s="276">
        <f>I104*$D104*'E1 Fleet'!$D$99</f>
        <v/>
      </c>
      <c r="U104" s="276">
        <f>J104*$D104*'E1 Fleet'!$D$99</f>
        <v/>
      </c>
      <c r="V104" s="276">
        <f>K104*$D104*'E1 Fleet'!$D$99</f>
        <v/>
      </c>
      <c r="W104" s="276">
        <f>L104*$D104*'E1 Fleet'!$D$99</f>
        <v/>
      </c>
      <c r="X104" s="276">
        <f>M104*$D104*'E1 Fleet'!$D$99</f>
        <v/>
      </c>
      <c r="Y104" s="276">
        <f>N104*$D104*'E1 Fleet'!$D$99</f>
        <v/>
      </c>
    </row>
    <row r="105">
      <c r="A105" t="inlineStr">
        <is>
          <t>Pickup</t>
        </is>
      </c>
      <c r="B105" t="n">
        <v>6</v>
      </c>
      <c r="C105" t="n">
        <v>2</v>
      </c>
      <c r="D105" s="275">
        <f>IF($B105=0,'E1 Fleet'!$D$93,1)*EXP(-'E1 Fleet'!$D$94*MAX($B105-6,0))</f>
        <v/>
      </c>
      <c r="E105" s="276">
        <f>IFERROR(INDEX('D Fleet'!$E$5:$E$62,MATCH(E$3-$B105,'D Fleet'!$B$5:$B$62,0)),0)*IFERROR(INDEX('D Fleet'!$K$5:$K$36,INT(($B105/E$5))+1)+(($B105/E$5)-INT(($B105/E$5)))*(INDEX('D Fleet'!$K$5:$K$36,INT(($B105/E$5))+2)-INDEX('D Fleet'!$K$5:$K$36,INT(($B105/E$5))+1)),0)</f>
        <v/>
      </c>
      <c r="F105" s="276">
        <f>IFERROR(INDEX('D Fleet'!$E$5:$E$62,MATCH(F$3-$B105,'D Fleet'!$B$5:$B$62,0)),0)*IFERROR(INDEX('D Fleet'!$K$5:$K$36,INT(($B105/F$5))+1)+(($B105/F$5)-INT(($B105/F$5)))*(INDEX('D Fleet'!$K$5:$K$36,INT(($B105/F$5))+2)-INDEX('D Fleet'!$K$5:$K$36,INT(($B105/F$5))+1)),0)</f>
        <v/>
      </c>
      <c r="G105" s="276">
        <f>IFERROR(INDEX('D Fleet'!$E$5:$E$62,MATCH(G$3-$B105,'D Fleet'!$B$5:$B$62,0)),0)*IFERROR(INDEX('D Fleet'!$K$5:$K$36,INT(($B105/G$5))+1)+(($B105/G$5)-INT(($B105/G$5)))*(INDEX('D Fleet'!$K$5:$K$36,INT(($B105/G$5))+2)-INDEX('D Fleet'!$K$5:$K$36,INT(($B105/G$5))+1)),0)</f>
        <v/>
      </c>
      <c r="H105" s="276">
        <f>IFERROR(INDEX('D Fleet'!$E$5:$E$62,MATCH(H$3-$B105,'D Fleet'!$B$5:$B$62,0)),0)*IFERROR(INDEX('D Fleet'!$K$5:$K$36,INT(($B105/H$5))+1)+(($B105/H$5)-INT(($B105/H$5)))*(INDEX('D Fleet'!$K$5:$K$36,INT(($B105/H$5))+2)-INDEX('D Fleet'!$K$5:$K$36,INT(($B105/H$5))+1)),0)</f>
        <v/>
      </c>
      <c r="I105" s="276">
        <f>IFERROR(INDEX('D Fleet'!$E$5:$E$62,MATCH(I$3-$B105,'D Fleet'!$B$5:$B$62,0)),0)*IFERROR(INDEX('D Fleet'!$K$5:$K$36,INT(($B105/I$5))+1)+(($B105/I$5)-INT(($B105/I$5)))*(INDEX('D Fleet'!$K$5:$K$36,INT(($B105/I$5))+2)-INDEX('D Fleet'!$K$5:$K$36,INT(($B105/I$5))+1)),0)</f>
        <v/>
      </c>
      <c r="J105" s="276">
        <f>IFERROR(INDEX('D Fleet'!$E$5:$E$62,MATCH(J$3-$B105,'D Fleet'!$B$5:$B$62,0)),0)*IFERROR(INDEX('D Fleet'!$K$5:$K$36,INT(($B105/J$5))+1)+(($B105/J$5)-INT(($B105/J$5)))*(INDEX('D Fleet'!$K$5:$K$36,INT(($B105/J$5))+2)-INDEX('D Fleet'!$K$5:$K$36,INT(($B105/J$5))+1)),0)</f>
        <v/>
      </c>
      <c r="K105" s="276">
        <f>IFERROR(INDEX('D Fleet'!$E$5:$E$62,MATCH(K$3-$B105,'D Fleet'!$B$5:$B$62,0)),0)*IFERROR(INDEX('D Fleet'!$K$5:$K$36,INT(($B105/K$5))+1)+(($B105/K$5)-INT(($B105/K$5)))*(INDEX('D Fleet'!$K$5:$K$36,INT(($B105/K$5))+2)-INDEX('D Fleet'!$K$5:$K$36,INT(($B105/K$5))+1)),0)</f>
        <v/>
      </c>
      <c r="L105" s="276">
        <f>IFERROR(INDEX('D Fleet'!$E$5:$E$62,MATCH(L$3-$B105,'D Fleet'!$B$5:$B$62,0)),0)*IFERROR(INDEX('D Fleet'!$K$5:$K$36,INT(($B105/L$5))+1)+(($B105/L$5)-INT(($B105/L$5)))*(INDEX('D Fleet'!$K$5:$K$36,INT(($B105/L$5))+2)-INDEX('D Fleet'!$K$5:$K$36,INT(($B105/L$5))+1)),0)</f>
        <v/>
      </c>
      <c r="M105" s="276">
        <f>IFERROR(INDEX('D Fleet'!$E$5:$E$62,MATCH(M$3-$B105,'D Fleet'!$B$5:$B$62,0)),0)*IFERROR(INDEX('D Fleet'!$K$5:$K$36,INT(($B105/M$5))+1)+(($B105/M$5)-INT(($B105/M$5)))*(INDEX('D Fleet'!$K$5:$K$36,INT(($B105/M$5))+2)-INDEX('D Fleet'!$K$5:$K$36,INT(($B105/M$5))+1)),0)</f>
        <v/>
      </c>
      <c r="N105" s="276">
        <f>IFERROR(INDEX('D Fleet'!$E$5:$E$62,MATCH(N$3-$B105,'D Fleet'!$B$5:$B$62,0)),0)*IFERROR(INDEX('D Fleet'!$K$5:$K$36,INT(($B105/N$5))+1)+(($B105/N$5)-INT(($B105/N$5)))*(INDEX('D Fleet'!$K$5:$K$36,INT(($B105/N$5))+2)-INDEX('D Fleet'!$K$5:$K$36,INT(($B105/N$5))+1)),0)</f>
        <v/>
      </c>
      <c r="P105" s="276">
        <f>E105*$D105*'E1 Fleet'!$D$99</f>
        <v/>
      </c>
      <c r="Q105" s="276">
        <f>F105*$D105*'E1 Fleet'!$D$99</f>
        <v/>
      </c>
      <c r="R105" s="276">
        <f>G105*$D105*'E1 Fleet'!$D$99</f>
        <v/>
      </c>
      <c r="S105" s="276">
        <f>H105*$D105*'E1 Fleet'!$D$99</f>
        <v/>
      </c>
      <c r="T105" s="276">
        <f>I105*$D105*'E1 Fleet'!$D$99</f>
        <v/>
      </c>
      <c r="U105" s="276">
        <f>J105*$D105*'E1 Fleet'!$D$99</f>
        <v/>
      </c>
      <c r="V105" s="276">
        <f>K105*$D105*'E1 Fleet'!$D$99</f>
        <v/>
      </c>
      <c r="W105" s="276">
        <f>L105*$D105*'E1 Fleet'!$D$99</f>
        <v/>
      </c>
      <c r="X105" s="276">
        <f>M105*$D105*'E1 Fleet'!$D$99</f>
        <v/>
      </c>
      <c r="Y105" s="276">
        <f>N105*$D105*'E1 Fleet'!$D$99</f>
        <v/>
      </c>
    </row>
    <row r="106">
      <c r="A106" t="inlineStr">
        <is>
          <t>Pickup</t>
        </is>
      </c>
      <c r="B106" t="n">
        <v>7</v>
      </c>
      <c r="C106" t="n">
        <v>3</v>
      </c>
      <c r="D106" s="275">
        <f>IF($B106=0,'E1 Fleet'!$D$93,1)*EXP(-'E1 Fleet'!$D$94*MAX($B106-6,0))</f>
        <v/>
      </c>
      <c r="E106" s="276">
        <f>IFERROR(INDEX('D Fleet'!$E$5:$E$62,MATCH(E$3-$B106,'D Fleet'!$B$5:$B$62,0)),0)*IFERROR(INDEX('D Fleet'!$K$5:$K$36,INT(($B106/E$5))+1)+(($B106/E$5)-INT(($B106/E$5)))*(INDEX('D Fleet'!$K$5:$K$36,INT(($B106/E$5))+2)-INDEX('D Fleet'!$K$5:$K$36,INT(($B106/E$5))+1)),0)</f>
        <v/>
      </c>
      <c r="F106" s="276">
        <f>IFERROR(INDEX('D Fleet'!$E$5:$E$62,MATCH(F$3-$B106,'D Fleet'!$B$5:$B$62,0)),0)*IFERROR(INDEX('D Fleet'!$K$5:$K$36,INT(($B106/F$5))+1)+(($B106/F$5)-INT(($B106/F$5)))*(INDEX('D Fleet'!$K$5:$K$36,INT(($B106/F$5))+2)-INDEX('D Fleet'!$K$5:$K$36,INT(($B106/F$5))+1)),0)</f>
        <v/>
      </c>
      <c r="G106" s="276">
        <f>IFERROR(INDEX('D Fleet'!$E$5:$E$62,MATCH(G$3-$B106,'D Fleet'!$B$5:$B$62,0)),0)*IFERROR(INDEX('D Fleet'!$K$5:$K$36,INT(($B106/G$5))+1)+(($B106/G$5)-INT(($B106/G$5)))*(INDEX('D Fleet'!$K$5:$K$36,INT(($B106/G$5))+2)-INDEX('D Fleet'!$K$5:$K$36,INT(($B106/G$5))+1)),0)</f>
        <v/>
      </c>
      <c r="H106" s="276">
        <f>IFERROR(INDEX('D Fleet'!$E$5:$E$62,MATCH(H$3-$B106,'D Fleet'!$B$5:$B$62,0)),0)*IFERROR(INDEX('D Fleet'!$K$5:$K$36,INT(($B106/H$5))+1)+(($B106/H$5)-INT(($B106/H$5)))*(INDEX('D Fleet'!$K$5:$K$36,INT(($B106/H$5))+2)-INDEX('D Fleet'!$K$5:$K$36,INT(($B106/H$5))+1)),0)</f>
        <v/>
      </c>
      <c r="I106" s="276">
        <f>IFERROR(INDEX('D Fleet'!$E$5:$E$62,MATCH(I$3-$B106,'D Fleet'!$B$5:$B$62,0)),0)*IFERROR(INDEX('D Fleet'!$K$5:$K$36,INT(($B106/I$5))+1)+(($B106/I$5)-INT(($B106/I$5)))*(INDEX('D Fleet'!$K$5:$K$36,INT(($B106/I$5))+2)-INDEX('D Fleet'!$K$5:$K$36,INT(($B106/I$5))+1)),0)</f>
        <v/>
      </c>
      <c r="J106" s="276">
        <f>IFERROR(INDEX('D Fleet'!$E$5:$E$62,MATCH(J$3-$B106,'D Fleet'!$B$5:$B$62,0)),0)*IFERROR(INDEX('D Fleet'!$K$5:$K$36,INT(($B106/J$5))+1)+(($B106/J$5)-INT(($B106/J$5)))*(INDEX('D Fleet'!$K$5:$K$36,INT(($B106/J$5))+2)-INDEX('D Fleet'!$K$5:$K$36,INT(($B106/J$5))+1)),0)</f>
        <v/>
      </c>
      <c r="K106" s="276">
        <f>IFERROR(INDEX('D Fleet'!$E$5:$E$62,MATCH(K$3-$B106,'D Fleet'!$B$5:$B$62,0)),0)*IFERROR(INDEX('D Fleet'!$K$5:$K$36,INT(($B106/K$5))+1)+(($B106/K$5)-INT(($B106/K$5)))*(INDEX('D Fleet'!$K$5:$K$36,INT(($B106/K$5))+2)-INDEX('D Fleet'!$K$5:$K$36,INT(($B106/K$5))+1)),0)</f>
        <v/>
      </c>
      <c r="L106" s="276">
        <f>IFERROR(INDEX('D Fleet'!$E$5:$E$62,MATCH(L$3-$B106,'D Fleet'!$B$5:$B$62,0)),0)*IFERROR(INDEX('D Fleet'!$K$5:$K$36,INT(($B106/L$5))+1)+(($B106/L$5)-INT(($B106/L$5)))*(INDEX('D Fleet'!$K$5:$K$36,INT(($B106/L$5))+2)-INDEX('D Fleet'!$K$5:$K$36,INT(($B106/L$5))+1)),0)</f>
        <v/>
      </c>
      <c r="M106" s="276">
        <f>IFERROR(INDEX('D Fleet'!$E$5:$E$62,MATCH(M$3-$B106,'D Fleet'!$B$5:$B$62,0)),0)*IFERROR(INDEX('D Fleet'!$K$5:$K$36,INT(($B106/M$5))+1)+(($B106/M$5)-INT(($B106/M$5)))*(INDEX('D Fleet'!$K$5:$K$36,INT(($B106/M$5))+2)-INDEX('D Fleet'!$K$5:$K$36,INT(($B106/M$5))+1)),0)</f>
        <v/>
      </c>
      <c r="N106" s="276">
        <f>IFERROR(INDEX('D Fleet'!$E$5:$E$62,MATCH(N$3-$B106,'D Fleet'!$B$5:$B$62,0)),0)*IFERROR(INDEX('D Fleet'!$K$5:$K$36,INT(($B106/N$5))+1)+(($B106/N$5)-INT(($B106/N$5)))*(INDEX('D Fleet'!$K$5:$K$36,INT(($B106/N$5))+2)-INDEX('D Fleet'!$K$5:$K$36,INT(($B106/N$5))+1)),0)</f>
        <v/>
      </c>
      <c r="P106" s="276">
        <f>E106*$D106*'E1 Fleet'!$D$99</f>
        <v/>
      </c>
      <c r="Q106" s="276">
        <f>F106*$D106*'E1 Fleet'!$D$99</f>
        <v/>
      </c>
      <c r="R106" s="276">
        <f>G106*$D106*'E1 Fleet'!$D$99</f>
        <v/>
      </c>
      <c r="S106" s="276">
        <f>H106*$D106*'E1 Fleet'!$D$99</f>
        <v/>
      </c>
      <c r="T106" s="276">
        <f>I106*$D106*'E1 Fleet'!$D$99</f>
        <v/>
      </c>
      <c r="U106" s="276">
        <f>J106*$D106*'E1 Fleet'!$D$99</f>
        <v/>
      </c>
      <c r="V106" s="276">
        <f>K106*$D106*'E1 Fleet'!$D$99</f>
        <v/>
      </c>
      <c r="W106" s="276">
        <f>L106*$D106*'E1 Fleet'!$D$99</f>
        <v/>
      </c>
      <c r="X106" s="276">
        <f>M106*$D106*'E1 Fleet'!$D$99</f>
        <v/>
      </c>
      <c r="Y106" s="276">
        <f>N106*$D106*'E1 Fleet'!$D$99</f>
        <v/>
      </c>
    </row>
    <row r="107">
      <c r="A107" t="inlineStr">
        <is>
          <t>Pickup</t>
        </is>
      </c>
      <c r="B107" t="n">
        <v>8</v>
      </c>
      <c r="C107" t="n">
        <v>3</v>
      </c>
      <c r="D107" s="275">
        <f>IF($B107=0,'E1 Fleet'!$D$93,1)*EXP(-'E1 Fleet'!$D$94*MAX($B107-6,0))</f>
        <v/>
      </c>
      <c r="E107" s="276">
        <f>IFERROR(INDEX('D Fleet'!$E$5:$E$62,MATCH(E$3-$B107,'D Fleet'!$B$5:$B$62,0)),0)*IFERROR(INDEX('D Fleet'!$K$5:$K$36,INT(($B107/E$5))+1)+(($B107/E$5)-INT(($B107/E$5)))*(INDEX('D Fleet'!$K$5:$K$36,INT(($B107/E$5))+2)-INDEX('D Fleet'!$K$5:$K$36,INT(($B107/E$5))+1)),0)</f>
        <v/>
      </c>
      <c r="F107" s="276">
        <f>IFERROR(INDEX('D Fleet'!$E$5:$E$62,MATCH(F$3-$B107,'D Fleet'!$B$5:$B$62,0)),0)*IFERROR(INDEX('D Fleet'!$K$5:$K$36,INT(($B107/F$5))+1)+(($B107/F$5)-INT(($B107/F$5)))*(INDEX('D Fleet'!$K$5:$K$36,INT(($B107/F$5))+2)-INDEX('D Fleet'!$K$5:$K$36,INT(($B107/F$5))+1)),0)</f>
        <v/>
      </c>
      <c r="G107" s="276">
        <f>IFERROR(INDEX('D Fleet'!$E$5:$E$62,MATCH(G$3-$B107,'D Fleet'!$B$5:$B$62,0)),0)*IFERROR(INDEX('D Fleet'!$K$5:$K$36,INT(($B107/G$5))+1)+(($B107/G$5)-INT(($B107/G$5)))*(INDEX('D Fleet'!$K$5:$K$36,INT(($B107/G$5))+2)-INDEX('D Fleet'!$K$5:$K$36,INT(($B107/G$5))+1)),0)</f>
        <v/>
      </c>
      <c r="H107" s="276">
        <f>IFERROR(INDEX('D Fleet'!$E$5:$E$62,MATCH(H$3-$B107,'D Fleet'!$B$5:$B$62,0)),0)*IFERROR(INDEX('D Fleet'!$K$5:$K$36,INT(($B107/H$5))+1)+(($B107/H$5)-INT(($B107/H$5)))*(INDEX('D Fleet'!$K$5:$K$36,INT(($B107/H$5))+2)-INDEX('D Fleet'!$K$5:$K$36,INT(($B107/H$5))+1)),0)</f>
        <v/>
      </c>
      <c r="I107" s="276">
        <f>IFERROR(INDEX('D Fleet'!$E$5:$E$62,MATCH(I$3-$B107,'D Fleet'!$B$5:$B$62,0)),0)*IFERROR(INDEX('D Fleet'!$K$5:$K$36,INT(($B107/I$5))+1)+(($B107/I$5)-INT(($B107/I$5)))*(INDEX('D Fleet'!$K$5:$K$36,INT(($B107/I$5))+2)-INDEX('D Fleet'!$K$5:$K$36,INT(($B107/I$5))+1)),0)</f>
        <v/>
      </c>
      <c r="J107" s="276">
        <f>IFERROR(INDEX('D Fleet'!$E$5:$E$62,MATCH(J$3-$B107,'D Fleet'!$B$5:$B$62,0)),0)*IFERROR(INDEX('D Fleet'!$K$5:$K$36,INT(($B107/J$5))+1)+(($B107/J$5)-INT(($B107/J$5)))*(INDEX('D Fleet'!$K$5:$K$36,INT(($B107/J$5))+2)-INDEX('D Fleet'!$K$5:$K$36,INT(($B107/J$5))+1)),0)</f>
        <v/>
      </c>
      <c r="K107" s="276">
        <f>IFERROR(INDEX('D Fleet'!$E$5:$E$62,MATCH(K$3-$B107,'D Fleet'!$B$5:$B$62,0)),0)*IFERROR(INDEX('D Fleet'!$K$5:$K$36,INT(($B107/K$5))+1)+(($B107/K$5)-INT(($B107/K$5)))*(INDEX('D Fleet'!$K$5:$K$36,INT(($B107/K$5))+2)-INDEX('D Fleet'!$K$5:$K$36,INT(($B107/K$5))+1)),0)</f>
        <v/>
      </c>
      <c r="L107" s="276">
        <f>IFERROR(INDEX('D Fleet'!$E$5:$E$62,MATCH(L$3-$B107,'D Fleet'!$B$5:$B$62,0)),0)*IFERROR(INDEX('D Fleet'!$K$5:$K$36,INT(($B107/L$5))+1)+(($B107/L$5)-INT(($B107/L$5)))*(INDEX('D Fleet'!$K$5:$K$36,INT(($B107/L$5))+2)-INDEX('D Fleet'!$K$5:$K$36,INT(($B107/L$5))+1)),0)</f>
        <v/>
      </c>
      <c r="M107" s="276">
        <f>IFERROR(INDEX('D Fleet'!$E$5:$E$62,MATCH(M$3-$B107,'D Fleet'!$B$5:$B$62,0)),0)*IFERROR(INDEX('D Fleet'!$K$5:$K$36,INT(($B107/M$5))+1)+(($B107/M$5)-INT(($B107/M$5)))*(INDEX('D Fleet'!$K$5:$K$36,INT(($B107/M$5))+2)-INDEX('D Fleet'!$K$5:$K$36,INT(($B107/M$5))+1)),0)</f>
        <v/>
      </c>
      <c r="N107" s="276">
        <f>IFERROR(INDEX('D Fleet'!$E$5:$E$62,MATCH(N$3-$B107,'D Fleet'!$B$5:$B$62,0)),0)*IFERROR(INDEX('D Fleet'!$K$5:$K$36,INT(($B107/N$5))+1)+(($B107/N$5)-INT(($B107/N$5)))*(INDEX('D Fleet'!$K$5:$K$36,INT(($B107/N$5))+2)-INDEX('D Fleet'!$K$5:$K$36,INT(($B107/N$5))+1)),0)</f>
        <v/>
      </c>
      <c r="P107" s="276">
        <f>E107*$D107*'E1 Fleet'!$D$99</f>
        <v/>
      </c>
      <c r="Q107" s="276">
        <f>F107*$D107*'E1 Fleet'!$D$99</f>
        <v/>
      </c>
      <c r="R107" s="276">
        <f>G107*$D107*'E1 Fleet'!$D$99</f>
        <v/>
      </c>
      <c r="S107" s="276">
        <f>H107*$D107*'E1 Fleet'!$D$99</f>
        <v/>
      </c>
      <c r="T107" s="276">
        <f>I107*$D107*'E1 Fleet'!$D$99</f>
        <v/>
      </c>
      <c r="U107" s="276">
        <f>J107*$D107*'E1 Fleet'!$D$99</f>
        <v/>
      </c>
      <c r="V107" s="276">
        <f>K107*$D107*'E1 Fleet'!$D$99</f>
        <v/>
      </c>
      <c r="W107" s="276">
        <f>L107*$D107*'E1 Fleet'!$D$99</f>
        <v/>
      </c>
      <c r="X107" s="276">
        <f>M107*$D107*'E1 Fleet'!$D$99</f>
        <v/>
      </c>
      <c r="Y107" s="276">
        <f>N107*$D107*'E1 Fleet'!$D$99</f>
        <v/>
      </c>
    </row>
    <row r="108">
      <c r="A108" t="inlineStr">
        <is>
          <t>Pickup</t>
        </is>
      </c>
      <c r="B108" t="n">
        <v>9</v>
      </c>
      <c r="C108" t="n">
        <v>3</v>
      </c>
      <c r="D108" s="275">
        <f>IF($B108=0,'E1 Fleet'!$D$93,1)*EXP(-'E1 Fleet'!$D$94*MAX($B108-6,0))</f>
        <v/>
      </c>
      <c r="E108" s="276">
        <f>IFERROR(INDEX('D Fleet'!$E$5:$E$62,MATCH(E$3-$B108,'D Fleet'!$B$5:$B$62,0)),0)*IFERROR(INDEX('D Fleet'!$K$5:$K$36,INT(($B108/E$5))+1)+(($B108/E$5)-INT(($B108/E$5)))*(INDEX('D Fleet'!$K$5:$K$36,INT(($B108/E$5))+2)-INDEX('D Fleet'!$K$5:$K$36,INT(($B108/E$5))+1)),0)</f>
        <v/>
      </c>
      <c r="F108" s="276">
        <f>IFERROR(INDEX('D Fleet'!$E$5:$E$62,MATCH(F$3-$B108,'D Fleet'!$B$5:$B$62,0)),0)*IFERROR(INDEX('D Fleet'!$K$5:$K$36,INT(($B108/F$5))+1)+(($B108/F$5)-INT(($B108/F$5)))*(INDEX('D Fleet'!$K$5:$K$36,INT(($B108/F$5))+2)-INDEX('D Fleet'!$K$5:$K$36,INT(($B108/F$5))+1)),0)</f>
        <v/>
      </c>
      <c r="G108" s="276">
        <f>IFERROR(INDEX('D Fleet'!$E$5:$E$62,MATCH(G$3-$B108,'D Fleet'!$B$5:$B$62,0)),0)*IFERROR(INDEX('D Fleet'!$K$5:$K$36,INT(($B108/G$5))+1)+(($B108/G$5)-INT(($B108/G$5)))*(INDEX('D Fleet'!$K$5:$K$36,INT(($B108/G$5))+2)-INDEX('D Fleet'!$K$5:$K$36,INT(($B108/G$5))+1)),0)</f>
        <v/>
      </c>
      <c r="H108" s="276">
        <f>IFERROR(INDEX('D Fleet'!$E$5:$E$62,MATCH(H$3-$B108,'D Fleet'!$B$5:$B$62,0)),0)*IFERROR(INDEX('D Fleet'!$K$5:$K$36,INT(($B108/H$5))+1)+(($B108/H$5)-INT(($B108/H$5)))*(INDEX('D Fleet'!$K$5:$K$36,INT(($B108/H$5))+2)-INDEX('D Fleet'!$K$5:$K$36,INT(($B108/H$5))+1)),0)</f>
        <v/>
      </c>
      <c r="I108" s="276">
        <f>IFERROR(INDEX('D Fleet'!$E$5:$E$62,MATCH(I$3-$B108,'D Fleet'!$B$5:$B$62,0)),0)*IFERROR(INDEX('D Fleet'!$K$5:$K$36,INT(($B108/I$5))+1)+(($B108/I$5)-INT(($B108/I$5)))*(INDEX('D Fleet'!$K$5:$K$36,INT(($B108/I$5))+2)-INDEX('D Fleet'!$K$5:$K$36,INT(($B108/I$5))+1)),0)</f>
        <v/>
      </c>
      <c r="J108" s="276">
        <f>IFERROR(INDEX('D Fleet'!$E$5:$E$62,MATCH(J$3-$B108,'D Fleet'!$B$5:$B$62,0)),0)*IFERROR(INDEX('D Fleet'!$K$5:$K$36,INT(($B108/J$5))+1)+(($B108/J$5)-INT(($B108/J$5)))*(INDEX('D Fleet'!$K$5:$K$36,INT(($B108/J$5))+2)-INDEX('D Fleet'!$K$5:$K$36,INT(($B108/J$5))+1)),0)</f>
        <v/>
      </c>
      <c r="K108" s="276">
        <f>IFERROR(INDEX('D Fleet'!$E$5:$E$62,MATCH(K$3-$B108,'D Fleet'!$B$5:$B$62,0)),0)*IFERROR(INDEX('D Fleet'!$K$5:$K$36,INT(($B108/K$5))+1)+(($B108/K$5)-INT(($B108/K$5)))*(INDEX('D Fleet'!$K$5:$K$36,INT(($B108/K$5))+2)-INDEX('D Fleet'!$K$5:$K$36,INT(($B108/K$5))+1)),0)</f>
        <v/>
      </c>
      <c r="L108" s="276">
        <f>IFERROR(INDEX('D Fleet'!$E$5:$E$62,MATCH(L$3-$B108,'D Fleet'!$B$5:$B$62,0)),0)*IFERROR(INDEX('D Fleet'!$K$5:$K$36,INT(($B108/L$5))+1)+(($B108/L$5)-INT(($B108/L$5)))*(INDEX('D Fleet'!$K$5:$K$36,INT(($B108/L$5))+2)-INDEX('D Fleet'!$K$5:$K$36,INT(($B108/L$5))+1)),0)</f>
        <v/>
      </c>
      <c r="M108" s="276">
        <f>IFERROR(INDEX('D Fleet'!$E$5:$E$62,MATCH(M$3-$B108,'D Fleet'!$B$5:$B$62,0)),0)*IFERROR(INDEX('D Fleet'!$K$5:$K$36,INT(($B108/M$5))+1)+(($B108/M$5)-INT(($B108/M$5)))*(INDEX('D Fleet'!$K$5:$K$36,INT(($B108/M$5))+2)-INDEX('D Fleet'!$K$5:$K$36,INT(($B108/M$5))+1)),0)</f>
        <v/>
      </c>
      <c r="N108" s="276">
        <f>IFERROR(INDEX('D Fleet'!$E$5:$E$62,MATCH(N$3-$B108,'D Fleet'!$B$5:$B$62,0)),0)*IFERROR(INDEX('D Fleet'!$K$5:$K$36,INT(($B108/N$5))+1)+(($B108/N$5)-INT(($B108/N$5)))*(INDEX('D Fleet'!$K$5:$K$36,INT(($B108/N$5))+2)-INDEX('D Fleet'!$K$5:$K$36,INT(($B108/N$5))+1)),0)</f>
        <v/>
      </c>
      <c r="P108" s="276">
        <f>E108*$D108*'E1 Fleet'!$D$99</f>
        <v/>
      </c>
      <c r="Q108" s="276">
        <f>F108*$D108*'E1 Fleet'!$D$99</f>
        <v/>
      </c>
      <c r="R108" s="276">
        <f>G108*$D108*'E1 Fleet'!$D$99</f>
        <v/>
      </c>
      <c r="S108" s="276">
        <f>H108*$D108*'E1 Fleet'!$D$99</f>
        <v/>
      </c>
      <c r="T108" s="276">
        <f>I108*$D108*'E1 Fleet'!$D$99</f>
        <v/>
      </c>
      <c r="U108" s="276">
        <f>J108*$D108*'E1 Fleet'!$D$99</f>
        <v/>
      </c>
      <c r="V108" s="276">
        <f>K108*$D108*'E1 Fleet'!$D$99</f>
        <v/>
      </c>
      <c r="W108" s="276">
        <f>L108*$D108*'E1 Fleet'!$D$99</f>
        <v/>
      </c>
      <c r="X108" s="276">
        <f>M108*$D108*'E1 Fleet'!$D$99</f>
        <v/>
      </c>
      <c r="Y108" s="276">
        <f>N108*$D108*'E1 Fleet'!$D$99</f>
        <v/>
      </c>
    </row>
    <row r="109">
      <c r="A109" t="inlineStr">
        <is>
          <t>Pickup</t>
        </is>
      </c>
      <c r="B109" t="n">
        <v>10</v>
      </c>
      <c r="C109" t="n">
        <v>3</v>
      </c>
      <c r="D109" s="275">
        <f>IF($B109=0,'E1 Fleet'!$D$93,1)*EXP(-'E1 Fleet'!$D$94*MAX($B109-6,0))</f>
        <v/>
      </c>
      <c r="E109" s="276">
        <f>IFERROR(INDEX('D Fleet'!$E$5:$E$62,MATCH(E$3-$B109,'D Fleet'!$B$5:$B$62,0)),0)*IFERROR(INDEX('D Fleet'!$K$5:$K$36,INT(($B109/E$5))+1)+(($B109/E$5)-INT(($B109/E$5)))*(INDEX('D Fleet'!$K$5:$K$36,INT(($B109/E$5))+2)-INDEX('D Fleet'!$K$5:$K$36,INT(($B109/E$5))+1)),0)</f>
        <v/>
      </c>
      <c r="F109" s="276">
        <f>IFERROR(INDEX('D Fleet'!$E$5:$E$62,MATCH(F$3-$B109,'D Fleet'!$B$5:$B$62,0)),0)*IFERROR(INDEX('D Fleet'!$K$5:$K$36,INT(($B109/F$5))+1)+(($B109/F$5)-INT(($B109/F$5)))*(INDEX('D Fleet'!$K$5:$K$36,INT(($B109/F$5))+2)-INDEX('D Fleet'!$K$5:$K$36,INT(($B109/F$5))+1)),0)</f>
        <v/>
      </c>
      <c r="G109" s="276">
        <f>IFERROR(INDEX('D Fleet'!$E$5:$E$62,MATCH(G$3-$B109,'D Fleet'!$B$5:$B$62,0)),0)*IFERROR(INDEX('D Fleet'!$K$5:$K$36,INT(($B109/G$5))+1)+(($B109/G$5)-INT(($B109/G$5)))*(INDEX('D Fleet'!$K$5:$K$36,INT(($B109/G$5))+2)-INDEX('D Fleet'!$K$5:$K$36,INT(($B109/G$5))+1)),0)</f>
        <v/>
      </c>
      <c r="H109" s="276">
        <f>IFERROR(INDEX('D Fleet'!$E$5:$E$62,MATCH(H$3-$B109,'D Fleet'!$B$5:$B$62,0)),0)*IFERROR(INDEX('D Fleet'!$K$5:$K$36,INT(($B109/H$5))+1)+(($B109/H$5)-INT(($B109/H$5)))*(INDEX('D Fleet'!$K$5:$K$36,INT(($B109/H$5))+2)-INDEX('D Fleet'!$K$5:$K$36,INT(($B109/H$5))+1)),0)</f>
        <v/>
      </c>
      <c r="I109" s="276">
        <f>IFERROR(INDEX('D Fleet'!$E$5:$E$62,MATCH(I$3-$B109,'D Fleet'!$B$5:$B$62,0)),0)*IFERROR(INDEX('D Fleet'!$K$5:$K$36,INT(($B109/I$5))+1)+(($B109/I$5)-INT(($B109/I$5)))*(INDEX('D Fleet'!$K$5:$K$36,INT(($B109/I$5))+2)-INDEX('D Fleet'!$K$5:$K$36,INT(($B109/I$5))+1)),0)</f>
        <v/>
      </c>
      <c r="J109" s="276">
        <f>IFERROR(INDEX('D Fleet'!$E$5:$E$62,MATCH(J$3-$B109,'D Fleet'!$B$5:$B$62,0)),0)*IFERROR(INDEX('D Fleet'!$K$5:$K$36,INT(($B109/J$5))+1)+(($B109/J$5)-INT(($B109/J$5)))*(INDEX('D Fleet'!$K$5:$K$36,INT(($B109/J$5))+2)-INDEX('D Fleet'!$K$5:$K$36,INT(($B109/J$5))+1)),0)</f>
        <v/>
      </c>
      <c r="K109" s="276">
        <f>IFERROR(INDEX('D Fleet'!$E$5:$E$62,MATCH(K$3-$B109,'D Fleet'!$B$5:$B$62,0)),0)*IFERROR(INDEX('D Fleet'!$K$5:$K$36,INT(($B109/K$5))+1)+(($B109/K$5)-INT(($B109/K$5)))*(INDEX('D Fleet'!$K$5:$K$36,INT(($B109/K$5))+2)-INDEX('D Fleet'!$K$5:$K$36,INT(($B109/K$5))+1)),0)</f>
        <v/>
      </c>
      <c r="L109" s="276">
        <f>IFERROR(INDEX('D Fleet'!$E$5:$E$62,MATCH(L$3-$B109,'D Fleet'!$B$5:$B$62,0)),0)*IFERROR(INDEX('D Fleet'!$K$5:$K$36,INT(($B109/L$5))+1)+(($B109/L$5)-INT(($B109/L$5)))*(INDEX('D Fleet'!$K$5:$K$36,INT(($B109/L$5))+2)-INDEX('D Fleet'!$K$5:$K$36,INT(($B109/L$5))+1)),0)</f>
        <v/>
      </c>
      <c r="M109" s="276">
        <f>IFERROR(INDEX('D Fleet'!$E$5:$E$62,MATCH(M$3-$B109,'D Fleet'!$B$5:$B$62,0)),0)*IFERROR(INDEX('D Fleet'!$K$5:$K$36,INT(($B109/M$5))+1)+(($B109/M$5)-INT(($B109/M$5)))*(INDEX('D Fleet'!$K$5:$K$36,INT(($B109/M$5))+2)-INDEX('D Fleet'!$K$5:$K$36,INT(($B109/M$5))+1)),0)</f>
        <v/>
      </c>
      <c r="N109" s="276">
        <f>IFERROR(INDEX('D Fleet'!$E$5:$E$62,MATCH(N$3-$B109,'D Fleet'!$B$5:$B$62,0)),0)*IFERROR(INDEX('D Fleet'!$K$5:$K$36,INT(($B109/N$5))+1)+(($B109/N$5)-INT(($B109/N$5)))*(INDEX('D Fleet'!$K$5:$K$36,INT(($B109/N$5))+2)-INDEX('D Fleet'!$K$5:$K$36,INT(($B109/N$5))+1)),0)</f>
        <v/>
      </c>
      <c r="P109" s="276">
        <f>E109*$D109*'E1 Fleet'!$D$99</f>
        <v/>
      </c>
      <c r="Q109" s="276">
        <f>F109*$D109*'E1 Fleet'!$D$99</f>
        <v/>
      </c>
      <c r="R109" s="276">
        <f>G109*$D109*'E1 Fleet'!$D$99</f>
        <v/>
      </c>
      <c r="S109" s="276">
        <f>H109*$D109*'E1 Fleet'!$D$99</f>
        <v/>
      </c>
      <c r="T109" s="276">
        <f>I109*$D109*'E1 Fleet'!$D$99</f>
        <v/>
      </c>
      <c r="U109" s="276">
        <f>J109*$D109*'E1 Fleet'!$D$99</f>
        <v/>
      </c>
      <c r="V109" s="276">
        <f>K109*$D109*'E1 Fleet'!$D$99</f>
        <v/>
      </c>
      <c r="W109" s="276">
        <f>L109*$D109*'E1 Fleet'!$D$99</f>
        <v/>
      </c>
      <c r="X109" s="276">
        <f>M109*$D109*'E1 Fleet'!$D$99</f>
        <v/>
      </c>
      <c r="Y109" s="276">
        <f>N109*$D109*'E1 Fleet'!$D$99</f>
        <v/>
      </c>
    </row>
    <row r="110">
      <c r="A110" t="inlineStr">
        <is>
          <t>Pickup</t>
        </is>
      </c>
      <c r="B110" t="n">
        <v>11</v>
      </c>
      <c r="C110" t="n">
        <v>3</v>
      </c>
      <c r="D110" s="275">
        <f>IF($B110=0,'E1 Fleet'!$D$93,1)*EXP(-'E1 Fleet'!$D$94*MAX($B110-6,0))</f>
        <v/>
      </c>
      <c r="E110" s="276">
        <f>IFERROR(INDEX('D Fleet'!$E$5:$E$62,MATCH(E$3-$B110,'D Fleet'!$B$5:$B$62,0)),0)*IFERROR(INDEX('D Fleet'!$K$5:$K$36,INT(($B110/E$5))+1)+(($B110/E$5)-INT(($B110/E$5)))*(INDEX('D Fleet'!$K$5:$K$36,INT(($B110/E$5))+2)-INDEX('D Fleet'!$K$5:$K$36,INT(($B110/E$5))+1)),0)</f>
        <v/>
      </c>
      <c r="F110" s="276">
        <f>IFERROR(INDEX('D Fleet'!$E$5:$E$62,MATCH(F$3-$B110,'D Fleet'!$B$5:$B$62,0)),0)*IFERROR(INDEX('D Fleet'!$K$5:$K$36,INT(($B110/F$5))+1)+(($B110/F$5)-INT(($B110/F$5)))*(INDEX('D Fleet'!$K$5:$K$36,INT(($B110/F$5))+2)-INDEX('D Fleet'!$K$5:$K$36,INT(($B110/F$5))+1)),0)</f>
        <v/>
      </c>
      <c r="G110" s="276">
        <f>IFERROR(INDEX('D Fleet'!$E$5:$E$62,MATCH(G$3-$B110,'D Fleet'!$B$5:$B$62,0)),0)*IFERROR(INDEX('D Fleet'!$K$5:$K$36,INT(($B110/G$5))+1)+(($B110/G$5)-INT(($B110/G$5)))*(INDEX('D Fleet'!$K$5:$K$36,INT(($B110/G$5))+2)-INDEX('D Fleet'!$K$5:$K$36,INT(($B110/G$5))+1)),0)</f>
        <v/>
      </c>
      <c r="H110" s="276">
        <f>IFERROR(INDEX('D Fleet'!$E$5:$E$62,MATCH(H$3-$B110,'D Fleet'!$B$5:$B$62,0)),0)*IFERROR(INDEX('D Fleet'!$K$5:$K$36,INT(($B110/H$5))+1)+(($B110/H$5)-INT(($B110/H$5)))*(INDEX('D Fleet'!$K$5:$K$36,INT(($B110/H$5))+2)-INDEX('D Fleet'!$K$5:$K$36,INT(($B110/H$5))+1)),0)</f>
        <v/>
      </c>
      <c r="I110" s="276">
        <f>IFERROR(INDEX('D Fleet'!$E$5:$E$62,MATCH(I$3-$B110,'D Fleet'!$B$5:$B$62,0)),0)*IFERROR(INDEX('D Fleet'!$K$5:$K$36,INT(($B110/I$5))+1)+(($B110/I$5)-INT(($B110/I$5)))*(INDEX('D Fleet'!$K$5:$K$36,INT(($B110/I$5))+2)-INDEX('D Fleet'!$K$5:$K$36,INT(($B110/I$5))+1)),0)</f>
        <v/>
      </c>
      <c r="J110" s="276">
        <f>IFERROR(INDEX('D Fleet'!$E$5:$E$62,MATCH(J$3-$B110,'D Fleet'!$B$5:$B$62,0)),0)*IFERROR(INDEX('D Fleet'!$K$5:$K$36,INT(($B110/J$5))+1)+(($B110/J$5)-INT(($B110/J$5)))*(INDEX('D Fleet'!$K$5:$K$36,INT(($B110/J$5))+2)-INDEX('D Fleet'!$K$5:$K$36,INT(($B110/J$5))+1)),0)</f>
        <v/>
      </c>
      <c r="K110" s="276">
        <f>IFERROR(INDEX('D Fleet'!$E$5:$E$62,MATCH(K$3-$B110,'D Fleet'!$B$5:$B$62,0)),0)*IFERROR(INDEX('D Fleet'!$K$5:$K$36,INT(($B110/K$5))+1)+(($B110/K$5)-INT(($B110/K$5)))*(INDEX('D Fleet'!$K$5:$K$36,INT(($B110/K$5))+2)-INDEX('D Fleet'!$K$5:$K$36,INT(($B110/K$5))+1)),0)</f>
        <v/>
      </c>
      <c r="L110" s="276">
        <f>IFERROR(INDEX('D Fleet'!$E$5:$E$62,MATCH(L$3-$B110,'D Fleet'!$B$5:$B$62,0)),0)*IFERROR(INDEX('D Fleet'!$K$5:$K$36,INT(($B110/L$5))+1)+(($B110/L$5)-INT(($B110/L$5)))*(INDEX('D Fleet'!$K$5:$K$36,INT(($B110/L$5))+2)-INDEX('D Fleet'!$K$5:$K$36,INT(($B110/L$5))+1)),0)</f>
        <v/>
      </c>
      <c r="M110" s="276">
        <f>IFERROR(INDEX('D Fleet'!$E$5:$E$62,MATCH(M$3-$B110,'D Fleet'!$B$5:$B$62,0)),0)*IFERROR(INDEX('D Fleet'!$K$5:$K$36,INT(($B110/M$5))+1)+(($B110/M$5)-INT(($B110/M$5)))*(INDEX('D Fleet'!$K$5:$K$36,INT(($B110/M$5))+2)-INDEX('D Fleet'!$K$5:$K$36,INT(($B110/M$5))+1)),0)</f>
        <v/>
      </c>
      <c r="N110" s="276">
        <f>IFERROR(INDEX('D Fleet'!$E$5:$E$62,MATCH(N$3-$B110,'D Fleet'!$B$5:$B$62,0)),0)*IFERROR(INDEX('D Fleet'!$K$5:$K$36,INT(($B110/N$5))+1)+(($B110/N$5)-INT(($B110/N$5)))*(INDEX('D Fleet'!$K$5:$K$36,INT(($B110/N$5))+2)-INDEX('D Fleet'!$K$5:$K$36,INT(($B110/N$5))+1)),0)</f>
        <v/>
      </c>
      <c r="P110" s="276">
        <f>E110*$D110*'E1 Fleet'!$D$99</f>
        <v/>
      </c>
      <c r="Q110" s="276">
        <f>F110*$D110*'E1 Fleet'!$D$99</f>
        <v/>
      </c>
      <c r="R110" s="276">
        <f>G110*$D110*'E1 Fleet'!$D$99</f>
        <v/>
      </c>
      <c r="S110" s="276">
        <f>H110*$D110*'E1 Fleet'!$D$99</f>
        <v/>
      </c>
      <c r="T110" s="276">
        <f>I110*$D110*'E1 Fleet'!$D$99</f>
        <v/>
      </c>
      <c r="U110" s="276">
        <f>J110*$D110*'E1 Fleet'!$D$99</f>
        <v/>
      </c>
      <c r="V110" s="276">
        <f>K110*$D110*'E1 Fleet'!$D$99</f>
        <v/>
      </c>
      <c r="W110" s="276">
        <f>L110*$D110*'E1 Fleet'!$D$99</f>
        <v/>
      </c>
      <c r="X110" s="276">
        <f>M110*$D110*'E1 Fleet'!$D$99</f>
        <v/>
      </c>
      <c r="Y110" s="276">
        <f>N110*$D110*'E1 Fleet'!$D$99</f>
        <v/>
      </c>
    </row>
    <row r="111">
      <c r="A111" t="inlineStr">
        <is>
          <t>Pickup</t>
        </is>
      </c>
      <c r="B111" t="n">
        <v>12</v>
      </c>
      <c r="C111" t="n">
        <v>3</v>
      </c>
      <c r="D111" s="275">
        <f>IF($B111=0,'E1 Fleet'!$D$93,1)*EXP(-'E1 Fleet'!$D$94*MAX($B111-6,0))</f>
        <v/>
      </c>
      <c r="E111" s="276">
        <f>IFERROR(INDEX('D Fleet'!$E$5:$E$62,MATCH(E$3-$B111,'D Fleet'!$B$5:$B$62,0)),0)*IFERROR(INDEX('D Fleet'!$K$5:$K$36,INT(($B111/E$5))+1)+(($B111/E$5)-INT(($B111/E$5)))*(INDEX('D Fleet'!$K$5:$K$36,INT(($B111/E$5))+2)-INDEX('D Fleet'!$K$5:$K$36,INT(($B111/E$5))+1)),0)</f>
        <v/>
      </c>
      <c r="F111" s="276">
        <f>IFERROR(INDEX('D Fleet'!$E$5:$E$62,MATCH(F$3-$B111,'D Fleet'!$B$5:$B$62,0)),0)*IFERROR(INDEX('D Fleet'!$K$5:$K$36,INT(($B111/F$5))+1)+(($B111/F$5)-INT(($B111/F$5)))*(INDEX('D Fleet'!$K$5:$K$36,INT(($B111/F$5))+2)-INDEX('D Fleet'!$K$5:$K$36,INT(($B111/F$5))+1)),0)</f>
        <v/>
      </c>
      <c r="G111" s="276">
        <f>IFERROR(INDEX('D Fleet'!$E$5:$E$62,MATCH(G$3-$B111,'D Fleet'!$B$5:$B$62,0)),0)*IFERROR(INDEX('D Fleet'!$K$5:$K$36,INT(($B111/G$5))+1)+(($B111/G$5)-INT(($B111/G$5)))*(INDEX('D Fleet'!$K$5:$K$36,INT(($B111/G$5))+2)-INDEX('D Fleet'!$K$5:$K$36,INT(($B111/G$5))+1)),0)</f>
        <v/>
      </c>
      <c r="H111" s="276">
        <f>IFERROR(INDEX('D Fleet'!$E$5:$E$62,MATCH(H$3-$B111,'D Fleet'!$B$5:$B$62,0)),0)*IFERROR(INDEX('D Fleet'!$K$5:$K$36,INT(($B111/H$5))+1)+(($B111/H$5)-INT(($B111/H$5)))*(INDEX('D Fleet'!$K$5:$K$36,INT(($B111/H$5))+2)-INDEX('D Fleet'!$K$5:$K$36,INT(($B111/H$5))+1)),0)</f>
        <v/>
      </c>
      <c r="I111" s="276">
        <f>IFERROR(INDEX('D Fleet'!$E$5:$E$62,MATCH(I$3-$B111,'D Fleet'!$B$5:$B$62,0)),0)*IFERROR(INDEX('D Fleet'!$K$5:$K$36,INT(($B111/I$5))+1)+(($B111/I$5)-INT(($B111/I$5)))*(INDEX('D Fleet'!$K$5:$K$36,INT(($B111/I$5))+2)-INDEX('D Fleet'!$K$5:$K$36,INT(($B111/I$5))+1)),0)</f>
        <v/>
      </c>
      <c r="J111" s="276">
        <f>IFERROR(INDEX('D Fleet'!$E$5:$E$62,MATCH(J$3-$B111,'D Fleet'!$B$5:$B$62,0)),0)*IFERROR(INDEX('D Fleet'!$K$5:$K$36,INT(($B111/J$5))+1)+(($B111/J$5)-INT(($B111/J$5)))*(INDEX('D Fleet'!$K$5:$K$36,INT(($B111/J$5))+2)-INDEX('D Fleet'!$K$5:$K$36,INT(($B111/J$5))+1)),0)</f>
        <v/>
      </c>
      <c r="K111" s="276">
        <f>IFERROR(INDEX('D Fleet'!$E$5:$E$62,MATCH(K$3-$B111,'D Fleet'!$B$5:$B$62,0)),0)*IFERROR(INDEX('D Fleet'!$K$5:$K$36,INT(($B111/K$5))+1)+(($B111/K$5)-INT(($B111/K$5)))*(INDEX('D Fleet'!$K$5:$K$36,INT(($B111/K$5))+2)-INDEX('D Fleet'!$K$5:$K$36,INT(($B111/K$5))+1)),0)</f>
        <v/>
      </c>
      <c r="L111" s="276">
        <f>IFERROR(INDEX('D Fleet'!$E$5:$E$62,MATCH(L$3-$B111,'D Fleet'!$B$5:$B$62,0)),0)*IFERROR(INDEX('D Fleet'!$K$5:$K$36,INT(($B111/L$5))+1)+(($B111/L$5)-INT(($B111/L$5)))*(INDEX('D Fleet'!$K$5:$K$36,INT(($B111/L$5))+2)-INDEX('D Fleet'!$K$5:$K$36,INT(($B111/L$5))+1)),0)</f>
        <v/>
      </c>
      <c r="M111" s="276">
        <f>IFERROR(INDEX('D Fleet'!$E$5:$E$62,MATCH(M$3-$B111,'D Fleet'!$B$5:$B$62,0)),0)*IFERROR(INDEX('D Fleet'!$K$5:$K$36,INT(($B111/M$5))+1)+(($B111/M$5)-INT(($B111/M$5)))*(INDEX('D Fleet'!$K$5:$K$36,INT(($B111/M$5))+2)-INDEX('D Fleet'!$K$5:$K$36,INT(($B111/M$5))+1)),0)</f>
        <v/>
      </c>
      <c r="N111" s="276">
        <f>IFERROR(INDEX('D Fleet'!$E$5:$E$62,MATCH(N$3-$B111,'D Fleet'!$B$5:$B$62,0)),0)*IFERROR(INDEX('D Fleet'!$K$5:$K$36,INT(($B111/N$5))+1)+(($B111/N$5)-INT(($B111/N$5)))*(INDEX('D Fleet'!$K$5:$K$36,INT(($B111/N$5))+2)-INDEX('D Fleet'!$K$5:$K$36,INT(($B111/N$5))+1)),0)</f>
        <v/>
      </c>
      <c r="P111" s="276">
        <f>E111*$D111*'E1 Fleet'!$D$99</f>
        <v/>
      </c>
      <c r="Q111" s="276">
        <f>F111*$D111*'E1 Fleet'!$D$99</f>
        <v/>
      </c>
      <c r="R111" s="276">
        <f>G111*$D111*'E1 Fleet'!$D$99</f>
        <v/>
      </c>
      <c r="S111" s="276">
        <f>H111*$D111*'E1 Fleet'!$D$99</f>
        <v/>
      </c>
      <c r="T111" s="276">
        <f>I111*$D111*'E1 Fleet'!$D$99</f>
        <v/>
      </c>
      <c r="U111" s="276">
        <f>J111*$D111*'E1 Fleet'!$D$99</f>
        <v/>
      </c>
      <c r="V111" s="276">
        <f>K111*$D111*'E1 Fleet'!$D$99</f>
        <v/>
      </c>
      <c r="W111" s="276">
        <f>L111*$D111*'E1 Fleet'!$D$99</f>
        <v/>
      </c>
      <c r="X111" s="276">
        <f>M111*$D111*'E1 Fleet'!$D$99</f>
        <v/>
      </c>
      <c r="Y111" s="276">
        <f>N111*$D111*'E1 Fleet'!$D$99</f>
        <v/>
      </c>
    </row>
    <row r="112">
      <c r="A112" t="inlineStr">
        <is>
          <t>Pickup</t>
        </is>
      </c>
      <c r="B112" t="n">
        <v>13</v>
      </c>
      <c r="C112" t="n">
        <v>3</v>
      </c>
      <c r="D112" s="275">
        <f>IF($B112=0,'E1 Fleet'!$D$93,1)*EXP(-'E1 Fleet'!$D$94*MAX($B112-6,0))</f>
        <v/>
      </c>
      <c r="E112" s="276">
        <f>IFERROR(INDEX('D Fleet'!$E$5:$E$62,MATCH(E$3-$B112,'D Fleet'!$B$5:$B$62,0)),0)*IFERROR(INDEX('D Fleet'!$K$5:$K$36,INT(($B112/E$5))+1)+(($B112/E$5)-INT(($B112/E$5)))*(INDEX('D Fleet'!$K$5:$K$36,INT(($B112/E$5))+2)-INDEX('D Fleet'!$K$5:$K$36,INT(($B112/E$5))+1)),0)</f>
        <v/>
      </c>
      <c r="F112" s="276">
        <f>IFERROR(INDEX('D Fleet'!$E$5:$E$62,MATCH(F$3-$B112,'D Fleet'!$B$5:$B$62,0)),0)*IFERROR(INDEX('D Fleet'!$K$5:$K$36,INT(($B112/F$5))+1)+(($B112/F$5)-INT(($B112/F$5)))*(INDEX('D Fleet'!$K$5:$K$36,INT(($B112/F$5))+2)-INDEX('D Fleet'!$K$5:$K$36,INT(($B112/F$5))+1)),0)</f>
        <v/>
      </c>
      <c r="G112" s="276">
        <f>IFERROR(INDEX('D Fleet'!$E$5:$E$62,MATCH(G$3-$B112,'D Fleet'!$B$5:$B$62,0)),0)*IFERROR(INDEX('D Fleet'!$K$5:$K$36,INT(($B112/G$5))+1)+(($B112/G$5)-INT(($B112/G$5)))*(INDEX('D Fleet'!$K$5:$K$36,INT(($B112/G$5))+2)-INDEX('D Fleet'!$K$5:$K$36,INT(($B112/G$5))+1)),0)</f>
        <v/>
      </c>
      <c r="H112" s="276">
        <f>IFERROR(INDEX('D Fleet'!$E$5:$E$62,MATCH(H$3-$B112,'D Fleet'!$B$5:$B$62,0)),0)*IFERROR(INDEX('D Fleet'!$K$5:$K$36,INT(($B112/H$5))+1)+(($B112/H$5)-INT(($B112/H$5)))*(INDEX('D Fleet'!$K$5:$K$36,INT(($B112/H$5))+2)-INDEX('D Fleet'!$K$5:$K$36,INT(($B112/H$5))+1)),0)</f>
        <v/>
      </c>
      <c r="I112" s="276">
        <f>IFERROR(INDEX('D Fleet'!$E$5:$E$62,MATCH(I$3-$B112,'D Fleet'!$B$5:$B$62,0)),0)*IFERROR(INDEX('D Fleet'!$K$5:$K$36,INT(($B112/I$5))+1)+(($B112/I$5)-INT(($B112/I$5)))*(INDEX('D Fleet'!$K$5:$K$36,INT(($B112/I$5))+2)-INDEX('D Fleet'!$K$5:$K$36,INT(($B112/I$5))+1)),0)</f>
        <v/>
      </c>
      <c r="J112" s="276">
        <f>IFERROR(INDEX('D Fleet'!$E$5:$E$62,MATCH(J$3-$B112,'D Fleet'!$B$5:$B$62,0)),0)*IFERROR(INDEX('D Fleet'!$K$5:$K$36,INT(($B112/J$5))+1)+(($B112/J$5)-INT(($B112/J$5)))*(INDEX('D Fleet'!$K$5:$K$36,INT(($B112/J$5))+2)-INDEX('D Fleet'!$K$5:$K$36,INT(($B112/J$5))+1)),0)</f>
        <v/>
      </c>
      <c r="K112" s="276">
        <f>IFERROR(INDEX('D Fleet'!$E$5:$E$62,MATCH(K$3-$B112,'D Fleet'!$B$5:$B$62,0)),0)*IFERROR(INDEX('D Fleet'!$K$5:$K$36,INT(($B112/K$5))+1)+(($B112/K$5)-INT(($B112/K$5)))*(INDEX('D Fleet'!$K$5:$K$36,INT(($B112/K$5))+2)-INDEX('D Fleet'!$K$5:$K$36,INT(($B112/K$5))+1)),0)</f>
        <v/>
      </c>
      <c r="L112" s="276">
        <f>IFERROR(INDEX('D Fleet'!$E$5:$E$62,MATCH(L$3-$B112,'D Fleet'!$B$5:$B$62,0)),0)*IFERROR(INDEX('D Fleet'!$K$5:$K$36,INT(($B112/L$5))+1)+(($B112/L$5)-INT(($B112/L$5)))*(INDEX('D Fleet'!$K$5:$K$36,INT(($B112/L$5))+2)-INDEX('D Fleet'!$K$5:$K$36,INT(($B112/L$5))+1)),0)</f>
        <v/>
      </c>
      <c r="M112" s="276">
        <f>IFERROR(INDEX('D Fleet'!$E$5:$E$62,MATCH(M$3-$B112,'D Fleet'!$B$5:$B$62,0)),0)*IFERROR(INDEX('D Fleet'!$K$5:$K$36,INT(($B112/M$5))+1)+(($B112/M$5)-INT(($B112/M$5)))*(INDEX('D Fleet'!$K$5:$K$36,INT(($B112/M$5))+2)-INDEX('D Fleet'!$K$5:$K$36,INT(($B112/M$5))+1)),0)</f>
        <v/>
      </c>
      <c r="N112" s="276">
        <f>IFERROR(INDEX('D Fleet'!$E$5:$E$62,MATCH(N$3-$B112,'D Fleet'!$B$5:$B$62,0)),0)*IFERROR(INDEX('D Fleet'!$K$5:$K$36,INT(($B112/N$5))+1)+(($B112/N$5)-INT(($B112/N$5)))*(INDEX('D Fleet'!$K$5:$K$36,INT(($B112/N$5))+2)-INDEX('D Fleet'!$K$5:$K$36,INT(($B112/N$5))+1)),0)</f>
        <v/>
      </c>
      <c r="P112" s="276">
        <f>E112*$D112*'E1 Fleet'!$D$99</f>
        <v/>
      </c>
      <c r="Q112" s="276">
        <f>F112*$D112*'E1 Fleet'!$D$99</f>
        <v/>
      </c>
      <c r="R112" s="276">
        <f>G112*$D112*'E1 Fleet'!$D$99</f>
        <v/>
      </c>
      <c r="S112" s="276">
        <f>H112*$D112*'E1 Fleet'!$D$99</f>
        <v/>
      </c>
      <c r="T112" s="276">
        <f>I112*$D112*'E1 Fleet'!$D$99</f>
        <v/>
      </c>
      <c r="U112" s="276">
        <f>J112*$D112*'E1 Fleet'!$D$99</f>
        <v/>
      </c>
      <c r="V112" s="276">
        <f>K112*$D112*'E1 Fleet'!$D$99</f>
        <v/>
      </c>
      <c r="W112" s="276">
        <f>L112*$D112*'E1 Fleet'!$D$99</f>
        <v/>
      </c>
      <c r="X112" s="276">
        <f>M112*$D112*'E1 Fleet'!$D$99</f>
        <v/>
      </c>
      <c r="Y112" s="276">
        <f>N112*$D112*'E1 Fleet'!$D$99</f>
        <v/>
      </c>
    </row>
    <row r="113">
      <c r="A113" t="inlineStr">
        <is>
          <t>Pickup</t>
        </is>
      </c>
      <c r="B113" t="n">
        <v>14</v>
      </c>
      <c r="C113" t="n">
        <v>3</v>
      </c>
      <c r="D113" s="275">
        <f>IF($B113=0,'E1 Fleet'!$D$93,1)*EXP(-'E1 Fleet'!$D$94*MAX($B113-6,0))</f>
        <v/>
      </c>
      <c r="E113" s="276">
        <f>IFERROR(INDEX('D Fleet'!$E$5:$E$62,MATCH(E$3-$B113,'D Fleet'!$B$5:$B$62,0)),0)*IFERROR(INDEX('D Fleet'!$K$5:$K$36,INT(($B113/E$5))+1)+(($B113/E$5)-INT(($B113/E$5)))*(INDEX('D Fleet'!$K$5:$K$36,INT(($B113/E$5))+2)-INDEX('D Fleet'!$K$5:$K$36,INT(($B113/E$5))+1)),0)</f>
        <v/>
      </c>
      <c r="F113" s="276">
        <f>IFERROR(INDEX('D Fleet'!$E$5:$E$62,MATCH(F$3-$B113,'D Fleet'!$B$5:$B$62,0)),0)*IFERROR(INDEX('D Fleet'!$K$5:$K$36,INT(($B113/F$5))+1)+(($B113/F$5)-INT(($B113/F$5)))*(INDEX('D Fleet'!$K$5:$K$36,INT(($B113/F$5))+2)-INDEX('D Fleet'!$K$5:$K$36,INT(($B113/F$5))+1)),0)</f>
        <v/>
      </c>
      <c r="G113" s="276">
        <f>IFERROR(INDEX('D Fleet'!$E$5:$E$62,MATCH(G$3-$B113,'D Fleet'!$B$5:$B$62,0)),0)*IFERROR(INDEX('D Fleet'!$K$5:$K$36,INT(($B113/G$5))+1)+(($B113/G$5)-INT(($B113/G$5)))*(INDEX('D Fleet'!$K$5:$K$36,INT(($B113/G$5))+2)-INDEX('D Fleet'!$K$5:$K$36,INT(($B113/G$5))+1)),0)</f>
        <v/>
      </c>
      <c r="H113" s="276">
        <f>IFERROR(INDEX('D Fleet'!$E$5:$E$62,MATCH(H$3-$B113,'D Fleet'!$B$5:$B$62,0)),0)*IFERROR(INDEX('D Fleet'!$K$5:$K$36,INT(($B113/H$5))+1)+(($B113/H$5)-INT(($B113/H$5)))*(INDEX('D Fleet'!$K$5:$K$36,INT(($B113/H$5))+2)-INDEX('D Fleet'!$K$5:$K$36,INT(($B113/H$5))+1)),0)</f>
        <v/>
      </c>
      <c r="I113" s="276">
        <f>IFERROR(INDEX('D Fleet'!$E$5:$E$62,MATCH(I$3-$B113,'D Fleet'!$B$5:$B$62,0)),0)*IFERROR(INDEX('D Fleet'!$K$5:$K$36,INT(($B113/I$5))+1)+(($B113/I$5)-INT(($B113/I$5)))*(INDEX('D Fleet'!$K$5:$K$36,INT(($B113/I$5))+2)-INDEX('D Fleet'!$K$5:$K$36,INT(($B113/I$5))+1)),0)</f>
        <v/>
      </c>
      <c r="J113" s="276">
        <f>IFERROR(INDEX('D Fleet'!$E$5:$E$62,MATCH(J$3-$B113,'D Fleet'!$B$5:$B$62,0)),0)*IFERROR(INDEX('D Fleet'!$K$5:$K$36,INT(($B113/J$5))+1)+(($B113/J$5)-INT(($B113/J$5)))*(INDEX('D Fleet'!$K$5:$K$36,INT(($B113/J$5))+2)-INDEX('D Fleet'!$K$5:$K$36,INT(($B113/J$5))+1)),0)</f>
        <v/>
      </c>
      <c r="K113" s="276">
        <f>IFERROR(INDEX('D Fleet'!$E$5:$E$62,MATCH(K$3-$B113,'D Fleet'!$B$5:$B$62,0)),0)*IFERROR(INDEX('D Fleet'!$K$5:$K$36,INT(($B113/K$5))+1)+(($B113/K$5)-INT(($B113/K$5)))*(INDEX('D Fleet'!$K$5:$K$36,INT(($B113/K$5))+2)-INDEX('D Fleet'!$K$5:$K$36,INT(($B113/K$5))+1)),0)</f>
        <v/>
      </c>
      <c r="L113" s="276">
        <f>IFERROR(INDEX('D Fleet'!$E$5:$E$62,MATCH(L$3-$B113,'D Fleet'!$B$5:$B$62,0)),0)*IFERROR(INDEX('D Fleet'!$K$5:$K$36,INT(($B113/L$5))+1)+(($B113/L$5)-INT(($B113/L$5)))*(INDEX('D Fleet'!$K$5:$K$36,INT(($B113/L$5))+2)-INDEX('D Fleet'!$K$5:$K$36,INT(($B113/L$5))+1)),0)</f>
        <v/>
      </c>
      <c r="M113" s="276">
        <f>IFERROR(INDEX('D Fleet'!$E$5:$E$62,MATCH(M$3-$B113,'D Fleet'!$B$5:$B$62,0)),0)*IFERROR(INDEX('D Fleet'!$K$5:$K$36,INT(($B113/M$5))+1)+(($B113/M$5)-INT(($B113/M$5)))*(INDEX('D Fleet'!$K$5:$K$36,INT(($B113/M$5))+2)-INDEX('D Fleet'!$K$5:$K$36,INT(($B113/M$5))+1)),0)</f>
        <v/>
      </c>
      <c r="N113" s="276">
        <f>IFERROR(INDEX('D Fleet'!$E$5:$E$62,MATCH(N$3-$B113,'D Fleet'!$B$5:$B$62,0)),0)*IFERROR(INDEX('D Fleet'!$K$5:$K$36,INT(($B113/N$5))+1)+(($B113/N$5)-INT(($B113/N$5)))*(INDEX('D Fleet'!$K$5:$K$36,INT(($B113/N$5))+2)-INDEX('D Fleet'!$K$5:$K$36,INT(($B113/N$5))+1)),0)</f>
        <v/>
      </c>
      <c r="P113" s="276">
        <f>E113*$D113*'E1 Fleet'!$D$99</f>
        <v/>
      </c>
      <c r="Q113" s="276">
        <f>F113*$D113*'E1 Fleet'!$D$99</f>
        <v/>
      </c>
      <c r="R113" s="276">
        <f>G113*$D113*'E1 Fleet'!$D$99</f>
        <v/>
      </c>
      <c r="S113" s="276">
        <f>H113*$D113*'E1 Fleet'!$D$99</f>
        <v/>
      </c>
      <c r="T113" s="276">
        <f>I113*$D113*'E1 Fleet'!$D$99</f>
        <v/>
      </c>
      <c r="U113" s="276">
        <f>J113*$D113*'E1 Fleet'!$D$99</f>
        <v/>
      </c>
      <c r="V113" s="276">
        <f>K113*$D113*'E1 Fleet'!$D$99</f>
        <v/>
      </c>
      <c r="W113" s="276">
        <f>L113*$D113*'E1 Fleet'!$D$99</f>
        <v/>
      </c>
      <c r="X113" s="276">
        <f>M113*$D113*'E1 Fleet'!$D$99</f>
        <v/>
      </c>
      <c r="Y113" s="276">
        <f>N113*$D113*'E1 Fleet'!$D$99</f>
        <v/>
      </c>
    </row>
    <row r="114">
      <c r="A114" t="inlineStr">
        <is>
          <t>Pickup</t>
        </is>
      </c>
      <c r="B114" t="n">
        <v>15</v>
      </c>
      <c r="C114" t="n">
        <v>3</v>
      </c>
      <c r="D114" s="275">
        <f>IF($B114=0,'E1 Fleet'!$D$93,1)*EXP(-'E1 Fleet'!$D$94*MAX($B114-6,0))</f>
        <v/>
      </c>
      <c r="E114" s="276">
        <f>IFERROR(INDEX('D Fleet'!$E$5:$E$62,MATCH(E$3-$B114,'D Fleet'!$B$5:$B$62,0)),0)*IFERROR(INDEX('D Fleet'!$K$5:$K$36,INT(($B114/E$5))+1)+(($B114/E$5)-INT(($B114/E$5)))*(INDEX('D Fleet'!$K$5:$K$36,INT(($B114/E$5))+2)-INDEX('D Fleet'!$K$5:$K$36,INT(($B114/E$5))+1)),0)</f>
        <v/>
      </c>
      <c r="F114" s="276">
        <f>IFERROR(INDEX('D Fleet'!$E$5:$E$62,MATCH(F$3-$B114,'D Fleet'!$B$5:$B$62,0)),0)*IFERROR(INDEX('D Fleet'!$K$5:$K$36,INT(($B114/F$5))+1)+(($B114/F$5)-INT(($B114/F$5)))*(INDEX('D Fleet'!$K$5:$K$36,INT(($B114/F$5))+2)-INDEX('D Fleet'!$K$5:$K$36,INT(($B114/F$5))+1)),0)</f>
        <v/>
      </c>
      <c r="G114" s="276">
        <f>IFERROR(INDEX('D Fleet'!$E$5:$E$62,MATCH(G$3-$B114,'D Fleet'!$B$5:$B$62,0)),0)*IFERROR(INDEX('D Fleet'!$K$5:$K$36,INT(($B114/G$5))+1)+(($B114/G$5)-INT(($B114/G$5)))*(INDEX('D Fleet'!$K$5:$K$36,INT(($B114/G$5))+2)-INDEX('D Fleet'!$K$5:$K$36,INT(($B114/G$5))+1)),0)</f>
        <v/>
      </c>
      <c r="H114" s="276">
        <f>IFERROR(INDEX('D Fleet'!$E$5:$E$62,MATCH(H$3-$B114,'D Fleet'!$B$5:$B$62,0)),0)*IFERROR(INDEX('D Fleet'!$K$5:$K$36,INT(($B114/H$5))+1)+(($B114/H$5)-INT(($B114/H$5)))*(INDEX('D Fleet'!$K$5:$K$36,INT(($B114/H$5))+2)-INDEX('D Fleet'!$K$5:$K$36,INT(($B114/H$5))+1)),0)</f>
        <v/>
      </c>
      <c r="I114" s="276">
        <f>IFERROR(INDEX('D Fleet'!$E$5:$E$62,MATCH(I$3-$B114,'D Fleet'!$B$5:$B$62,0)),0)*IFERROR(INDEX('D Fleet'!$K$5:$K$36,INT(($B114/I$5))+1)+(($B114/I$5)-INT(($B114/I$5)))*(INDEX('D Fleet'!$K$5:$K$36,INT(($B114/I$5))+2)-INDEX('D Fleet'!$K$5:$K$36,INT(($B114/I$5))+1)),0)</f>
        <v/>
      </c>
      <c r="J114" s="276">
        <f>IFERROR(INDEX('D Fleet'!$E$5:$E$62,MATCH(J$3-$B114,'D Fleet'!$B$5:$B$62,0)),0)*IFERROR(INDEX('D Fleet'!$K$5:$K$36,INT(($B114/J$5))+1)+(($B114/J$5)-INT(($B114/J$5)))*(INDEX('D Fleet'!$K$5:$K$36,INT(($B114/J$5))+2)-INDEX('D Fleet'!$K$5:$K$36,INT(($B114/J$5))+1)),0)</f>
        <v/>
      </c>
      <c r="K114" s="276">
        <f>IFERROR(INDEX('D Fleet'!$E$5:$E$62,MATCH(K$3-$B114,'D Fleet'!$B$5:$B$62,0)),0)*IFERROR(INDEX('D Fleet'!$K$5:$K$36,INT(($B114/K$5))+1)+(($B114/K$5)-INT(($B114/K$5)))*(INDEX('D Fleet'!$K$5:$K$36,INT(($B114/K$5))+2)-INDEX('D Fleet'!$K$5:$K$36,INT(($B114/K$5))+1)),0)</f>
        <v/>
      </c>
      <c r="L114" s="276">
        <f>IFERROR(INDEX('D Fleet'!$E$5:$E$62,MATCH(L$3-$B114,'D Fleet'!$B$5:$B$62,0)),0)*IFERROR(INDEX('D Fleet'!$K$5:$K$36,INT(($B114/L$5))+1)+(($B114/L$5)-INT(($B114/L$5)))*(INDEX('D Fleet'!$K$5:$K$36,INT(($B114/L$5))+2)-INDEX('D Fleet'!$K$5:$K$36,INT(($B114/L$5))+1)),0)</f>
        <v/>
      </c>
      <c r="M114" s="276">
        <f>IFERROR(INDEX('D Fleet'!$E$5:$E$62,MATCH(M$3-$B114,'D Fleet'!$B$5:$B$62,0)),0)*IFERROR(INDEX('D Fleet'!$K$5:$K$36,INT(($B114/M$5))+1)+(($B114/M$5)-INT(($B114/M$5)))*(INDEX('D Fleet'!$K$5:$K$36,INT(($B114/M$5))+2)-INDEX('D Fleet'!$K$5:$K$36,INT(($B114/M$5))+1)),0)</f>
        <v/>
      </c>
      <c r="N114" s="276">
        <f>IFERROR(INDEX('D Fleet'!$E$5:$E$62,MATCH(N$3-$B114,'D Fleet'!$B$5:$B$62,0)),0)*IFERROR(INDEX('D Fleet'!$K$5:$K$36,INT(($B114/N$5))+1)+(($B114/N$5)-INT(($B114/N$5)))*(INDEX('D Fleet'!$K$5:$K$36,INT(($B114/N$5))+2)-INDEX('D Fleet'!$K$5:$K$36,INT(($B114/N$5))+1)),0)</f>
        <v/>
      </c>
      <c r="P114" s="276">
        <f>E114*$D114*'E1 Fleet'!$D$99</f>
        <v/>
      </c>
      <c r="Q114" s="276">
        <f>F114*$D114*'E1 Fleet'!$D$99</f>
        <v/>
      </c>
      <c r="R114" s="276">
        <f>G114*$D114*'E1 Fleet'!$D$99</f>
        <v/>
      </c>
      <c r="S114" s="276">
        <f>H114*$D114*'E1 Fleet'!$D$99</f>
        <v/>
      </c>
      <c r="T114" s="276">
        <f>I114*$D114*'E1 Fleet'!$D$99</f>
        <v/>
      </c>
      <c r="U114" s="276">
        <f>J114*$D114*'E1 Fleet'!$D$99</f>
        <v/>
      </c>
      <c r="V114" s="276">
        <f>K114*$D114*'E1 Fleet'!$D$99</f>
        <v/>
      </c>
      <c r="W114" s="276">
        <f>L114*$D114*'E1 Fleet'!$D$99</f>
        <v/>
      </c>
      <c r="X114" s="276">
        <f>M114*$D114*'E1 Fleet'!$D$99</f>
        <v/>
      </c>
      <c r="Y114" s="276">
        <f>N114*$D114*'E1 Fleet'!$D$99</f>
        <v/>
      </c>
    </row>
    <row r="115">
      <c r="A115" t="inlineStr">
        <is>
          <t>Pickup</t>
        </is>
      </c>
      <c r="B115" t="n">
        <v>16</v>
      </c>
      <c r="C115" t="n">
        <v>3</v>
      </c>
      <c r="D115" s="275">
        <f>IF($B115=0,'E1 Fleet'!$D$93,1)*EXP(-'E1 Fleet'!$D$94*MAX($B115-6,0))</f>
        <v/>
      </c>
      <c r="E115" s="276">
        <f>IFERROR(INDEX('D Fleet'!$E$5:$E$62,MATCH(E$3-$B115,'D Fleet'!$B$5:$B$62,0)),0)*IFERROR(INDEX('D Fleet'!$K$5:$K$36,INT(($B115/E$5))+1)+(($B115/E$5)-INT(($B115/E$5)))*(INDEX('D Fleet'!$K$5:$K$36,INT(($B115/E$5))+2)-INDEX('D Fleet'!$K$5:$K$36,INT(($B115/E$5))+1)),0)</f>
        <v/>
      </c>
      <c r="F115" s="276">
        <f>IFERROR(INDEX('D Fleet'!$E$5:$E$62,MATCH(F$3-$B115,'D Fleet'!$B$5:$B$62,0)),0)*IFERROR(INDEX('D Fleet'!$K$5:$K$36,INT(($B115/F$5))+1)+(($B115/F$5)-INT(($B115/F$5)))*(INDEX('D Fleet'!$K$5:$K$36,INT(($B115/F$5))+2)-INDEX('D Fleet'!$K$5:$K$36,INT(($B115/F$5))+1)),0)</f>
        <v/>
      </c>
      <c r="G115" s="276">
        <f>IFERROR(INDEX('D Fleet'!$E$5:$E$62,MATCH(G$3-$B115,'D Fleet'!$B$5:$B$62,0)),0)*IFERROR(INDEX('D Fleet'!$K$5:$K$36,INT(($B115/G$5))+1)+(($B115/G$5)-INT(($B115/G$5)))*(INDEX('D Fleet'!$K$5:$K$36,INT(($B115/G$5))+2)-INDEX('D Fleet'!$K$5:$K$36,INT(($B115/G$5))+1)),0)</f>
        <v/>
      </c>
      <c r="H115" s="276">
        <f>IFERROR(INDEX('D Fleet'!$E$5:$E$62,MATCH(H$3-$B115,'D Fleet'!$B$5:$B$62,0)),0)*IFERROR(INDEX('D Fleet'!$K$5:$K$36,INT(($B115/H$5))+1)+(($B115/H$5)-INT(($B115/H$5)))*(INDEX('D Fleet'!$K$5:$K$36,INT(($B115/H$5))+2)-INDEX('D Fleet'!$K$5:$K$36,INT(($B115/H$5))+1)),0)</f>
        <v/>
      </c>
      <c r="I115" s="276">
        <f>IFERROR(INDEX('D Fleet'!$E$5:$E$62,MATCH(I$3-$B115,'D Fleet'!$B$5:$B$62,0)),0)*IFERROR(INDEX('D Fleet'!$K$5:$K$36,INT(($B115/I$5))+1)+(($B115/I$5)-INT(($B115/I$5)))*(INDEX('D Fleet'!$K$5:$K$36,INT(($B115/I$5))+2)-INDEX('D Fleet'!$K$5:$K$36,INT(($B115/I$5))+1)),0)</f>
        <v/>
      </c>
      <c r="J115" s="276">
        <f>IFERROR(INDEX('D Fleet'!$E$5:$E$62,MATCH(J$3-$B115,'D Fleet'!$B$5:$B$62,0)),0)*IFERROR(INDEX('D Fleet'!$K$5:$K$36,INT(($B115/J$5))+1)+(($B115/J$5)-INT(($B115/J$5)))*(INDEX('D Fleet'!$K$5:$K$36,INT(($B115/J$5))+2)-INDEX('D Fleet'!$K$5:$K$36,INT(($B115/J$5))+1)),0)</f>
        <v/>
      </c>
      <c r="K115" s="276">
        <f>IFERROR(INDEX('D Fleet'!$E$5:$E$62,MATCH(K$3-$B115,'D Fleet'!$B$5:$B$62,0)),0)*IFERROR(INDEX('D Fleet'!$K$5:$K$36,INT(($B115/K$5))+1)+(($B115/K$5)-INT(($B115/K$5)))*(INDEX('D Fleet'!$K$5:$K$36,INT(($B115/K$5))+2)-INDEX('D Fleet'!$K$5:$K$36,INT(($B115/K$5))+1)),0)</f>
        <v/>
      </c>
      <c r="L115" s="276">
        <f>IFERROR(INDEX('D Fleet'!$E$5:$E$62,MATCH(L$3-$B115,'D Fleet'!$B$5:$B$62,0)),0)*IFERROR(INDEX('D Fleet'!$K$5:$K$36,INT(($B115/L$5))+1)+(($B115/L$5)-INT(($B115/L$5)))*(INDEX('D Fleet'!$K$5:$K$36,INT(($B115/L$5))+2)-INDEX('D Fleet'!$K$5:$K$36,INT(($B115/L$5))+1)),0)</f>
        <v/>
      </c>
      <c r="M115" s="276">
        <f>IFERROR(INDEX('D Fleet'!$E$5:$E$62,MATCH(M$3-$B115,'D Fleet'!$B$5:$B$62,0)),0)*IFERROR(INDEX('D Fleet'!$K$5:$K$36,INT(($B115/M$5))+1)+(($B115/M$5)-INT(($B115/M$5)))*(INDEX('D Fleet'!$K$5:$K$36,INT(($B115/M$5))+2)-INDEX('D Fleet'!$K$5:$K$36,INT(($B115/M$5))+1)),0)</f>
        <v/>
      </c>
      <c r="N115" s="276">
        <f>IFERROR(INDEX('D Fleet'!$E$5:$E$62,MATCH(N$3-$B115,'D Fleet'!$B$5:$B$62,0)),0)*IFERROR(INDEX('D Fleet'!$K$5:$K$36,INT(($B115/N$5))+1)+(($B115/N$5)-INT(($B115/N$5)))*(INDEX('D Fleet'!$K$5:$K$36,INT(($B115/N$5))+2)-INDEX('D Fleet'!$K$5:$K$36,INT(($B115/N$5))+1)),0)</f>
        <v/>
      </c>
      <c r="P115" s="276">
        <f>E115*$D115*'E1 Fleet'!$D$99</f>
        <v/>
      </c>
      <c r="Q115" s="276">
        <f>F115*$D115*'E1 Fleet'!$D$99</f>
        <v/>
      </c>
      <c r="R115" s="276">
        <f>G115*$D115*'E1 Fleet'!$D$99</f>
        <v/>
      </c>
      <c r="S115" s="276">
        <f>H115*$D115*'E1 Fleet'!$D$99</f>
        <v/>
      </c>
      <c r="T115" s="276">
        <f>I115*$D115*'E1 Fleet'!$D$99</f>
        <v/>
      </c>
      <c r="U115" s="276">
        <f>J115*$D115*'E1 Fleet'!$D$99</f>
        <v/>
      </c>
      <c r="V115" s="276">
        <f>K115*$D115*'E1 Fleet'!$D$99</f>
        <v/>
      </c>
      <c r="W115" s="276">
        <f>L115*$D115*'E1 Fleet'!$D$99</f>
        <v/>
      </c>
      <c r="X115" s="276">
        <f>M115*$D115*'E1 Fleet'!$D$99</f>
        <v/>
      </c>
      <c r="Y115" s="276">
        <f>N115*$D115*'E1 Fleet'!$D$99</f>
        <v/>
      </c>
    </row>
    <row r="116">
      <c r="A116" t="inlineStr">
        <is>
          <t>Pickup</t>
        </is>
      </c>
      <c r="B116" t="n">
        <v>17</v>
      </c>
      <c r="C116" t="n">
        <v>3</v>
      </c>
      <c r="D116" s="275">
        <f>IF($B116=0,'E1 Fleet'!$D$93,1)*EXP(-'E1 Fleet'!$D$94*MAX($B116-6,0))</f>
        <v/>
      </c>
      <c r="E116" s="276">
        <f>IFERROR(INDEX('D Fleet'!$E$5:$E$62,MATCH(E$3-$B116,'D Fleet'!$B$5:$B$62,0)),0)*IFERROR(INDEX('D Fleet'!$K$5:$K$36,INT(($B116/E$5))+1)+(($B116/E$5)-INT(($B116/E$5)))*(INDEX('D Fleet'!$K$5:$K$36,INT(($B116/E$5))+2)-INDEX('D Fleet'!$K$5:$K$36,INT(($B116/E$5))+1)),0)</f>
        <v/>
      </c>
      <c r="F116" s="276">
        <f>IFERROR(INDEX('D Fleet'!$E$5:$E$62,MATCH(F$3-$B116,'D Fleet'!$B$5:$B$62,0)),0)*IFERROR(INDEX('D Fleet'!$K$5:$K$36,INT(($B116/F$5))+1)+(($B116/F$5)-INT(($B116/F$5)))*(INDEX('D Fleet'!$K$5:$K$36,INT(($B116/F$5))+2)-INDEX('D Fleet'!$K$5:$K$36,INT(($B116/F$5))+1)),0)</f>
        <v/>
      </c>
      <c r="G116" s="276">
        <f>IFERROR(INDEX('D Fleet'!$E$5:$E$62,MATCH(G$3-$B116,'D Fleet'!$B$5:$B$62,0)),0)*IFERROR(INDEX('D Fleet'!$K$5:$K$36,INT(($B116/G$5))+1)+(($B116/G$5)-INT(($B116/G$5)))*(INDEX('D Fleet'!$K$5:$K$36,INT(($B116/G$5))+2)-INDEX('D Fleet'!$K$5:$K$36,INT(($B116/G$5))+1)),0)</f>
        <v/>
      </c>
      <c r="H116" s="276">
        <f>IFERROR(INDEX('D Fleet'!$E$5:$E$62,MATCH(H$3-$B116,'D Fleet'!$B$5:$B$62,0)),0)*IFERROR(INDEX('D Fleet'!$K$5:$K$36,INT(($B116/H$5))+1)+(($B116/H$5)-INT(($B116/H$5)))*(INDEX('D Fleet'!$K$5:$K$36,INT(($B116/H$5))+2)-INDEX('D Fleet'!$K$5:$K$36,INT(($B116/H$5))+1)),0)</f>
        <v/>
      </c>
      <c r="I116" s="276">
        <f>IFERROR(INDEX('D Fleet'!$E$5:$E$62,MATCH(I$3-$B116,'D Fleet'!$B$5:$B$62,0)),0)*IFERROR(INDEX('D Fleet'!$K$5:$K$36,INT(($B116/I$5))+1)+(($B116/I$5)-INT(($B116/I$5)))*(INDEX('D Fleet'!$K$5:$K$36,INT(($B116/I$5))+2)-INDEX('D Fleet'!$K$5:$K$36,INT(($B116/I$5))+1)),0)</f>
        <v/>
      </c>
      <c r="J116" s="276">
        <f>IFERROR(INDEX('D Fleet'!$E$5:$E$62,MATCH(J$3-$B116,'D Fleet'!$B$5:$B$62,0)),0)*IFERROR(INDEX('D Fleet'!$K$5:$K$36,INT(($B116/J$5))+1)+(($B116/J$5)-INT(($B116/J$5)))*(INDEX('D Fleet'!$K$5:$K$36,INT(($B116/J$5))+2)-INDEX('D Fleet'!$K$5:$K$36,INT(($B116/J$5))+1)),0)</f>
        <v/>
      </c>
      <c r="K116" s="276">
        <f>IFERROR(INDEX('D Fleet'!$E$5:$E$62,MATCH(K$3-$B116,'D Fleet'!$B$5:$B$62,0)),0)*IFERROR(INDEX('D Fleet'!$K$5:$K$36,INT(($B116/K$5))+1)+(($B116/K$5)-INT(($B116/K$5)))*(INDEX('D Fleet'!$K$5:$K$36,INT(($B116/K$5))+2)-INDEX('D Fleet'!$K$5:$K$36,INT(($B116/K$5))+1)),0)</f>
        <v/>
      </c>
      <c r="L116" s="276">
        <f>IFERROR(INDEX('D Fleet'!$E$5:$E$62,MATCH(L$3-$B116,'D Fleet'!$B$5:$B$62,0)),0)*IFERROR(INDEX('D Fleet'!$K$5:$K$36,INT(($B116/L$5))+1)+(($B116/L$5)-INT(($B116/L$5)))*(INDEX('D Fleet'!$K$5:$K$36,INT(($B116/L$5))+2)-INDEX('D Fleet'!$K$5:$K$36,INT(($B116/L$5))+1)),0)</f>
        <v/>
      </c>
      <c r="M116" s="276">
        <f>IFERROR(INDEX('D Fleet'!$E$5:$E$62,MATCH(M$3-$B116,'D Fleet'!$B$5:$B$62,0)),0)*IFERROR(INDEX('D Fleet'!$K$5:$K$36,INT(($B116/M$5))+1)+(($B116/M$5)-INT(($B116/M$5)))*(INDEX('D Fleet'!$K$5:$K$36,INT(($B116/M$5))+2)-INDEX('D Fleet'!$K$5:$K$36,INT(($B116/M$5))+1)),0)</f>
        <v/>
      </c>
      <c r="N116" s="276">
        <f>IFERROR(INDEX('D Fleet'!$E$5:$E$62,MATCH(N$3-$B116,'D Fleet'!$B$5:$B$62,0)),0)*IFERROR(INDEX('D Fleet'!$K$5:$K$36,INT(($B116/N$5))+1)+(($B116/N$5)-INT(($B116/N$5)))*(INDEX('D Fleet'!$K$5:$K$36,INT(($B116/N$5))+2)-INDEX('D Fleet'!$K$5:$K$36,INT(($B116/N$5))+1)),0)</f>
        <v/>
      </c>
      <c r="P116" s="276">
        <f>E116*$D116*'E1 Fleet'!$D$99</f>
        <v/>
      </c>
      <c r="Q116" s="276">
        <f>F116*$D116*'E1 Fleet'!$D$99</f>
        <v/>
      </c>
      <c r="R116" s="276">
        <f>G116*$D116*'E1 Fleet'!$D$99</f>
        <v/>
      </c>
      <c r="S116" s="276">
        <f>H116*$D116*'E1 Fleet'!$D$99</f>
        <v/>
      </c>
      <c r="T116" s="276">
        <f>I116*$D116*'E1 Fleet'!$D$99</f>
        <v/>
      </c>
      <c r="U116" s="276">
        <f>J116*$D116*'E1 Fleet'!$D$99</f>
        <v/>
      </c>
      <c r="V116" s="276">
        <f>K116*$D116*'E1 Fleet'!$D$99</f>
        <v/>
      </c>
      <c r="W116" s="276">
        <f>L116*$D116*'E1 Fleet'!$D$99</f>
        <v/>
      </c>
      <c r="X116" s="276">
        <f>M116*$D116*'E1 Fleet'!$D$99</f>
        <v/>
      </c>
      <c r="Y116" s="276">
        <f>N116*$D116*'E1 Fleet'!$D$99</f>
        <v/>
      </c>
    </row>
    <row r="117">
      <c r="A117" t="inlineStr">
        <is>
          <t>Pickup</t>
        </is>
      </c>
      <c r="B117" t="n">
        <v>18</v>
      </c>
      <c r="C117" t="n">
        <v>3</v>
      </c>
      <c r="D117" s="275">
        <f>IF($B117=0,'E1 Fleet'!$D$93,1)*EXP(-'E1 Fleet'!$D$94*MAX($B117-6,0))</f>
        <v/>
      </c>
      <c r="E117" s="276">
        <f>IFERROR(INDEX('D Fleet'!$E$5:$E$62,MATCH(E$3-$B117,'D Fleet'!$B$5:$B$62,0)),0)*IFERROR(INDEX('D Fleet'!$K$5:$K$36,INT(($B117/E$5))+1)+(($B117/E$5)-INT(($B117/E$5)))*(INDEX('D Fleet'!$K$5:$K$36,INT(($B117/E$5))+2)-INDEX('D Fleet'!$K$5:$K$36,INT(($B117/E$5))+1)),0)</f>
        <v/>
      </c>
      <c r="F117" s="276">
        <f>IFERROR(INDEX('D Fleet'!$E$5:$E$62,MATCH(F$3-$B117,'D Fleet'!$B$5:$B$62,0)),0)*IFERROR(INDEX('D Fleet'!$K$5:$K$36,INT(($B117/F$5))+1)+(($B117/F$5)-INT(($B117/F$5)))*(INDEX('D Fleet'!$K$5:$K$36,INT(($B117/F$5))+2)-INDEX('D Fleet'!$K$5:$K$36,INT(($B117/F$5))+1)),0)</f>
        <v/>
      </c>
      <c r="G117" s="276">
        <f>IFERROR(INDEX('D Fleet'!$E$5:$E$62,MATCH(G$3-$B117,'D Fleet'!$B$5:$B$62,0)),0)*IFERROR(INDEX('D Fleet'!$K$5:$K$36,INT(($B117/G$5))+1)+(($B117/G$5)-INT(($B117/G$5)))*(INDEX('D Fleet'!$K$5:$K$36,INT(($B117/G$5))+2)-INDEX('D Fleet'!$K$5:$K$36,INT(($B117/G$5))+1)),0)</f>
        <v/>
      </c>
      <c r="H117" s="276">
        <f>IFERROR(INDEX('D Fleet'!$E$5:$E$62,MATCH(H$3-$B117,'D Fleet'!$B$5:$B$62,0)),0)*IFERROR(INDEX('D Fleet'!$K$5:$K$36,INT(($B117/H$5))+1)+(($B117/H$5)-INT(($B117/H$5)))*(INDEX('D Fleet'!$K$5:$K$36,INT(($B117/H$5))+2)-INDEX('D Fleet'!$K$5:$K$36,INT(($B117/H$5))+1)),0)</f>
        <v/>
      </c>
      <c r="I117" s="276">
        <f>IFERROR(INDEX('D Fleet'!$E$5:$E$62,MATCH(I$3-$B117,'D Fleet'!$B$5:$B$62,0)),0)*IFERROR(INDEX('D Fleet'!$K$5:$K$36,INT(($B117/I$5))+1)+(($B117/I$5)-INT(($B117/I$5)))*(INDEX('D Fleet'!$K$5:$K$36,INT(($B117/I$5))+2)-INDEX('D Fleet'!$K$5:$K$36,INT(($B117/I$5))+1)),0)</f>
        <v/>
      </c>
      <c r="J117" s="276">
        <f>IFERROR(INDEX('D Fleet'!$E$5:$E$62,MATCH(J$3-$B117,'D Fleet'!$B$5:$B$62,0)),0)*IFERROR(INDEX('D Fleet'!$K$5:$K$36,INT(($B117/J$5))+1)+(($B117/J$5)-INT(($B117/J$5)))*(INDEX('D Fleet'!$K$5:$K$36,INT(($B117/J$5))+2)-INDEX('D Fleet'!$K$5:$K$36,INT(($B117/J$5))+1)),0)</f>
        <v/>
      </c>
      <c r="K117" s="276">
        <f>IFERROR(INDEX('D Fleet'!$E$5:$E$62,MATCH(K$3-$B117,'D Fleet'!$B$5:$B$62,0)),0)*IFERROR(INDEX('D Fleet'!$K$5:$K$36,INT(($B117/K$5))+1)+(($B117/K$5)-INT(($B117/K$5)))*(INDEX('D Fleet'!$K$5:$K$36,INT(($B117/K$5))+2)-INDEX('D Fleet'!$K$5:$K$36,INT(($B117/K$5))+1)),0)</f>
        <v/>
      </c>
      <c r="L117" s="276">
        <f>IFERROR(INDEX('D Fleet'!$E$5:$E$62,MATCH(L$3-$B117,'D Fleet'!$B$5:$B$62,0)),0)*IFERROR(INDEX('D Fleet'!$K$5:$K$36,INT(($B117/L$5))+1)+(($B117/L$5)-INT(($B117/L$5)))*(INDEX('D Fleet'!$K$5:$K$36,INT(($B117/L$5))+2)-INDEX('D Fleet'!$K$5:$K$36,INT(($B117/L$5))+1)),0)</f>
        <v/>
      </c>
      <c r="M117" s="276">
        <f>IFERROR(INDEX('D Fleet'!$E$5:$E$62,MATCH(M$3-$B117,'D Fleet'!$B$5:$B$62,0)),0)*IFERROR(INDEX('D Fleet'!$K$5:$K$36,INT(($B117/M$5))+1)+(($B117/M$5)-INT(($B117/M$5)))*(INDEX('D Fleet'!$K$5:$K$36,INT(($B117/M$5))+2)-INDEX('D Fleet'!$K$5:$K$36,INT(($B117/M$5))+1)),0)</f>
        <v/>
      </c>
      <c r="N117" s="276">
        <f>IFERROR(INDEX('D Fleet'!$E$5:$E$62,MATCH(N$3-$B117,'D Fleet'!$B$5:$B$62,0)),0)*IFERROR(INDEX('D Fleet'!$K$5:$K$36,INT(($B117/N$5))+1)+(($B117/N$5)-INT(($B117/N$5)))*(INDEX('D Fleet'!$K$5:$K$36,INT(($B117/N$5))+2)-INDEX('D Fleet'!$K$5:$K$36,INT(($B117/N$5))+1)),0)</f>
        <v/>
      </c>
      <c r="P117" s="276">
        <f>E117*$D117*'E1 Fleet'!$D$99</f>
        <v/>
      </c>
      <c r="Q117" s="276">
        <f>F117*$D117*'E1 Fleet'!$D$99</f>
        <v/>
      </c>
      <c r="R117" s="276">
        <f>G117*$D117*'E1 Fleet'!$D$99</f>
        <v/>
      </c>
      <c r="S117" s="276">
        <f>H117*$D117*'E1 Fleet'!$D$99</f>
        <v/>
      </c>
      <c r="T117" s="276">
        <f>I117*$D117*'E1 Fleet'!$D$99</f>
        <v/>
      </c>
      <c r="U117" s="276">
        <f>J117*$D117*'E1 Fleet'!$D$99</f>
        <v/>
      </c>
      <c r="V117" s="276">
        <f>K117*$D117*'E1 Fleet'!$D$99</f>
        <v/>
      </c>
      <c r="W117" s="276">
        <f>L117*$D117*'E1 Fleet'!$D$99</f>
        <v/>
      </c>
      <c r="X117" s="276">
        <f>M117*$D117*'E1 Fleet'!$D$99</f>
        <v/>
      </c>
      <c r="Y117" s="276">
        <f>N117*$D117*'E1 Fleet'!$D$99</f>
        <v/>
      </c>
    </row>
    <row r="118">
      <c r="A118" t="inlineStr">
        <is>
          <t>Pickup</t>
        </is>
      </c>
      <c r="B118" t="n">
        <v>19</v>
      </c>
      <c r="C118" t="n">
        <v>3</v>
      </c>
      <c r="D118" s="275">
        <f>IF($B118=0,'E1 Fleet'!$D$93,1)*EXP(-'E1 Fleet'!$D$94*MAX($B118-6,0))</f>
        <v/>
      </c>
      <c r="E118" s="276">
        <f>IFERROR(INDEX('D Fleet'!$E$5:$E$62,MATCH(E$3-$B118,'D Fleet'!$B$5:$B$62,0)),0)*IFERROR(INDEX('D Fleet'!$K$5:$K$36,INT(($B118/E$5))+1)+(($B118/E$5)-INT(($B118/E$5)))*(INDEX('D Fleet'!$K$5:$K$36,INT(($B118/E$5))+2)-INDEX('D Fleet'!$K$5:$K$36,INT(($B118/E$5))+1)),0)</f>
        <v/>
      </c>
      <c r="F118" s="276">
        <f>IFERROR(INDEX('D Fleet'!$E$5:$E$62,MATCH(F$3-$B118,'D Fleet'!$B$5:$B$62,0)),0)*IFERROR(INDEX('D Fleet'!$K$5:$K$36,INT(($B118/F$5))+1)+(($B118/F$5)-INT(($B118/F$5)))*(INDEX('D Fleet'!$K$5:$K$36,INT(($B118/F$5))+2)-INDEX('D Fleet'!$K$5:$K$36,INT(($B118/F$5))+1)),0)</f>
        <v/>
      </c>
      <c r="G118" s="276">
        <f>IFERROR(INDEX('D Fleet'!$E$5:$E$62,MATCH(G$3-$B118,'D Fleet'!$B$5:$B$62,0)),0)*IFERROR(INDEX('D Fleet'!$K$5:$K$36,INT(($B118/G$5))+1)+(($B118/G$5)-INT(($B118/G$5)))*(INDEX('D Fleet'!$K$5:$K$36,INT(($B118/G$5))+2)-INDEX('D Fleet'!$K$5:$K$36,INT(($B118/G$5))+1)),0)</f>
        <v/>
      </c>
      <c r="H118" s="276">
        <f>IFERROR(INDEX('D Fleet'!$E$5:$E$62,MATCH(H$3-$B118,'D Fleet'!$B$5:$B$62,0)),0)*IFERROR(INDEX('D Fleet'!$K$5:$K$36,INT(($B118/H$5))+1)+(($B118/H$5)-INT(($B118/H$5)))*(INDEX('D Fleet'!$K$5:$K$36,INT(($B118/H$5))+2)-INDEX('D Fleet'!$K$5:$K$36,INT(($B118/H$5))+1)),0)</f>
        <v/>
      </c>
      <c r="I118" s="276">
        <f>IFERROR(INDEX('D Fleet'!$E$5:$E$62,MATCH(I$3-$B118,'D Fleet'!$B$5:$B$62,0)),0)*IFERROR(INDEX('D Fleet'!$K$5:$K$36,INT(($B118/I$5))+1)+(($B118/I$5)-INT(($B118/I$5)))*(INDEX('D Fleet'!$K$5:$K$36,INT(($B118/I$5))+2)-INDEX('D Fleet'!$K$5:$K$36,INT(($B118/I$5))+1)),0)</f>
        <v/>
      </c>
      <c r="J118" s="276">
        <f>IFERROR(INDEX('D Fleet'!$E$5:$E$62,MATCH(J$3-$B118,'D Fleet'!$B$5:$B$62,0)),0)*IFERROR(INDEX('D Fleet'!$K$5:$K$36,INT(($B118/J$5))+1)+(($B118/J$5)-INT(($B118/J$5)))*(INDEX('D Fleet'!$K$5:$K$36,INT(($B118/J$5))+2)-INDEX('D Fleet'!$K$5:$K$36,INT(($B118/J$5))+1)),0)</f>
        <v/>
      </c>
      <c r="K118" s="276">
        <f>IFERROR(INDEX('D Fleet'!$E$5:$E$62,MATCH(K$3-$B118,'D Fleet'!$B$5:$B$62,0)),0)*IFERROR(INDEX('D Fleet'!$K$5:$K$36,INT(($B118/K$5))+1)+(($B118/K$5)-INT(($B118/K$5)))*(INDEX('D Fleet'!$K$5:$K$36,INT(($B118/K$5))+2)-INDEX('D Fleet'!$K$5:$K$36,INT(($B118/K$5))+1)),0)</f>
        <v/>
      </c>
      <c r="L118" s="276">
        <f>IFERROR(INDEX('D Fleet'!$E$5:$E$62,MATCH(L$3-$B118,'D Fleet'!$B$5:$B$62,0)),0)*IFERROR(INDEX('D Fleet'!$K$5:$K$36,INT(($B118/L$5))+1)+(($B118/L$5)-INT(($B118/L$5)))*(INDEX('D Fleet'!$K$5:$K$36,INT(($B118/L$5))+2)-INDEX('D Fleet'!$K$5:$K$36,INT(($B118/L$5))+1)),0)</f>
        <v/>
      </c>
      <c r="M118" s="276">
        <f>IFERROR(INDEX('D Fleet'!$E$5:$E$62,MATCH(M$3-$B118,'D Fleet'!$B$5:$B$62,0)),0)*IFERROR(INDEX('D Fleet'!$K$5:$K$36,INT(($B118/M$5))+1)+(($B118/M$5)-INT(($B118/M$5)))*(INDEX('D Fleet'!$K$5:$K$36,INT(($B118/M$5))+2)-INDEX('D Fleet'!$K$5:$K$36,INT(($B118/M$5))+1)),0)</f>
        <v/>
      </c>
      <c r="N118" s="276">
        <f>IFERROR(INDEX('D Fleet'!$E$5:$E$62,MATCH(N$3-$B118,'D Fleet'!$B$5:$B$62,0)),0)*IFERROR(INDEX('D Fleet'!$K$5:$K$36,INT(($B118/N$5))+1)+(($B118/N$5)-INT(($B118/N$5)))*(INDEX('D Fleet'!$K$5:$K$36,INT(($B118/N$5))+2)-INDEX('D Fleet'!$K$5:$K$36,INT(($B118/N$5))+1)),0)</f>
        <v/>
      </c>
      <c r="P118" s="276">
        <f>E118*$D118*'E1 Fleet'!$D$99</f>
        <v/>
      </c>
      <c r="Q118" s="276">
        <f>F118*$D118*'E1 Fleet'!$D$99</f>
        <v/>
      </c>
      <c r="R118" s="276">
        <f>G118*$D118*'E1 Fleet'!$D$99</f>
        <v/>
      </c>
      <c r="S118" s="276">
        <f>H118*$D118*'E1 Fleet'!$D$99</f>
        <v/>
      </c>
      <c r="T118" s="276">
        <f>I118*$D118*'E1 Fleet'!$D$99</f>
        <v/>
      </c>
      <c r="U118" s="276">
        <f>J118*$D118*'E1 Fleet'!$D$99</f>
        <v/>
      </c>
      <c r="V118" s="276">
        <f>K118*$D118*'E1 Fleet'!$D$99</f>
        <v/>
      </c>
      <c r="W118" s="276">
        <f>L118*$D118*'E1 Fleet'!$D$99</f>
        <v/>
      </c>
      <c r="X118" s="276">
        <f>M118*$D118*'E1 Fleet'!$D$99</f>
        <v/>
      </c>
      <c r="Y118" s="276">
        <f>N118*$D118*'E1 Fleet'!$D$99</f>
        <v/>
      </c>
    </row>
    <row r="119">
      <c r="A119" t="inlineStr">
        <is>
          <t>Pickup</t>
        </is>
      </c>
      <c r="B119" t="n">
        <v>20</v>
      </c>
      <c r="C119" t="n">
        <v>3</v>
      </c>
      <c r="D119" s="275">
        <f>IF($B119=0,'E1 Fleet'!$D$93,1)*EXP(-'E1 Fleet'!$D$94*MAX($B119-6,0))</f>
        <v/>
      </c>
      <c r="E119" s="276">
        <f>IFERROR(INDEX('D Fleet'!$E$5:$E$62,MATCH(E$3-$B119,'D Fleet'!$B$5:$B$62,0)),0)*IFERROR(INDEX('D Fleet'!$K$5:$K$36,INT(($B119/E$5))+1)+(($B119/E$5)-INT(($B119/E$5)))*(INDEX('D Fleet'!$K$5:$K$36,INT(($B119/E$5))+2)-INDEX('D Fleet'!$K$5:$K$36,INT(($B119/E$5))+1)),0)</f>
        <v/>
      </c>
      <c r="F119" s="276">
        <f>IFERROR(INDEX('D Fleet'!$E$5:$E$62,MATCH(F$3-$B119,'D Fleet'!$B$5:$B$62,0)),0)*IFERROR(INDEX('D Fleet'!$K$5:$K$36,INT(($B119/F$5))+1)+(($B119/F$5)-INT(($B119/F$5)))*(INDEX('D Fleet'!$K$5:$K$36,INT(($B119/F$5))+2)-INDEX('D Fleet'!$K$5:$K$36,INT(($B119/F$5))+1)),0)</f>
        <v/>
      </c>
      <c r="G119" s="276">
        <f>IFERROR(INDEX('D Fleet'!$E$5:$E$62,MATCH(G$3-$B119,'D Fleet'!$B$5:$B$62,0)),0)*IFERROR(INDEX('D Fleet'!$K$5:$K$36,INT(($B119/G$5))+1)+(($B119/G$5)-INT(($B119/G$5)))*(INDEX('D Fleet'!$K$5:$K$36,INT(($B119/G$5))+2)-INDEX('D Fleet'!$K$5:$K$36,INT(($B119/G$5))+1)),0)</f>
        <v/>
      </c>
      <c r="H119" s="276">
        <f>IFERROR(INDEX('D Fleet'!$E$5:$E$62,MATCH(H$3-$B119,'D Fleet'!$B$5:$B$62,0)),0)*IFERROR(INDEX('D Fleet'!$K$5:$K$36,INT(($B119/H$5))+1)+(($B119/H$5)-INT(($B119/H$5)))*(INDEX('D Fleet'!$K$5:$K$36,INT(($B119/H$5))+2)-INDEX('D Fleet'!$K$5:$K$36,INT(($B119/H$5))+1)),0)</f>
        <v/>
      </c>
      <c r="I119" s="276">
        <f>IFERROR(INDEX('D Fleet'!$E$5:$E$62,MATCH(I$3-$B119,'D Fleet'!$B$5:$B$62,0)),0)*IFERROR(INDEX('D Fleet'!$K$5:$K$36,INT(($B119/I$5))+1)+(($B119/I$5)-INT(($B119/I$5)))*(INDEX('D Fleet'!$K$5:$K$36,INT(($B119/I$5))+2)-INDEX('D Fleet'!$K$5:$K$36,INT(($B119/I$5))+1)),0)</f>
        <v/>
      </c>
      <c r="J119" s="276">
        <f>IFERROR(INDEX('D Fleet'!$E$5:$E$62,MATCH(J$3-$B119,'D Fleet'!$B$5:$B$62,0)),0)*IFERROR(INDEX('D Fleet'!$K$5:$K$36,INT(($B119/J$5))+1)+(($B119/J$5)-INT(($B119/J$5)))*(INDEX('D Fleet'!$K$5:$K$36,INT(($B119/J$5))+2)-INDEX('D Fleet'!$K$5:$K$36,INT(($B119/J$5))+1)),0)</f>
        <v/>
      </c>
      <c r="K119" s="276">
        <f>IFERROR(INDEX('D Fleet'!$E$5:$E$62,MATCH(K$3-$B119,'D Fleet'!$B$5:$B$62,0)),0)*IFERROR(INDEX('D Fleet'!$K$5:$K$36,INT(($B119/K$5))+1)+(($B119/K$5)-INT(($B119/K$5)))*(INDEX('D Fleet'!$K$5:$K$36,INT(($B119/K$5))+2)-INDEX('D Fleet'!$K$5:$K$36,INT(($B119/K$5))+1)),0)</f>
        <v/>
      </c>
      <c r="L119" s="276">
        <f>IFERROR(INDEX('D Fleet'!$E$5:$E$62,MATCH(L$3-$B119,'D Fleet'!$B$5:$B$62,0)),0)*IFERROR(INDEX('D Fleet'!$K$5:$K$36,INT(($B119/L$5))+1)+(($B119/L$5)-INT(($B119/L$5)))*(INDEX('D Fleet'!$K$5:$K$36,INT(($B119/L$5))+2)-INDEX('D Fleet'!$K$5:$K$36,INT(($B119/L$5))+1)),0)</f>
        <v/>
      </c>
      <c r="M119" s="276">
        <f>IFERROR(INDEX('D Fleet'!$E$5:$E$62,MATCH(M$3-$B119,'D Fleet'!$B$5:$B$62,0)),0)*IFERROR(INDEX('D Fleet'!$K$5:$K$36,INT(($B119/M$5))+1)+(($B119/M$5)-INT(($B119/M$5)))*(INDEX('D Fleet'!$K$5:$K$36,INT(($B119/M$5))+2)-INDEX('D Fleet'!$K$5:$K$36,INT(($B119/M$5))+1)),0)</f>
        <v/>
      </c>
      <c r="N119" s="276">
        <f>IFERROR(INDEX('D Fleet'!$E$5:$E$62,MATCH(N$3-$B119,'D Fleet'!$B$5:$B$62,0)),0)*IFERROR(INDEX('D Fleet'!$K$5:$K$36,INT(($B119/N$5))+1)+(($B119/N$5)-INT(($B119/N$5)))*(INDEX('D Fleet'!$K$5:$K$36,INT(($B119/N$5))+2)-INDEX('D Fleet'!$K$5:$K$36,INT(($B119/N$5))+1)),0)</f>
        <v/>
      </c>
      <c r="P119" s="276">
        <f>E119*$D119*'E1 Fleet'!$D$99</f>
        <v/>
      </c>
      <c r="Q119" s="276">
        <f>F119*$D119*'E1 Fleet'!$D$99</f>
        <v/>
      </c>
      <c r="R119" s="276">
        <f>G119*$D119*'E1 Fleet'!$D$99</f>
        <v/>
      </c>
      <c r="S119" s="276">
        <f>H119*$D119*'E1 Fleet'!$D$99</f>
        <v/>
      </c>
      <c r="T119" s="276">
        <f>I119*$D119*'E1 Fleet'!$D$99</f>
        <v/>
      </c>
      <c r="U119" s="276">
        <f>J119*$D119*'E1 Fleet'!$D$99</f>
        <v/>
      </c>
      <c r="V119" s="276">
        <f>K119*$D119*'E1 Fleet'!$D$99</f>
        <v/>
      </c>
      <c r="W119" s="276">
        <f>L119*$D119*'E1 Fleet'!$D$99</f>
        <v/>
      </c>
      <c r="X119" s="276">
        <f>M119*$D119*'E1 Fleet'!$D$99</f>
        <v/>
      </c>
      <c r="Y119" s="276">
        <f>N119*$D119*'E1 Fleet'!$D$99</f>
        <v/>
      </c>
    </row>
    <row r="120">
      <c r="A120" t="inlineStr">
        <is>
          <t>Pickup</t>
        </is>
      </c>
      <c r="B120" t="n">
        <v>21</v>
      </c>
      <c r="C120" t="n">
        <v>3</v>
      </c>
      <c r="D120" s="275">
        <f>IF($B120=0,'E1 Fleet'!$D$93,1)*EXP(-'E1 Fleet'!$D$94*MAX($B120-6,0))</f>
        <v/>
      </c>
      <c r="E120" s="276">
        <f>IFERROR(INDEX('D Fleet'!$E$5:$E$62,MATCH(E$3-$B120,'D Fleet'!$B$5:$B$62,0)),0)*IFERROR(INDEX('D Fleet'!$K$5:$K$36,INT(($B120/E$5))+1)+(($B120/E$5)-INT(($B120/E$5)))*(INDEX('D Fleet'!$K$5:$K$36,INT(($B120/E$5))+2)-INDEX('D Fleet'!$K$5:$K$36,INT(($B120/E$5))+1)),0)</f>
        <v/>
      </c>
      <c r="F120" s="276">
        <f>IFERROR(INDEX('D Fleet'!$E$5:$E$62,MATCH(F$3-$B120,'D Fleet'!$B$5:$B$62,0)),0)*IFERROR(INDEX('D Fleet'!$K$5:$K$36,INT(($B120/F$5))+1)+(($B120/F$5)-INT(($B120/F$5)))*(INDEX('D Fleet'!$K$5:$K$36,INT(($B120/F$5))+2)-INDEX('D Fleet'!$K$5:$K$36,INT(($B120/F$5))+1)),0)</f>
        <v/>
      </c>
      <c r="G120" s="276">
        <f>IFERROR(INDEX('D Fleet'!$E$5:$E$62,MATCH(G$3-$B120,'D Fleet'!$B$5:$B$62,0)),0)*IFERROR(INDEX('D Fleet'!$K$5:$K$36,INT(($B120/G$5))+1)+(($B120/G$5)-INT(($B120/G$5)))*(INDEX('D Fleet'!$K$5:$K$36,INT(($B120/G$5))+2)-INDEX('D Fleet'!$K$5:$K$36,INT(($B120/G$5))+1)),0)</f>
        <v/>
      </c>
      <c r="H120" s="276">
        <f>IFERROR(INDEX('D Fleet'!$E$5:$E$62,MATCH(H$3-$B120,'D Fleet'!$B$5:$B$62,0)),0)*IFERROR(INDEX('D Fleet'!$K$5:$K$36,INT(($B120/H$5))+1)+(($B120/H$5)-INT(($B120/H$5)))*(INDEX('D Fleet'!$K$5:$K$36,INT(($B120/H$5))+2)-INDEX('D Fleet'!$K$5:$K$36,INT(($B120/H$5))+1)),0)</f>
        <v/>
      </c>
      <c r="I120" s="276">
        <f>IFERROR(INDEX('D Fleet'!$E$5:$E$62,MATCH(I$3-$B120,'D Fleet'!$B$5:$B$62,0)),0)*IFERROR(INDEX('D Fleet'!$K$5:$K$36,INT(($B120/I$5))+1)+(($B120/I$5)-INT(($B120/I$5)))*(INDEX('D Fleet'!$K$5:$K$36,INT(($B120/I$5))+2)-INDEX('D Fleet'!$K$5:$K$36,INT(($B120/I$5))+1)),0)</f>
        <v/>
      </c>
      <c r="J120" s="276">
        <f>IFERROR(INDEX('D Fleet'!$E$5:$E$62,MATCH(J$3-$B120,'D Fleet'!$B$5:$B$62,0)),0)*IFERROR(INDEX('D Fleet'!$K$5:$K$36,INT(($B120/J$5))+1)+(($B120/J$5)-INT(($B120/J$5)))*(INDEX('D Fleet'!$K$5:$K$36,INT(($B120/J$5))+2)-INDEX('D Fleet'!$K$5:$K$36,INT(($B120/J$5))+1)),0)</f>
        <v/>
      </c>
      <c r="K120" s="276">
        <f>IFERROR(INDEX('D Fleet'!$E$5:$E$62,MATCH(K$3-$B120,'D Fleet'!$B$5:$B$62,0)),0)*IFERROR(INDEX('D Fleet'!$K$5:$K$36,INT(($B120/K$5))+1)+(($B120/K$5)-INT(($B120/K$5)))*(INDEX('D Fleet'!$K$5:$K$36,INT(($B120/K$5))+2)-INDEX('D Fleet'!$K$5:$K$36,INT(($B120/K$5))+1)),0)</f>
        <v/>
      </c>
      <c r="L120" s="276">
        <f>IFERROR(INDEX('D Fleet'!$E$5:$E$62,MATCH(L$3-$B120,'D Fleet'!$B$5:$B$62,0)),0)*IFERROR(INDEX('D Fleet'!$K$5:$K$36,INT(($B120/L$5))+1)+(($B120/L$5)-INT(($B120/L$5)))*(INDEX('D Fleet'!$K$5:$K$36,INT(($B120/L$5))+2)-INDEX('D Fleet'!$K$5:$K$36,INT(($B120/L$5))+1)),0)</f>
        <v/>
      </c>
      <c r="M120" s="276">
        <f>IFERROR(INDEX('D Fleet'!$E$5:$E$62,MATCH(M$3-$B120,'D Fleet'!$B$5:$B$62,0)),0)*IFERROR(INDEX('D Fleet'!$K$5:$K$36,INT(($B120/M$5))+1)+(($B120/M$5)-INT(($B120/M$5)))*(INDEX('D Fleet'!$K$5:$K$36,INT(($B120/M$5))+2)-INDEX('D Fleet'!$K$5:$K$36,INT(($B120/M$5))+1)),0)</f>
        <v/>
      </c>
      <c r="N120" s="276">
        <f>IFERROR(INDEX('D Fleet'!$E$5:$E$62,MATCH(N$3-$B120,'D Fleet'!$B$5:$B$62,0)),0)*IFERROR(INDEX('D Fleet'!$K$5:$K$36,INT(($B120/N$5))+1)+(($B120/N$5)-INT(($B120/N$5)))*(INDEX('D Fleet'!$K$5:$K$36,INT(($B120/N$5))+2)-INDEX('D Fleet'!$K$5:$K$36,INT(($B120/N$5))+1)),0)</f>
        <v/>
      </c>
      <c r="P120" s="276">
        <f>E120*$D120*'E1 Fleet'!$D$99</f>
        <v/>
      </c>
      <c r="Q120" s="276">
        <f>F120*$D120*'E1 Fleet'!$D$99</f>
        <v/>
      </c>
      <c r="R120" s="276">
        <f>G120*$D120*'E1 Fleet'!$D$99</f>
        <v/>
      </c>
      <c r="S120" s="276">
        <f>H120*$D120*'E1 Fleet'!$D$99</f>
        <v/>
      </c>
      <c r="T120" s="276">
        <f>I120*$D120*'E1 Fleet'!$D$99</f>
        <v/>
      </c>
      <c r="U120" s="276">
        <f>J120*$D120*'E1 Fleet'!$D$99</f>
        <v/>
      </c>
      <c r="V120" s="276">
        <f>K120*$D120*'E1 Fleet'!$D$99</f>
        <v/>
      </c>
      <c r="W120" s="276">
        <f>L120*$D120*'E1 Fleet'!$D$99</f>
        <v/>
      </c>
      <c r="X120" s="276">
        <f>M120*$D120*'E1 Fleet'!$D$99</f>
        <v/>
      </c>
      <c r="Y120" s="276">
        <f>N120*$D120*'E1 Fleet'!$D$99</f>
        <v/>
      </c>
    </row>
    <row r="121">
      <c r="A121" t="inlineStr">
        <is>
          <t>Pickup</t>
        </is>
      </c>
      <c r="B121" t="n">
        <v>22</v>
      </c>
      <c r="C121" t="n">
        <v>3</v>
      </c>
      <c r="D121" s="275">
        <f>IF($B121=0,'E1 Fleet'!$D$93,1)*EXP(-'E1 Fleet'!$D$94*MAX($B121-6,0))</f>
        <v/>
      </c>
      <c r="E121" s="276">
        <f>IFERROR(INDEX('D Fleet'!$E$5:$E$62,MATCH(E$3-$B121,'D Fleet'!$B$5:$B$62,0)),0)*IFERROR(INDEX('D Fleet'!$K$5:$K$36,INT(($B121/E$5))+1)+(($B121/E$5)-INT(($B121/E$5)))*(INDEX('D Fleet'!$K$5:$K$36,INT(($B121/E$5))+2)-INDEX('D Fleet'!$K$5:$K$36,INT(($B121/E$5))+1)),0)</f>
        <v/>
      </c>
      <c r="F121" s="276">
        <f>IFERROR(INDEX('D Fleet'!$E$5:$E$62,MATCH(F$3-$B121,'D Fleet'!$B$5:$B$62,0)),0)*IFERROR(INDEX('D Fleet'!$K$5:$K$36,INT(($B121/F$5))+1)+(($B121/F$5)-INT(($B121/F$5)))*(INDEX('D Fleet'!$K$5:$K$36,INT(($B121/F$5))+2)-INDEX('D Fleet'!$K$5:$K$36,INT(($B121/F$5))+1)),0)</f>
        <v/>
      </c>
      <c r="G121" s="276">
        <f>IFERROR(INDEX('D Fleet'!$E$5:$E$62,MATCH(G$3-$B121,'D Fleet'!$B$5:$B$62,0)),0)*IFERROR(INDEX('D Fleet'!$K$5:$K$36,INT(($B121/G$5))+1)+(($B121/G$5)-INT(($B121/G$5)))*(INDEX('D Fleet'!$K$5:$K$36,INT(($B121/G$5))+2)-INDEX('D Fleet'!$K$5:$K$36,INT(($B121/G$5))+1)),0)</f>
        <v/>
      </c>
      <c r="H121" s="276">
        <f>IFERROR(INDEX('D Fleet'!$E$5:$E$62,MATCH(H$3-$B121,'D Fleet'!$B$5:$B$62,0)),0)*IFERROR(INDEX('D Fleet'!$K$5:$K$36,INT(($B121/H$5))+1)+(($B121/H$5)-INT(($B121/H$5)))*(INDEX('D Fleet'!$K$5:$K$36,INT(($B121/H$5))+2)-INDEX('D Fleet'!$K$5:$K$36,INT(($B121/H$5))+1)),0)</f>
        <v/>
      </c>
      <c r="I121" s="276">
        <f>IFERROR(INDEX('D Fleet'!$E$5:$E$62,MATCH(I$3-$B121,'D Fleet'!$B$5:$B$62,0)),0)*IFERROR(INDEX('D Fleet'!$K$5:$K$36,INT(($B121/I$5))+1)+(($B121/I$5)-INT(($B121/I$5)))*(INDEX('D Fleet'!$K$5:$K$36,INT(($B121/I$5))+2)-INDEX('D Fleet'!$K$5:$K$36,INT(($B121/I$5))+1)),0)</f>
        <v/>
      </c>
      <c r="J121" s="276">
        <f>IFERROR(INDEX('D Fleet'!$E$5:$E$62,MATCH(J$3-$B121,'D Fleet'!$B$5:$B$62,0)),0)*IFERROR(INDEX('D Fleet'!$K$5:$K$36,INT(($B121/J$5))+1)+(($B121/J$5)-INT(($B121/J$5)))*(INDEX('D Fleet'!$K$5:$K$36,INT(($B121/J$5))+2)-INDEX('D Fleet'!$K$5:$K$36,INT(($B121/J$5))+1)),0)</f>
        <v/>
      </c>
      <c r="K121" s="276">
        <f>IFERROR(INDEX('D Fleet'!$E$5:$E$62,MATCH(K$3-$B121,'D Fleet'!$B$5:$B$62,0)),0)*IFERROR(INDEX('D Fleet'!$K$5:$K$36,INT(($B121/K$5))+1)+(($B121/K$5)-INT(($B121/K$5)))*(INDEX('D Fleet'!$K$5:$K$36,INT(($B121/K$5))+2)-INDEX('D Fleet'!$K$5:$K$36,INT(($B121/K$5))+1)),0)</f>
        <v/>
      </c>
      <c r="L121" s="276">
        <f>IFERROR(INDEX('D Fleet'!$E$5:$E$62,MATCH(L$3-$B121,'D Fleet'!$B$5:$B$62,0)),0)*IFERROR(INDEX('D Fleet'!$K$5:$K$36,INT(($B121/L$5))+1)+(($B121/L$5)-INT(($B121/L$5)))*(INDEX('D Fleet'!$K$5:$K$36,INT(($B121/L$5))+2)-INDEX('D Fleet'!$K$5:$K$36,INT(($B121/L$5))+1)),0)</f>
        <v/>
      </c>
      <c r="M121" s="276">
        <f>IFERROR(INDEX('D Fleet'!$E$5:$E$62,MATCH(M$3-$B121,'D Fleet'!$B$5:$B$62,0)),0)*IFERROR(INDEX('D Fleet'!$K$5:$K$36,INT(($B121/M$5))+1)+(($B121/M$5)-INT(($B121/M$5)))*(INDEX('D Fleet'!$K$5:$K$36,INT(($B121/M$5))+2)-INDEX('D Fleet'!$K$5:$K$36,INT(($B121/M$5))+1)),0)</f>
        <v/>
      </c>
      <c r="N121" s="276">
        <f>IFERROR(INDEX('D Fleet'!$E$5:$E$62,MATCH(N$3-$B121,'D Fleet'!$B$5:$B$62,0)),0)*IFERROR(INDEX('D Fleet'!$K$5:$K$36,INT(($B121/N$5))+1)+(($B121/N$5)-INT(($B121/N$5)))*(INDEX('D Fleet'!$K$5:$K$36,INT(($B121/N$5))+2)-INDEX('D Fleet'!$K$5:$K$36,INT(($B121/N$5))+1)),0)</f>
        <v/>
      </c>
      <c r="P121" s="276">
        <f>E121*$D121*'E1 Fleet'!$D$99</f>
        <v/>
      </c>
      <c r="Q121" s="276">
        <f>F121*$D121*'E1 Fleet'!$D$99</f>
        <v/>
      </c>
      <c r="R121" s="276">
        <f>G121*$D121*'E1 Fleet'!$D$99</f>
        <v/>
      </c>
      <c r="S121" s="276">
        <f>H121*$D121*'E1 Fleet'!$D$99</f>
        <v/>
      </c>
      <c r="T121" s="276">
        <f>I121*$D121*'E1 Fleet'!$D$99</f>
        <v/>
      </c>
      <c r="U121" s="276">
        <f>J121*$D121*'E1 Fleet'!$D$99</f>
        <v/>
      </c>
      <c r="V121" s="276">
        <f>K121*$D121*'E1 Fleet'!$D$99</f>
        <v/>
      </c>
      <c r="W121" s="276">
        <f>L121*$D121*'E1 Fleet'!$D$99</f>
        <v/>
      </c>
      <c r="X121" s="276">
        <f>M121*$D121*'E1 Fleet'!$D$99</f>
        <v/>
      </c>
      <c r="Y121" s="276">
        <f>N121*$D121*'E1 Fleet'!$D$99</f>
        <v/>
      </c>
    </row>
    <row r="122">
      <c r="A122" t="inlineStr">
        <is>
          <t>Pickup</t>
        </is>
      </c>
      <c r="B122" t="n">
        <v>23</v>
      </c>
      <c r="C122" t="n">
        <v>3</v>
      </c>
      <c r="D122" s="275">
        <f>IF($B122=0,'E1 Fleet'!$D$93,1)*EXP(-'E1 Fleet'!$D$94*MAX($B122-6,0))</f>
        <v/>
      </c>
      <c r="E122" s="276">
        <f>IFERROR(INDEX('D Fleet'!$E$5:$E$62,MATCH(E$3-$B122,'D Fleet'!$B$5:$B$62,0)),0)*IFERROR(INDEX('D Fleet'!$K$5:$K$36,INT(($B122/E$5))+1)+(($B122/E$5)-INT(($B122/E$5)))*(INDEX('D Fleet'!$K$5:$K$36,INT(($B122/E$5))+2)-INDEX('D Fleet'!$K$5:$K$36,INT(($B122/E$5))+1)),0)</f>
        <v/>
      </c>
      <c r="F122" s="276">
        <f>IFERROR(INDEX('D Fleet'!$E$5:$E$62,MATCH(F$3-$B122,'D Fleet'!$B$5:$B$62,0)),0)*IFERROR(INDEX('D Fleet'!$K$5:$K$36,INT(($B122/F$5))+1)+(($B122/F$5)-INT(($B122/F$5)))*(INDEX('D Fleet'!$K$5:$K$36,INT(($B122/F$5))+2)-INDEX('D Fleet'!$K$5:$K$36,INT(($B122/F$5))+1)),0)</f>
        <v/>
      </c>
      <c r="G122" s="276">
        <f>IFERROR(INDEX('D Fleet'!$E$5:$E$62,MATCH(G$3-$B122,'D Fleet'!$B$5:$B$62,0)),0)*IFERROR(INDEX('D Fleet'!$K$5:$K$36,INT(($B122/G$5))+1)+(($B122/G$5)-INT(($B122/G$5)))*(INDEX('D Fleet'!$K$5:$K$36,INT(($B122/G$5))+2)-INDEX('D Fleet'!$K$5:$K$36,INT(($B122/G$5))+1)),0)</f>
        <v/>
      </c>
      <c r="H122" s="276">
        <f>IFERROR(INDEX('D Fleet'!$E$5:$E$62,MATCH(H$3-$B122,'D Fleet'!$B$5:$B$62,0)),0)*IFERROR(INDEX('D Fleet'!$K$5:$K$36,INT(($B122/H$5))+1)+(($B122/H$5)-INT(($B122/H$5)))*(INDEX('D Fleet'!$K$5:$K$36,INT(($B122/H$5))+2)-INDEX('D Fleet'!$K$5:$K$36,INT(($B122/H$5))+1)),0)</f>
        <v/>
      </c>
      <c r="I122" s="276">
        <f>IFERROR(INDEX('D Fleet'!$E$5:$E$62,MATCH(I$3-$B122,'D Fleet'!$B$5:$B$62,0)),0)*IFERROR(INDEX('D Fleet'!$K$5:$K$36,INT(($B122/I$5))+1)+(($B122/I$5)-INT(($B122/I$5)))*(INDEX('D Fleet'!$K$5:$K$36,INT(($B122/I$5))+2)-INDEX('D Fleet'!$K$5:$K$36,INT(($B122/I$5))+1)),0)</f>
        <v/>
      </c>
      <c r="J122" s="276">
        <f>IFERROR(INDEX('D Fleet'!$E$5:$E$62,MATCH(J$3-$B122,'D Fleet'!$B$5:$B$62,0)),0)*IFERROR(INDEX('D Fleet'!$K$5:$K$36,INT(($B122/J$5))+1)+(($B122/J$5)-INT(($B122/J$5)))*(INDEX('D Fleet'!$K$5:$K$36,INT(($B122/J$5))+2)-INDEX('D Fleet'!$K$5:$K$36,INT(($B122/J$5))+1)),0)</f>
        <v/>
      </c>
      <c r="K122" s="276">
        <f>IFERROR(INDEX('D Fleet'!$E$5:$E$62,MATCH(K$3-$B122,'D Fleet'!$B$5:$B$62,0)),0)*IFERROR(INDEX('D Fleet'!$K$5:$K$36,INT(($B122/K$5))+1)+(($B122/K$5)-INT(($B122/K$5)))*(INDEX('D Fleet'!$K$5:$K$36,INT(($B122/K$5))+2)-INDEX('D Fleet'!$K$5:$K$36,INT(($B122/K$5))+1)),0)</f>
        <v/>
      </c>
      <c r="L122" s="276">
        <f>IFERROR(INDEX('D Fleet'!$E$5:$E$62,MATCH(L$3-$B122,'D Fleet'!$B$5:$B$62,0)),0)*IFERROR(INDEX('D Fleet'!$K$5:$K$36,INT(($B122/L$5))+1)+(($B122/L$5)-INT(($B122/L$5)))*(INDEX('D Fleet'!$K$5:$K$36,INT(($B122/L$5))+2)-INDEX('D Fleet'!$K$5:$K$36,INT(($B122/L$5))+1)),0)</f>
        <v/>
      </c>
      <c r="M122" s="276">
        <f>IFERROR(INDEX('D Fleet'!$E$5:$E$62,MATCH(M$3-$B122,'D Fleet'!$B$5:$B$62,0)),0)*IFERROR(INDEX('D Fleet'!$K$5:$K$36,INT(($B122/M$5))+1)+(($B122/M$5)-INT(($B122/M$5)))*(INDEX('D Fleet'!$K$5:$K$36,INT(($B122/M$5))+2)-INDEX('D Fleet'!$K$5:$K$36,INT(($B122/M$5))+1)),0)</f>
        <v/>
      </c>
      <c r="N122" s="276">
        <f>IFERROR(INDEX('D Fleet'!$E$5:$E$62,MATCH(N$3-$B122,'D Fleet'!$B$5:$B$62,0)),0)*IFERROR(INDEX('D Fleet'!$K$5:$K$36,INT(($B122/N$5))+1)+(($B122/N$5)-INT(($B122/N$5)))*(INDEX('D Fleet'!$K$5:$K$36,INT(($B122/N$5))+2)-INDEX('D Fleet'!$K$5:$K$36,INT(($B122/N$5))+1)),0)</f>
        <v/>
      </c>
      <c r="P122" s="276">
        <f>E122*$D122*'E1 Fleet'!$D$99</f>
        <v/>
      </c>
      <c r="Q122" s="276">
        <f>F122*$D122*'E1 Fleet'!$D$99</f>
        <v/>
      </c>
      <c r="R122" s="276">
        <f>G122*$D122*'E1 Fleet'!$D$99</f>
        <v/>
      </c>
      <c r="S122" s="276">
        <f>H122*$D122*'E1 Fleet'!$D$99</f>
        <v/>
      </c>
      <c r="T122" s="276">
        <f>I122*$D122*'E1 Fleet'!$D$99</f>
        <v/>
      </c>
      <c r="U122" s="276">
        <f>J122*$D122*'E1 Fleet'!$D$99</f>
        <v/>
      </c>
      <c r="V122" s="276">
        <f>K122*$D122*'E1 Fleet'!$D$99</f>
        <v/>
      </c>
      <c r="W122" s="276">
        <f>L122*$D122*'E1 Fleet'!$D$99</f>
        <v/>
      </c>
      <c r="X122" s="276">
        <f>M122*$D122*'E1 Fleet'!$D$99</f>
        <v/>
      </c>
      <c r="Y122" s="276">
        <f>N122*$D122*'E1 Fleet'!$D$99</f>
        <v/>
      </c>
    </row>
    <row r="123">
      <c r="A123" t="inlineStr">
        <is>
          <t>Pickup</t>
        </is>
      </c>
      <c r="B123" t="n">
        <v>24</v>
      </c>
      <c r="C123" t="n">
        <v>3</v>
      </c>
      <c r="D123" s="275">
        <f>IF($B123=0,'E1 Fleet'!$D$93,1)*EXP(-'E1 Fleet'!$D$94*MAX($B123-6,0))</f>
        <v/>
      </c>
      <c r="E123" s="276">
        <f>IFERROR(INDEX('D Fleet'!$E$5:$E$62,MATCH(E$3-$B123,'D Fleet'!$B$5:$B$62,0)),0)*IFERROR(INDEX('D Fleet'!$K$5:$K$36,INT(($B123/E$5))+1)+(($B123/E$5)-INT(($B123/E$5)))*(INDEX('D Fleet'!$K$5:$K$36,INT(($B123/E$5))+2)-INDEX('D Fleet'!$K$5:$K$36,INT(($B123/E$5))+1)),0)</f>
        <v/>
      </c>
      <c r="F123" s="276">
        <f>IFERROR(INDEX('D Fleet'!$E$5:$E$62,MATCH(F$3-$B123,'D Fleet'!$B$5:$B$62,0)),0)*IFERROR(INDEX('D Fleet'!$K$5:$K$36,INT(($B123/F$5))+1)+(($B123/F$5)-INT(($B123/F$5)))*(INDEX('D Fleet'!$K$5:$K$36,INT(($B123/F$5))+2)-INDEX('D Fleet'!$K$5:$K$36,INT(($B123/F$5))+1)),0)</f>
        <v/>
      </c>
      <c r="G123" s="276">
        <f>IFERROR(INDEX('D Fleet'!$E$5:$E$62,MATCH(G$3-$B123,'D Fleet'!$B$5:$B$62,0)),0)*IFERROR(INDEX('D Fleet'!$K$5:$K$36,INT(($B123/G$5))+1)+(($B123/G$5)-INT(($B123/G$5)))*(INDEX('D Fleet'!$K$5:$K$36,INT(($B123/G$5))+2)-INDEX('D Fleet'!$K$5:$K$36,INT(($B123/G$5))+1)),0)</f>
        <v/>
      </c>
      <c r="H123" s="276">
        <f>IFERROR(INDEX('D Fleet'!$E$5:$E$62,MATCH(H$3-$B123,'D Fleet'!$B$5:$B$62,0)),0)*IFERROR(INDEX('D Fleet'!$K$5:$K$36,INT(($B123/H$5))+1)+(($B123/H$5)-INT(($B123/H$5)))*(INDEX('D Fleet'!$K$5:$K$36,INT(($B123/H$5))+2)-INDEX('D Fleet'!$K$5:$K$36,INT(($B123/H$5))+1)),0)</f>
        <v/>
      </c>
      <c r="I123" s="276">
        <f>IFERROR(INDEX('D Fleet'!$E$5:$E$62,MATCH(I$3-$B123,'D Fleet'!$B$5:$B$62,0)),0)*IFERROR(INDEX('D Fleet'!$K$5:$K$36,INT(($B123/I$5))+1)+(($B123/I$5)-INT(($B123/I$5)))*(INDEX('D Fleet'!$K$5:$K$36,INT(($B123/I$5))+2)-INDEX('D Fleet'!$K$5:$K$36,INT(($B123/I$5))+1)),0)</f>
        <v/>
      </c>
      <c r="J123" s="276">
        <f>IFERROR(INDEX('D Fleet'!$E$5:$E$62,MATCH(J$3-$B123,'D Fleet'!$B$5:$B$62,0)),0)*IFERROR(INDEX('D Fleet'!$K$5:$K$36,INT(($B123/J$5))+1)+(($B123/J$5)-INT(($B123/J$5)))*(INDEX('D Fleet'!$K$5:$K$36,INT(($B123/J$5))+2)-INDEX('D Fleet'!$K$5:$K$36,INT(($B123/J$5))+1)),0)</f>
        <v/>
      </c>
      <c r="K123" s="276">
        <f>IFERROR(INDEX('D Fleet'!$E$5:$E$62,MATCH(K$3-$B123,'D Fleet'!$B$5:$B$62,0)),0)*IFERROR(INDEX('D Fleet'!$K$5:$K$36,INT(($B123/K$5))+1)+(($B123/K$5)-INT(($B123/K$5)))*(INDEX('D Fleet'!$K$5:$K$36,INT(($B123/K$5))+2)-INDEX('D Fleet'!$K$5:$K$36,INT(($B123/K$5))+1)),0)</f>
        <v/>
      </c>
      <c r="L123" s="276">
        <f>IFERROR(INDEX('D Fleet'!$E$5:$E$62,MATCH(L$3-$B123,'D Fleet'!$B$5:$B$62,0)),0)*IFERROR(INDEX('D Fleet'!$K$5:$K$36,INT(($B123/L$5))+1)+(($B123/L$5)-INT(($B123/L$5)))*(INDEX('D Fleet'!$K$5:$K$36,INT(($B123/L$5))+2)-INDEX('D Fleet'!$K$5:$K$36,INT(($B123/L$5))+1)),0)</f>
        <v/>
      </c>
      <c r="M123" s="276">
        <f>IFERROR(INDEX('D Fleet'!$E$5:$E$62,MATCH(M$3-$B123,'D Fleet'!$B$5:$B$62,0)),0)*IFERROR(INDEX('D Fleet'!$K$5:$K$36,INT(($B123/M$5))+1)+(($B123/M$5)-INT(($B123/M$5)))*(INDEX('D Fleet'!$K$5:$K$36,INT(($B123/M$5))+2)-INDEX('D Fleet'!$K$5:$K$36,INT(($B123/M$5))+1)),0)</f>
        <v/>
      </c>
      <c r="N123" s="276">
        <f>IFERROR(INDEX('D Fleet'!$E$5:$E$62,MATCH(N$3-$B123,'D Fleet'!$B$5:$B$62,0)),0)*IFERROR(INDEX('D Fleet'!$K$5:$K$36,INT(($B123/N$5))+1)+(($B123/N$5)-INT(($B123/N$5)))*(INDEX('D Fleet'!$K$5:$K$36,INT(($B123/N$5))+2)-INDEX('D Fleet'!$K$5:$K$36,INT(($B123/N$5))+1)),0)</f>
        <v/>
      </c>
      <c r="P123" s="276">
        <f>E123*$D123*'E1 Fleet'!$D$99</f>
        <v/>
      </c>
      <c r="Q123" s="276">
        <f>F123*$D123*'E1 Fleet'!$D$99</f>
        <v/>
      </c>
      <c r="R123" s="276">
        <f>G123*$D123*'E1 Fleet'!$D$99</f>
        <v/>
      </c>
      <c r="S123" s="276">
        <f>H123*$D123*'E1 Fleet'!$D$99</f>
        <v/>
      </c>
      <c r="T123" s="276">
        <f>I123*$D123*'E1 Fleet'!$D$99</f>
        <v/>
      </c>
      <c r="U123" s="276">
        <f>J123*$D123*'E1 Fleet'!$D$99</f>
        <v/>
      </c>
      <c r="V123" s="276">
        <f>K123*$D123*'E1 Fleet'!$D$99</f>
        <v/>
      </c>
      <c r="W123" s="276">
        <f>L123*$D123*'E1 Fleet'!$D$99</f>
        <v/>
      </c>
      <c r="X123" s="276">
        <f>M123*$D123*'E1 Fleet'!$D$99</f>
        <v/>
      </c>
      <c r="Y123" s="276">
        <f>N123*$D123*'E1 Fleet'!$D$99</f>
        <v/>
      </c>
    </row>
    <row r="124">
      <c r="A124" t="inlineStr">
        <is>
          <t>Pickup</t>
        </is>
      </c>
      <c r="B124" t="n">
        <v>25</v>
      </c>
      <c r="C124" t="n">
        <v>3</v>
      </c>
      <c r="D124" s="275">
        <f>IF($B124=0,'E1 Fleet'!$D$93,1)*EXP(-'E1 Fleet'!$D$94*MAX($B124-6,0))</f>
        <v/>
      </c>
      <c r="E124" s="276">
        <f>IFERROR(INDEX('D Fleet'!$E$5:$E$62,MATCH(E$3-$B124,'D Fleet'!$B$5:$B$62,0)),0)*IFERROR(INDEX('D Fleet'!$K$5:$K$36,INT(($B124/E$5))+1)+(($B124/E$5)-INT(($B124/E$5)))*(INDEX('D Fleet'!$K$5:$K$36,INT(($B124/E$5))+2)-INDEX('D Fleet'!$K$5:$K$36,INT(($B124/E$5))+1)),0)</f>
        <v/>
      </c>
      <c r="F124" s="276">
        <f>IFERROR(INDEX('D Fleet'!$E$5:$E$62,MATCH(F$3-$B124,'D Fleet'!$B$5:$B$62,0)),0)*IFERROR(INDEX('D Fleet'!$K$5:$K$36,INT(($B124/F$5))+1)+(($B124/F$5)-INT(($B124/F$5)))*(INDEX('D Fleet'!$K$5:$K$36,INT(($B124/F$5))+2)-INDEX('D Fleet'!$K$5:$K$36,INT(($B124/F$5))+1)),0)</f>
        <v/>
      </c>
      <c r="G124" s="276">
        <f>IFERROR(INDEX('D Fleet'!$E$5:$E$62,MATCH(G$3-$B124,'D Fleet'!$B$5:$B$62,0)),0)*IFERROR(INDEX('D Fleet'!$K$5:$K$36,INT(($B124/G$5))+1)+(($B124/G$5)-INT(($B124/G$5)))*(INDEX('D Fleet'!$K$5:$K$36,INT(($B124/G$5))+2)-INDEX('D Fleet'!$K$5:$K$36,INT(($B124/G$5))+1)),0)</f>
        <v/>
      </c>
      <c r="H124" s="276">
        <f>IFERROR(INDEX('D Fleet'!$E$5:$E$62,MATCH(H$3-$B124,'D Fleet'!$B$5:$B$62,0)),0)*IFERROR(INDEX('D Fleet'!$K$5:$K$36,INT(($B124/H$5))+1)+(($B124/H$5)-INT(($B124/H$5)))*(INDEX('D Fleet'!$K$5:$K$36,INT(($B124/H$5))+2)-INDEX('D Fleet'!$K$5:$K$36,INT(($B124/H$5))+1)),0)</f>
        <v/>
      </c>
      <c r="I124" s="276">
        <f>IFERROR(INDEX('D Fleet'!$E$5:$E$62,MATCH(I$3-$B124,'D Fleet'!$B$5:$B$62,0)),0)*IFERROR(INDEX('D Fleet'!$K$5:$K$36,INT(($B124/I$5))+1)+(($B124/I$5)-INT(($B124/I$5)))*(INDEX('D Fleet'!$K$5:$K$36,INT(($B124/I$5))+2)-INDEX('D Fleet'!$K$5:$K$36,INT(($B124/I$5))+1)),0)</f>
        <v/>
      </c>
      <c r="J124" s="276">
        <f>IFERROR(INDEX('D Fleet'!$E$5:$E$62,MATCH(J$3-$B124,'D Fleet'!$B$5:$B$62,0)),0)*IFERROR(INDEX('D Fleet'!$K$5:$K$36,INT(($B124/J$5))+1)+(($B124/J$5)-INT(($B124/J$5)))*(INDEX('D Fleet'!$K$5:$K$36,INT(($B124/J$5))+2)-INDEX('D Fleet'!$K$5:$K$36,INT(($B124/J$5))+1)),0)</f>
        <v/>
      </c>
      <c r="K124" s="276">
        <f>IFERROR(INDEX('D Fleet'!$E$5:$E$62,MATCH(K$3-$B124,'D Fleet'!$B$5:$B$62,0)),0)*IFERROR(INDEX('D Fleet'!$K$5:$K$36,INT(($B124/K$5))+1)+(($B124/K$5)-INT(($B124/K$5)))*(INDEX('D Fleet'!$K$5:$K$36,INT(($B124/K$5))+2)-INDEX('D Fleet'!$K$5:$K$36,INT(($B124/K$5))+1)),0)</f>
        <v/>
      </c>
      <c r="L124" s="276">
        <f>IFERROR(INDEX('D Fleet'!$E$5:$E$62,MATCH(L$3-$B124,'D Fleet'!$B$5:$B$62,0)),0)*IFERROR(INDEX('D Fleet'!$K$5:$K$36,INT(($B124/L$5))+1)+(($B124/L$5)-INT(($B124/L$5)))*(INDEX('D Fleet'!$K$5:$K$36,INT(($B124/L$5))+2)-INDEX('D Fleet'!$K$5:$K$36,INT(($B124/L$5))+1)),0)</f>
        <v/>
      </c>
      <c r="M124" s="276">
        <f>IFERROR(INDEX('D Fleet'!$E$5:$E$62,MATCH(M$3-$B124,'D Fleet'!$B$5:$B$62,0)),0)*IFERROR(INDEX('D Fleet'!$K$5:$K$36,INT(($B124/M$5))+1)+(($B124/M$5)-INT(($B124/M$5)))*(INDEX('D Fleet'!$K$5:$K$36,INT(($B124/M$5))+2)-INDEX('D Fleet'!$K$5:$K$36,INT(($B124/M$5))+1)),0)</f>
        <v/>
      </c>
      <c r="N124" s="276">
        <f>IFERROR(INDEX('D Fleet'!$E$5:$E$62,MATCH(N$3-$B124,'D Fleet'!$B$5:$B$62,0)),0)*IFERROR(INDEX('D Fleet'!$K$5:$K$36,INT(($B124/N$5))+1)+(($B124/N$5)-INT(($B124/N$5)))*(INDEX('D Fleet'!$K$5:$K$36,INT(($B124/N$5))+2)-INDEX('D Fleet'!$K$5:$K$36,INT(($B124/N$5))+1)),0)</f>
        <v/>
      </c>
      <c r="P124" s="276">
        <f>E124*$D124*'E1 Fleet'!$D$99</f>
        <v/>
      </c>
      <c r="Q124" s="276">
        <f>F124*$D124*'E1 Fleet'!$D$99</f>
        <v/>
      </c>
      <c r="R124" s="276">
        <f>G124*$D124*'E1 Fleet'!$D$99</f>
        <v/>
      </c>
      <c r="S124" s="276">
        <f>H124*$D124*'E1 Fleet'!$D$99</f>
        <v/>
      </c>
      <c r="T124" s="276">
        <f>I124*$D124*'E1 Fleet'!$D$99</f>
        <v/>
      </c>
      <c r="U124" s="276">
        <f>J124*$D124*'E1 Fleet'!$D$99</f>
        <v/>
      </c>
      <c r="V124" s="276">
        <f>K124*$D124*'E1 Fleet'!$D$99</f>
        <v/>
      </c>
      <c r="W124" s="276">
        <f>L124*$D124*'E1 Fleet'!$D$99</f>
        <v/>
      </c>
      <c r="X124" s="276">
        <f>M124*$D124*'E1 Fleet'!$D$99</f>
        <v/>
      </c>
      <c r="Y124" s="276">
        <f>N124*$D124*'E1 Fleet'!$D$99</f>
        <v/>
      </c>
    </row>
    <row r="125">
      <c r="A125" t="inlineStr">
        <is>
          <t>Pickup</t>
        </is>
      </c>
      <c r="B125" t="n">
        <v>26</v>
      </c>
      <c r="C125" t="n">
        <v>3</v>
      </c>
      <c r="D125" s="275">
        <f>IF($B125=0,'E1 Fleet'!$D$93,1)*EXP(-'E1 Fleet'!$D$94*MAX($B125-6,0))</f>
        <v/>
      </c>
      <c r="E125" s="276">
        <f>IFERROR(INDEX('D Fleet'!$E$5:$E$62,MATCH(E$3-$B125,'D Fleet'!$B$5:$B$62,0)),0)*IFERROR(INDEX('D Fleet'!$K$5:$K$36,INT(($B125/E$5))+1)+(($B125/E$5)-INT(($B125/E$5)))*(INDEX('D Fleet'!$K$5:$K$36,INT(($B125/E$5))+2)-INDEX('D Fleet'!$K$5:$K$36,INT(($B125/E$5))+1)),0)</f>
        <v/>
      </c>
      <c r="F125" s="276">
        <f>IFERROR(INDEX('D Fleet'!$E$5:$E$62,MATCH(F$3-$B125,'D Fleet'!$B$5:$B$62,0)),0)*IFERROR(INDEX('D Fleet'!$K$5:$K$36,INT(($B125/F$5))+1)+(($B125/F$5)-INT(($B125/F$5)))*(INDEX('D Fleet'!$K$5:$K$36,INT(($B125/F$5))+2)-INDEX('D Fleet'!$K$5:$K$36,INT(($B125/F$5))+1)),0)</f>
        <v/>
      </c>
      <c r="G125" s="276">
        <f>IFERROR(INDEX('D Fleet'!$E$5:$E$62,MATCH(G$3-$B125,'D Fleet'!$B$5:$B$62,0)),0)*IFERROR(INDEX('D Fleet'!$K$5:$K$36,INT(($B125/G$5))+1)+(($B125/G$5)-INT(($B125/G$5)))*(INDEX('D Fleet'!$K$5:$K$36,INT(($B125/G$5))+2)-INDEX('D Fleet'!$K$5:$K$36,INT(($B125/G$5))+1)),0)</f>
        <v/>
      </c>
      <c r="H125" s="276">
        <f>IFERROR(INDEX('D Fleet'!$E$5:$E$62,MATCH(H$3-$B125,'D Fleet'!$B$5:$B$62,0)),0)*IFERROR(INDEX('D Fleet'!$K$5:$K$36,INT(($B125/H$5))+1)+(($B125/H$5)-INT(($B125/H$5)))*(INDEX('D Fleet'!$K$5:$K$36,INT(($B125/H$5))+2)-INDEX('D Fleet'!$K$5:$K$36,INT(($B125/H$5))+1)),0)</f>
        <v/>
      </c>
      <c r="I125" s="276">
        <f>IFERROR(INDEX('D Fleet'!$E$5:$E$62,MATCH(I$3-$B125,'D Fleet'!$B$5:$B$62,0)),0)*IFERROR(INDEX('D Fleet'!$K$5:$K$36,INT(($B125/I$5))+1)+(($B125/I$5)-INT(($B125/I$5)))*(INDEX('D Fleet'!$K$5:$K$36,INT(($B125/I$5))+2)-INDEX('D Fleet'!$K$5:$K$36,INT(($B125/I$5))+1)),0)</f>
        <v/>
      </c>
      <c r="J125" s="276">
        <f>IFERROR(INDEX('D Fleet'!$E$5:$E$62,MATCH(J$3-$B125,'D Fleet'!$B$5:$B$62,0)),0)*IFERROR(INDEX('D Fleet'!$K$5:$K$36,INT(($B125/J$5))+1)+(($B125/J$5)-INT(($B125/J$5)))*(INDEX('D Fleet'!$K$5:$K$36,INT(($B125/J$5))+2)-INDEX('D Fleet'!$K$5:$K$36,INT(($B125/J$5))+1)),0)</f>
        <v/>
      </c>
      <c r="K125" s="276">
        <f>IFERROR(INDEX('D Fleet'!$E$5:$E$62,MATCH(K$3-$B125,'D Fleet'!$B$5:$B$62,0)),0)*IFERROR(INDEX('D Fleet'!$K$5:$K$36,INT(($B125/K$5))+1)+(($B125/K$5)-INT(($B125/K$5)))*(INDEX('D Fleet'!$K$5:$K$36,INT(($B125/K$5))+2)-INDEX('D Fleet'!$K$5:$K$36,INT(($B125/K$5))+1)),0)</f>
        <v/>
      </c>
      <c r="L125" s="276">
        <f>IFERROR(INDEX('D Fleet'!$E$5:$E$62,MATCH(L$3-$B125,'D Fleet'!$B$5:$B$62,0)),0)*IFERROR(INDEX('D Fleet'!$K$5:$K$36,INT(($B125/L$5))+1)+(($B125/L$5)-INT(($B125/L$5)))*(INDEX('D Fleet'!$K$5:$K$36,INT(($B125/L$5))+2)-INDEX('D Fleet'!$K$5:$K$36,INT(($B125/L$5))+1)),0)</f>
        <v/>
      </c>
      <c r="M125" s="276">
        <f>IFERROR(INDEX('D Fleet'!$E$5:$E$62,MATCH(M$3-$B125,'D Fleet'!$B$5:$B$62,0)),0)*IFERROR(INDEX('D Fleet'!$K$5:$K$36,INT(($B125/M$5))+1)+(($B125/M$5)-INT(($B125/M$5)))*(INDEX('D Fleet'!$K$5:$K$36,INT(($B125/M$5))+2)-INDEX('D Fleet'!$K$5:$K$36,INT(($B125/M$5))+1)),0)</f>
        <v/>
      </c>
      <c r="N125" s="276">
        <f>IFERROR(INDEX('D Fleet'!$E$5:$E$62,MATCH(N$3-$B125,'D Fleet'!$B$5:$B$62,0)),0)*IFERROR(INDEX('D Fleet'!$K$5:$K$36,INT(($B125/N$5))+1)+(($B125/N$5)-INT(($B125/N$5)))*(INDEX('D Fleet'!$K$5:$K$36,INT(($B125/N$5))+2)-INDEX('D Fleet'!$K$5:$K$36,INT(($B125/N$5))+1)),0)</f>
        <v/>
      </c>
      <c r="P125" s="276">
        <f>E125*$D125*'E1 Fleet'!$D$99</f>
        <v/>
      </c>
      <c r="Q125" s="276">
        <f>F125*$D125*'E1 Fleet'!$D$99</f>
        <v/>
      </c>
      <c r="R125" s="276">
        <f>G125*$D125*'E1 Fleet'!$D$99</f>
        <v/>
      </c>
      <c r="S125" s="276">
        <f>H125*$D125*'E1 Fleet'!$D$99</f>
        <v/>
      </c>
      <c r="T125" s="276">
        <f>I125*$D125*'E1 Fleet'!$D$99</f>
        <v/>
      </c>
      <c r="U125" s="276">
        <f>J125*$D125*'E1 Fleet'!$D$99</f>
        <v/>
      </c>
      <c r="V125" s="276">
        <f>K125*$D125*'E1 Fleet'!$D$99</f>
        <v/>
      </c>
      <c r="W125" s="276">
        <f>L125*$D125*'E1 Fleet'!$D$99</f>
        <v/>
      </c>
      <c r="X125" s="276">
        <f>M125*$D125*'E1 Fleet'!$D$99</f>
        <v/>
      </c>
      <c r="Y125" s="276">
        <f>N125*$D125*'E1 Fleet'!$D$99</f>
        <v/>
      </c>
    </row>
    <row r="126">
      <c r="A126" t="inlineStr">
        <is>
          <t>Pickup</t>
        </is>
      </c>
      <c r="B126" t="n">
        <v>27</v>
      </c>
      <c r="C126" t="n">
        <v>3</v>
      </c>
      <c r="D126" s="275">
        <f>IF($B126=0,'E1 Fleet'!$D$93,1)*EXP(-'E1 Fleet'!$D$94*MAX($B126-6,0))</f>
        <v/>
      </c>
      <c r="E126" s="276">
        <f>IFERROR(INDEX('D Fleet'!$E$5:$E$62,MATCH(E$3-$B126,'D Fleet'!$B$5:$B$62,0)),0)*IFERROR(INDEX('D Fleet'!$K$5:$K$36,INT(($B126/E$5))+1)+(($B126/E$5)-INT(($B126/E$5)))*(INDEX('D Fleet'!$K$5:$K$36,INT(($B126/E$5))+2)-INDEX('D Fleet'!$K$5:$K$36,INT(($B126/E$5))+1)),0)</f>
        <v/>
      </c>
      <c r="F126" s="276">
        <f>IFERROR(INDEX('D Fleet'!$E$5:$E$62,MATCH(F$3-$B126,'D Fleet'!$B$5:$B$62,0)),0)*IFERROR(INDEX('D Fleet'!$K$5:$K$36,INT(($B126/F$5))+1)+(($B126/F$5)-INT(($B126/F$5)))*(INDEX('D Fleet'!$K$5:$K$36,INT(($B126/F$5))+2)-INDEX('D Fleet'!$K$5:$K$36,INT(($B126/F$5))+1)),0)</f>
        <v/>
      </c>
      <c r="G126" s="276">
        <f>IFERROR(INDEX('D Fleet'!$E$5:$E$62,MATCH(G$3-$B126,'D Fleet'!$B$5:$B$62,0)),0)*IFERROR(INDEX('D Fleet'!$K$5:$K$36,INT(($B126/G$5))+1)+(($B126/G$5)-INT(($B126/G$5)))*(INDEX('D Fleet'!$K$5:$K$36,INT(($B126/G$5))+2)-INDEX('D Fleet'!$K$5:$K$36,INT(($B126/G$5))+1)),0)</f>
        <v/>
      </c>
      <c r="H126" s="276">
        <f>IFERROR(INDEX('D Fleet'!$E$5:$E$62,MATCH(H$3-$B126,'D Fleet'!$B$5:$B$62,0)),0)*IFERROR(INDEX('D Fleet'!$K$5:$K$36,INT(($B126/H$5))+1)+(($B126/H$5)-INT(($B126/H$5)))*(INDEX('D Fleet'!$K$5:$K$36,INT(($B126/H$5))+2)-INDEX('D Fleet'!$K$5:$K$36,INT(($B126/H$5))+1)),0)</f>
        <v/>
      </c>
      <c r="I126" s="276">
        <f>IFERROR(INDEX('D Fleet'!$E$5:$E$62,MATCH(I$3-$B126,'D Fleet'!$B$5:$B$62,0)),0)*IFERROR(INDEX('D Fleet'!$K$5:$K$36,INT(($B126/I$5))+1)+(($B126/I$5)-INT(($B126/I$5)))*(INDEX('D Fleet'!$K$5:$K$36,INT(($B126/I$5))+2)-INDEX('D Fleet'!$K$5:$K$36,INT(($B126/I$5))+1)),0)</f>
        <v/>
      </c>
      <c r="J126" s="276">
        <f>IFERROR(INDEX('D Fleet'!$E$5:$E$62,MATCH(J$3-$B126,'D Fleet'!$B$5:$B$62,0)),0)*IFERROR(INDEX('D Fleet'!$K$5:$K$36,INT(($B126/J$5))+1)+(($B126/J$5)-INT(($B126/J$5)))*(INDEX('D Fleet'!$K$5:$K$36,INT(($B126/J$5))+2)-INDEX('D Fleet'!$K$5:$K$36,INT(($B126/J$5))+1)),0)</f>
        <v/>
      </c>
      <c r="K126" s="276">
        <f>IFERROR(INDEX('D Fleet'!$E$5:$E$62,MATCH(K$3-$B126,'D Fleet'!$B$5:$B$62,0)),0)*IFERROR(INDEX('D Fleet'!$K$5:$K$36,INT(($B126/K$5))+1)+(($B126/K$5)-INT(($B126/K$5)))*(INDEX('D Fleet'!$K$5:$K$36,INT(($B126/K$5))+2)-INDEX('D Fleet'!$K$5:$K$36,INT(($B126/K$5))+1)),0)</f>
        <v/>
      </c>
      <c r="L126" s="276">
        <f>IFERROR(INDEX('D Fleet'!$E$5:$E$62,MATCH(L$3-$B126,'D Fleet'!$B$5:$B$62,0)),0)*IFERROR(INDEX('D Fleet'!$K$5:$K$36,INT(($B126/L$5))+1)+(($B126/L$5)-INT(($B126/L$5)))*(INDEX('D Fleet'!$K$5:$K$36,INT(($B126/L$5))+2)-INDEX('D Fleet'!$K$5:$K$36,INT(($B126/L$5))+1)),0)</f>
        <v/>
      </c>
      <c r="M126" s="276">
        <f>IFERROR(INDEX('D Fleet'!$E$5:$E$62,MATCH(M$3-$B126,'D Fleet'!$B$5:$B$62,0)),0)*IFERROR(INDEX('D Fleet'!$K$5:$K$36,INT(($B126/M$5))+1)+(($B126/M$5)-INT(($B126/M$5)))*(INDEX('D Fleet'!$K$5:$K$36,INT(($B126/M$5))+2)-INDEX('D Fleet'!$K$5:$K$36,INT(($B126/M$5))+1)),0)</f>
        <v/>
      </c>
      <c r="N126" s="276">
        <f>IFERROR(INDEX('D Fleet'!$E$5:$E$62,MATCH(N$3-$B126,'D Fleet'!$B$5:$B$62,0)),0)*IFERROR(INDEX('D Fleet'!$K$5:$K$36,INT(($B126/N$5))+1)+(($B126/N$5)-INT(($B126/N$5)))*(INDEX('D Fleet'!$K$5:$K$36,INT(($B126/N$5))+2)-INDEX('D Fleet'!$K$5:$K$36,INT(($B126/N$5))+1)),0)</f>
        <v/>
      </c>
      <c r="P126" s="276">
        <f>E126*$D126*'E1 Fleet'!$D$99</f>
        <v/>
      </c>
      <c r="Q126" s="276">
        <f>F126*$D126*'E1 Fleet'!$D$99</f>
        <v/>
      </c>
      <c r="R126" s="276">
        <f>G126*$D126*'E1 Fleet'!$D$99</f>
        <v/>
      </c>
      <c r="S126" s="276">
        <f>H126*$D126*'E1 Fleet'!$D$99</f>
        <v/>
      </c>
      <c r="T126" s="276">
        <f>I126*$D126*'E1 Fleet'!$D$99</f>
        <v/>
      </c>
      <c r="U126" s="276">
        <f>J126*$D126*'E1 Fleet'!$D$99</f>
        <v/>
      </c>
      <c r="V126" s="276">
        <f>K126*$D126*'E1 Fleet'!$D$99</f>
        <v/>
      </c>
      <c r="W126" s="276">
        <f>L126*$D126*'E1 Fleet'!$D$99</f>
        <v/>
      </c>
      <c r="X126" s="276">
        <f>M126*$D126*'E1 Fleet'!$D$99</f>
        <v/>
      </c>
      <c r="Y126" s="276">
        <f>N126*$D126*'E1 Fleet'!$D$99</f>
        <v/>
      </c>
    </row>
    <row r="127">
      <c r="A127" t="inlineStr">
        <is>
          <t>Pickup</t>
        </is>
      </c>
      <c r="B127" t="n">
        <v>28</v>
      </c>
      <c r="C127" t="n">
        <v>3</v>
      </c>
      <c r="D127" s="275">
        <f>IF($B127=0,'E1 Fleet'!$D$93,1)*EXP(-'E1 Fleet'!$D$94*MAX($B127-6,0))</f>
        <v/>
      </c>
      <c r="E127" s="276">
        <f>IFERROR(INDEX('D Fleet'!$E$5:$E$62,MATCH(E$3-$B127,'D Fleet'!$B$5:$B$62,0)),0)*IFERROR(INDEX('D Fleet'!$K$5:$K$36,INT(($B127/E$5))+1)+(($B127/E$5)-INT(($B127/E$5)))*(INDEX('D Fleet'!$K$5:$K$36,INT(($B127/E$5))+2)-INDEX('D Fleet'!$K$5:$K$36,INT(($B127/E$5))+1)),0)</f>
        <v/>
      </c>
      <c r="F127" s="276">
        <f>IFERROR(INDEX('D Fleet'!$E$5:$E$62,MATCH(F$3-$B127,'D Fleet'!$B$5:$B$62,0)),0)*IFERROR(INDEX('D Fleet'!$K$5:$K$36,INT(($B127/F$5))+1)+(($B127/F$5)-INT(($B127/F$5)))*(INDEX('D Fleet'!$K$5:$K$36,INT(($B127/F$5))+2)-INDEX('D Fleet'!$K$5:$K$36,INT(($B127/F$5))+1)),0)</f>
        <v/>
      </c>
      <c r="G127" s="276">
        <f>IFERROR(INDEX('D Fleet'!$E$5:$E$62,MATCH(G$3-$B127,'D Fleet'!$B$5:$B$62,0)),0)*IFERROR(INDEX('D Fleet'!$K$5:$K$36,INT(($B127/G$5))+1)+(($B127/G$5)-INT(($B127/G$5)))*(INDEX('D Fleet'!$K$5:$K$36,INT(($B127/G$5))+2)-INDEX('D Fleet'!$K$5:$K$36,INT(($B127/G$5))+1)),0)</f>
        <v/>
      </c>
      <c r="H127" s="276">
        <f>IFERROR(INDEX('D Fleet'!$E$5:$E$62,MATCH(H$3-$B127,'D Fleet'!$B$5:$B$62,0)),0)*IFERROR(INDEX('D Fleet'!$K$5:$K$36,INT(($B127/H$5))+1)+(($B127/H$5)-INT(($B127/H$5)))*(INDEX('D Fleet'!$K$5:$K$36,INT(($B127/H$5))+2)-INDEX('D Fleet'!$K$5:$K$36,INT(($B127/H$5))+1)),0)</f>
        <v/>
      </c>
      <c r="I127" s="276">
        <f>IFERROR(INDEX('D Fleet'!$E$5:$E$62,MATCH(I$3-$B127,'D Fleet'!$B$5:$B$62,0)),0)*IFERROR(INDEX('D Fleet'!$K$5:$K$36,INT(($B127/I$5))+1)+(($B127/I$5)-INT(($B127/I$5)))*(INDEX('D Fleet'!$K$5:$K$36,INT(($B127/I$5))+2)-INDEX('D Fleet'!$K$5:$K$36,INT(($B127/I$5))+1)),0)</f>
        <v/>
      </c>
      <c r="J127" s="276">
        <f>IFERROR(INDEX('D Fleet'!$E$5:$E$62,MATCH(J$3-$B127,'D Fleet'!$B$5:$B$62,0)),0)*IFERROR(INDEX('D Fleet'!$K$5:$K$36,INT(($B127/J$5))+1)+(($B127/J$5)-INT(($B127/J$5)))*(INDEX('D Fleet'!$K$5:$K$36,INT(($B127/J$5))+2)-INDEX('D Fleet'!$K$5:$K$36,INT(($B127/J$5))+1)),0)</f>
        <v/>
      </c>
      <c r="K127" s="276">
        <f>IFERROR(INDEX('D Fleet'!$E$5:$E$62,MATCH(K$3-$B127,'D Fleet'!$B$5:$B$62,0)),0)*IFERROR(INDEX('D Fleet'!$K$5:$K$36,INT(($B127/K$5))+1)+(($B127/K$5)-INT(($B127/K$5)))*(INDEX('D Fleet'!$K$5:$K$36,INT(($B127/K$5))+2)-INDEX('D Fleet'!$K$5:$K$36,INT(($B127/K$5))+1)),0)</f>
        <v/>
      </c>
      <c r="L127" s="276">
        <f>IFERROR(INDEX('D Fleet'!$E$5:$E$62,MATCH(L$3-$B127,'D Fleet'!$B$5:$B$62,0)),0)*IFERROR(INDEX('D Fleet'!$K$5:$K$36,INT(($B127/L$5))+1)+(($B127/L$5)-INT(($B127/L$5)))*(INDEX('D Fleet'!$K$5:$K$36,INT(($B127/L$5))+2)-INDEX('D Fleet'!$K$5:$K$36,INT(($B127/L$5))+1)),0)</f>
        <v/>
      </c>
      <c r="M127" s="276">
        <f>IFERROR(INDEX('D Fleet'!$E$5:$E$62,MATCH(M$3-$B127,'D Fleet'!$B$5:$B$62,0)),0)*IFERROR(INDEX('D Fleet'!$K$5:$K$36,INT(($B127/M$5))+1)+(($B127/M$5)-INT(($B127/M$5)))*(INDEX('D Fleet'!$K$5:$K$36,INT(($B127/M$5))+2)-INDEX('D Fleet'!$K$5:$K$36,INT(($B127/M$5))+1)),0)</f>
        <v/>
      </c>
      <c r="N127" s="276">
        <f>IFERROR(INDEX('D Fleet'!$E$5:$E$62,MATCH(N$3-$B127,'D Fleet'!$B$5:$B$62,0)),0)*IFERROR(INDEX('D Fleet'!$K$5:$K$36,INT(($B127/N$5))+1)+(($B127/N$5)-INT(($B127/N$5)))*(INDEX('D Fleet'!$K$5:$K$36,INT(($B127/N$5))+2)-INDEX('D Fleet'!$K$5:$K$36,INT(($B127/N$5))+1)),0)</f>
        <v/>
      </c>
      <c r="P127" s="276">
        <f>E127*$D127*'E1 Fleet'!$D$99</f>
        <v/>
      </c>
      <c r="Q127" s="276">
        <f>F127*$D127*'E1 Fleet'!$D$99</f>
        <v/>
      </c>
      <c r="R127" s="276">
        <f>G127*$D127*'E1 Fleet'!$D$99</f>
        <v/>
      </c>
      <c r="S127" s="276">
        <f>H127*$D127*'E1 Fleet'!$D$99</f>
        <v/>
      </c>
      <c r="T127" s="276">
        <f>I127*$D127*'E1 Fleet'!$D$99</f>
        <v/>
      </c>
      <c r="U127" s="276">
        <f>J127*$D127*'E1 Fleet'!$D$99</f>
        <v/>
      </c>
      <c r="V127" s="276">
        <f>K127*$D127*'E1 Fleet'!$D$99</f>
        <v/>
      </c>
      <c r="W127" s="276">
        <f>L127*$D127*'E1 Fleet'!$D$99</f>
        <v/>
      </c>
      <c r="X127" s="276">
        <f>M127*$D127*'E1 Fleet'!$D$99</f>
        <v/>
      </c>
      <c r="Y127" s="276">
        <f>N127*$D127*'E1 Fleet'!$D$99</f>
        <v/>
      </c>
    </row>
    <row r="128">
      <c r="A128" t="inlineStr">
        <is>
          <t>Pickup</t>
        </is>
      </c>
      <c r="B128" t="n">
        <v>29</v>
      </c>
      <c r="C128" t="n">
        <v>3</v>
      </c>
      <c r="D128" s="275">
        <f>IF($B128=0,'E1 Fleet'!$D$93,1)*EXP(-'E1 Fleet'!$D$94*MAX($B128-6,0))</f>
        <v/>
      </c>
      <c r="E128" s="276">
        <f>IFERROR(INDEX('D Fleet'!$E$5:$E$62,MATCH(E$3-$B128,'D Fleet'!$B$5:$B$62,0)),0)*IFERROR(INDEX('D Fleet'!$K$5:$K$36,INT(($B128/E$5))+1)+(($B128/E$5)-INT(($B128/E$5)))*(INDEX('D Fleet'!$K$5:$K$36,INT(($B128/E$5))+2)-INDEX('D Fleet'!$K$5:$K$36,INT(($B128/E$5))+1)),0)</f>
        <v/>
      </c>
      <c r="F128" s="276">
        <f>IFERROR(INDEX('D Fleet'!$E$5:$E$62,MATCH(F$3-$B128,'D Fleet'!$B$5:$B$62,0)),0)*IFERROR(INDEX('D Fleet'!$K$5:$K$36,INT(($B128/F$5))+1)+(($B128/F$5)-INT(($B128/F$5)))*(INDEX('D Fleet'!$K$5:$K$36,INT(($B128/F$5))+2)-INDEX('D Fleet'!$K$5:$K$36,INT(($B128/F$5))+1)),0)</f>
        <v/>
      </c>
      <c r="G128" s="276">
        <f>IFERROR(INDEX('D Fleet'!$E$5:$E$62,MATCH(G$3-$B128,'D Fleet'!$B$5:$B$62,0)),0)*IFERROR(INDEX('D Fleet'!$K$5:$K$36,INT(($B128/G$5))+1)+(($B128/G$5)-INT(($B128/G$5)))*(INDEX('D Fleet'!$K$5:$K$36,INT(($B128/G$5))+2)-INDEX('D Fleet'!$K$5:$K$36,INT(($B128/G$5))+1)),0)</f>
        <v/>
      </c>
      <c r="H128" s="276">
        <f>IFERROR(INDEX('D Fleet'!$E$5:$E$62,MATCH(H$3-$B128,'D Fleet'!$B$5:$B$62,0)),0)*IFERROR(INDEX('D Fleet'!$K$5:$K$36,INT(($B128/H$5))+1)+(($B128/H$5)-INT(($B128/H$5)))*(INDEX('D Fleet'!$K$5:$K$36,INT(($B128/H$5))+2)-INDEX('D Fleet'!$K$5:$K$36,INT(($B128/H$5))+1)),0)</f>
        <v/>
      </c>
      <c r="I128" s="276">
        <f>IFERROR(INDEX('D Fleet'!$E$5:$E$62,MATCH(I$3-$B128,'D Fleet'!$B$5:$B$62,0)),0)*IFERROR(INDEX('D Fleet'!$K$5:$K$36,INT(($B128/I$5))+1)+(($B128/I$5)-INT(($B128/I$5)))*(INDEX('D Fleet'!$K$5:$K$36,INT(($B128/I$5))+2)-INDEX('D Fleet'!$K$5:$K$36,INT(($B128/I$5))+1)),0)</f>
        <v/>
      </c>
      <c r="J128" s="276">
        <f>IFERROR(INDEX('D Fleet'!$E$5:$E$62,MATCH(J$3-$B128,'D Fleet'!$B$5:$B$62,0)),0)*IFERROR(INDEX('D Fleet'!$K$5:$K$36,INT(($B128/J$5))+1)+(($B128/J$5)-INT(($B128/J$5)))*(INDEX('D Fleet'!$K$5:$K$36,INT(($B128/J$5))+2)-INDEX('D Fleet'!$K$5:$K$36,INT(($B128/J$5))+1)),0)</f>
        <v/>
      </c>
      <c r="K128" s="276">
        <f>IFERROR(INDEX('D Fleet'!$E$5:$E$62,MATCH(K$3-$B128,'D Fleet'!$B$5:$B$62,0)),0)*IFERROR(INDEX('D Fleet'!$K$5:$K$36,INT(($B128/K$5))+1)+(($B128/K$5)-INT(($B128/K$5)))*(INDEX('D Fleet'!$K$5:$K$36,INT(($B128/K$5))+2)-INDEX('D Fleet'!$K$5:$K$36,INT(($B128/K$5))+1)),0)</f>
        <v/>
      </c>
      <c r="L128" s="276">
        <f>IFERROR(INDEX('D Fleet'!$E$5:$E$62,MATCH(L$3-$B128,'D Fleet'!$B$5:$B$62,0)),0)*IFERROR(INDEX('D Fleet'!$K$5:$K$36,INT(($B128/L$5))+1)+(($B128/L$5)-INT(($B128/L$5)))*(INDEX('D Fleet'!$K$5:$K$36,INT(($B128/L$5))+2)-INDEX('D Fleet'!$K$5:$K$36,INT(($B128/L$5))+1)),0)</f>
        <v/>
      </c>
      <c r="M128" s="276">
        <f>IFERROR(INDEX('D Fleet'!$E$5:$E$62,MATCH(M$3-$B128,'D Fleet'!$B$5:$B$62,0)),0)*IFERROR(INDEX('D Fleet'!$K$5:$K$36,INT(($B128/M$5))+1)+(($B128/M$5)-INT(($B128/M$5)))*(INDEX('D Fleet'!$K$5:$K$36,INT(($B128/M$5))+2)-INDEX('D Fleet'!$K$5:$K$36,INT(($B128/M$5))+1)),0)</f>
        <v/>
      </c>
      <c r="N128" s="276">
        <f>IFERROR(INDEX('D Fleet'!$E$5:$E$62,MATCH(N$3-$B128,'D Fleet'!$B$5:$B$62,0)),0)*IFERROR(INDEX('D Fleet'!$K$5:$K$36,INT(($B128/N$5))+1)+(($B128/N$5)-INT(($B128/N$5)))*(INDEX('D Fleet'!$K$5:$K$36,INT(($B128/N$5))+2)-INDEX('D Fleet'!$K$5:$K$36,INT(($B128/N$5))+1)),0)</f>
        <v/>
      </c>
      <c r="P128" s="276">
        <f>E128*$D128*'E1 Fleet'!$D$99</f>
        <v/>
      </c>
      <c r="Q128" s="276">
        <f>F128*$D128*'E1 Fleet'!$D$99</f>
        <v/>
      </c>
      <c r="R128" s="276">
        <f>G128*$D128*'E1 Fleet'!$D$99</f>
        <v/>
      </c>
      <c r="S128" s="276">
        <f>H128*$D128*'E1 Fleet'!$D$99</f>
        <v/>
      </c>
      <c r="T128" s="276">
        <f>I128*$D128*'E1 Fleet'!$D$99</f>
        <v/>
      </c>
      <c r="U128" s="276">
        <f>J128*$D128*'E1 Fleet'!$D$99</f>
        <v/>
      </c>
      <c r="V128" s="276">
        <f>K128*$D128*'E1 Fleet'!$D$99</f>
        <v/>
      </c>
      <c r="W128" s="276">
        <f>L128*$D128*'E1 Fleet'!$D$99</f>
        <v/>
      </c>
      <c r="X128" s="276">
        <f>M128*$D128*'E1 Fleet'!$D$99</f>
        <v/>
      </c>
      <c r="Y128" s="276">
        <f>N128*$D128*'E1 Fleet'!$D$99</f>
        <v/>
      </c>
    </row>
    <row r="129">
      <c r="A129" t="inlineStr">
        <is>
          <t>Pickup</t>
        </is>
      </c>
      <c r="B129" t="n">
        <v>30</v>
      </c>
      <c r="C129" t="n">
        <v>3</v>
      </c>
      <c r="D129" s="275">
        <f>IF($B129=0,'E1 Fleet'!$D$93,1)*EXP(-'E1 Fleet'!$D$94*MAX($B129-6,0))</f>
        <v/>
      </c>
      <c r="E129" s="276">
        <f>IFERROR(INDEX('D Fleet'!$E$5:$E$62,MATCH(E$3-$B129,'D Fleet'!$B$5:$B$62,0)),0)*IFERROR(INDEX('D Fleet'!$K$5:$K$36,INT(($B129/E$5))+1)+(($B129/E$5)-INT(($B129/E$5)))*(INDEX('D Fleet'!$K$5:$K$36,INT(($B129/E$5))+2)-INDEX('D Fleet'!$K$5:$K$36,INT(($B129/E$5))+1)),0)</f>
        <v/>
      </c>
      <c r="F129" s="276">
        <f>IFERROR(INDEX('D Fleet'!$E$5:$E$62,MATCH(F$3-$B129,'D Fleet'!$B$5:$B$62,0)),0)*IFERROR(INDEX('D Fleet'!$K$5:$K$36,INT(($B129/F$5))+1)+(($B129/F$5)-INT(($B129/F$5)))*(INDEX('D Fleet'!$K$5:$K$36,INT(($B129/F$5))+2)-INDEX('D Fleet'!$K$5:$K$36,INT(($B129/F$5))+1)),0)</f>
        <v/>
      </c>
      <c r="G129" s="276">
        <f>IFERROR(INDEX('D Fleet'!$E$5:$E$62,MATCH(G$3-$B129,'D Fleet'!$B$5:$B$62,0)),0)*IFERROR(INDEX('D Fleet'!$K$5:$K$36,INT(($B129/G$5))+1)+(($B129/G$5)-INT(($B129/G$5)))*(INDEX('D Fleet'!$K$5:$K$36,INT(($B129/G$5))+2)-INDEX('D Fleet'!$K$5:$K$36,INT(($B129/G$5))+1)),0)</f>
        <v/>
      </c>
      <c r="H129" s="276">
        <f>IFERROR(INDEX('D Fleet'!$E$5:$E$62,MATCH(H$3-$B129,'D Fleet'!$B$5:$B$62,0)),0)*IFERROR(INDEX('D Fleet'!$K$5:$K$36,INT(($B129/H$5))+1)+(($B129/H$5)-INT(($B129/H$5)))*(INDEX('D Fleet'!$K$5:$K$36,INT(($B129/H$5))+2)-INDEX('D Fleet'!$K$5:$K$36,INT(($B129/H$5))+1)),0)</f>
        <v/>
      </c>
      <c r="I129" s="276">
        <f>IFERROR(INDEX('D Fleet'!$E$5:$E$62,MATCH(I$3-$B129,'D Fleet'!$B$5:$B$62,0)),0)*IFERROR(INDEX('D Fleet'!$K$5:$K$36,INT(($B129/I$5))+1)+(($B129/I$5)-INT(($B129/I$5)))*(INDEX('D Fleet'!$K$5:$K$36,INT(($B129/I$5))+2)-INDEX('D Fleet'!$K$5:$K$36,INT(($B129/I$5))+1)),0)</f>
        <v/>
      </c>
      <c r="J129" s="276">
        <f>IFERROR(INDEX('D Fleet'!$E$5:$E$62,MATCH(J$3-$B129,'D Fleet'!$B$5:$B$62,0)),0)*IFERROR(INDEX('D Fleet'!$K$5:$K$36,INT(($B129/J$5))+1)+(($B129/J$5)-INT(($B129/J$5)))*(INDEX('D Fleet'!$K$5:$K$36,INT(($B129/J$5))+2)-INDEX('D Fleet'!$K$5:$K$36,INT(($B129/J$5))+1)),0)</f>
        <v/>
      </c>
      <c r="K129" s="276">
        <f>IFERROR(INDEX('D Fleet'!$E$5:$E$62,MATCH(K$3-$B129,'D Fleet'!$B$5:$B$62,0)),0)*IFERROR(INDEX('D Fleet'!$K$5:$K$36,INT(($B129/K$5))+1)+(($B129/K$5)-INT(($B129/K$5)))*(INDEX('D Fleet'!$K$5:$K$36,INT(($B129/K$5))+2)-INDEX('D Fleet'!$K$5:$K$36,INT(($B129/K$5))+1)),0)</f>
        <v/>
      </c>
      <c r="L129" s="276">
        <f>IFERROR(INDEX('D Fleet'!$E$5:$E$62,MATCH(L$3-$B129,'D Fleet'!$B$5:$B$62,0)),0)*IFERROR(INDEX('D Fleet'!$K$5:$K$36,INT(($B129/L$5))+1)+(($B129/L$5)-INT(($B129/L$5)))*(INDEX('D Fleet'!$K$5:$K$36,INT(($B129/L$5))+2)-INDEX('D Fleet'!$K$5:$K$36,INT(($B129/L$5))+1)),0)</f>
        <v/>
      </c>
      <c r="M129" s="276">
        <f>IFERROR(INDEX('D Fleet'!$E$5:$E$62,MATCH(M$3-$B129,'D Fleet'!$B$5:$B$62,0)),0)*IFERROR(INDEX('D Fleet'!$K$5:$K$36,INT(($B129/M$5))+1)+(($B129/M$5)-INT(($B129/M$5)))*(INDEX('D Fleet'!$K$5:$K$36,INT(($B129/M$5))+2)-INDEX('D Fleet'!$K$5:$K$36,INT(($B129/M$5))+1)),0)</f>
        <v/>
      </c>
      <c r="N129" s="276">
        <f>IFERROR(INDEX('D Fleet'!$E$5:$E$62,MATCH(N$3-$B129,'D Fleet'!$B$5:$B$62,0)),0)*IFERROR(INDEX('D Fleet'!$K$5:$K$36,INT(($B129/N$5))+1)+(($B129/N$5)-INT(($B129/N$5)))*(INDEX('D Fleet'!$K$5:$K$36,INT(($B129/N$5))+2)-INDEX('D Fleet'!$K$5:$K$36,INT(($B129/N$5))+1)),0)</f>
        <v/>
      </c>
      <c r="P129" s="276">
        <f>E129*$D129*'E1 Fleet'!$D$99</f>
        <v/>
      </c>
      <c r="Q129" s="276">
        <f>F129*$D129*'E1 Fleet'!$D$99</f>
        <v/>
      </c>
      <c r="R129" s="276">
        <f>G129*$D129*'E1 Fleet'!$D$99</f>
        <v/>
      </c>
      <c r="S129" s="276">
        <f>H129*$D129*'E1 Fleet'!$D$99</f>
        <v/>
      </c>
      <c r="T129" s="276">
        <f>I129*$D129*'E1 Fleet'!$D$99</f>
        <v/>
      </c>
      <c r="U129" s="276">
        <f>J129*$D129*'E1 Fleet'!$D$99</f>
        <v/>
      </c>
      <c r="V129" s="276">
        <f>K129*$D129*'E1 Fleet'!$D$99</f>
        <v/>
      </c>
      <c r="W129" s="276">
        <f>L129*$D129*'E1 Fleet'!$D$99</f>
        <v/>
      </c>
      <c r="X129" s="276">
        <f>M129*$D129*'E1 Fleet'!$D$99</f>
        <v/>
      </c>
      <c r="Y129" s="276">
        <f>N129*$D129*'E1 Fleet'!$D$99</f>
        <v/>
      </c>
    </row>
    <row r="130">
      <c r="A130" t="inlineStr">
        <is>
          <t>Pickup</t>
        </is>
      </c>
      <c r="B130" t="n">
        <v>31</v>
      </c>
      <c r="C130" t="n">
        <v>3</v>
      </c>
      <c r="D130" s="275">
        <f>IF($B130=0,'E1 Fleet'!$D$93,1)*EXP(-'E1 Fleet'!$D$94*MAX($B130-6,0))</f>
        <v/>
      </c>
      <c r="E130" s="276">
        <f>IFERROR(INDEX('D Fleet'!$E$5:$E$62,MATCH(E$3-$B130,'D Fleet'!$B$5:$B$62,0)),0)*IFERROR(INDEX('D Fleet'!$K$5:$K$36,INT(($B130/E$5))+1)+(($B130/E$5)-INT(($B130/E$5)))*(INDEX('D Fleet'!$K$5:$K$36,INT(($B130/E$5))+2)-INDEX('D Fleet'!$K$5:$K$36,INT(($B130/E$5))+1)),0)</f>
        <v/>
      </c>
      <c r="F130" s="276">
        <f>IFERROR(INDEX('D Fleet'!$E$5:$E$62,MATCH(F$3-$B130,'D Fleet'!$B$5:$B$62,0)),0)*IFERROR(INDEX('D Fleet'!$K$5:$K$36,INT(($B130/F$5))+1)+(($B130/F$5)-INT(($B130/F$5)))*(INDEX('D Fleet'!$K$5:$K$36,INT(($B130/F$5))+2)-INDEX('D Fleet'!$K$5:$K$36,INT(($B130/F$5))+1)),0)</f>
        <v/>
      </c>
      <c r="G130" s="276">
        <f>IFERROR(INDEX('D Fleet'!$E$5:$E$62,MATCH(G$3-$B130,'D Fleet'!$B$5:$B$62,0)),0)*IFERROR(INDEX('D Fleet'!$K$5:$K$36,INT(($B130/G$5))+1)+(($B130/G$5)-INT(($B130/G$5)))*(INDEX('D Fleet'!$K$5:$K$36,INT(($B130/G$5))+2)-INDEX('D Fleet'!$K$5:$K$36,INT(($B130/G$5))+1)),0)</f>
        <v/>
      </c>
      <c r="H130" s="276">
        <f>IFERROR(INDEX('D Fleet'!$E$5:$E$62,MATCH(H$3-$B130,'D Fleet'!$B$5:$B$62,0)),0)*IFERROR(INDEX('D Fleet'!$K$5:$K$36,INT(($B130/H$5))+1)+(($B130/H$5)-INT(($B130/H$5)))*(INDEX('D Fleet'!$K$5:$K$36,INT(($B130/H$5))+2)-INDEX('D Fleet'!$K$5:$K$36,INT(($B130/H$5))+1)),0)</f>
        <v/>
      </c>
      <c r="I130" s="276">
        <f>IFERROR(INDEX('D Fleet'!$E$5:$E$62,MATCH(I$3-$B130,'D Fleet'!$B$5:$B$62,0)),0)*IFERROR(INDEX('D Fleet'!$K$5:$K$36,INT(($B130/I$5))+1)+(($B130/I$5)-INT(($B130/I$5)))*(INDEX('D Fleet'!$K$5:$K$36,INT(($B130/I$5))+2)-INDEX('D Fleet'!$K$5:$K$36,INT(($B130/I$5))+1)),0)</f>
        <v/>
      </c>
      <c r="J130" s="276">
        <f>IFERROR(INDEX('D Fleet'!$E$5:$E$62,MATCH(J$3-$B130,'D Fleet'!$B$5:$B$62,0)),0)*IFERROR(INDEX('D Fleet'!$K$5:$K$36,INT(($B130/J$5))+1)+(($B130/J$5)-INT(($B130/J$5)))*(INDEX('D Fleet'!$K$5:$K$36,INT(($B130/J$5))+2)-INDEX('D Fleet'!$K$5:$K$36,INT(($B130/J$5))+1)),0)</f>
        <v/>
      </c>
      <c r="K130" s="276">
        <f>IFERROR(INDEX('D Fleet'!$E$5:$E$62,MATCH(K$3-$B130,'D Fleet'!$B$5:$B$62,0)),0)*IFERROR(INDEX('D Fleet'!$K$5:$K$36,INT(($B130/K$5))+1)+(($B130/K$5)-INT(($B130/K$5)))*(INDEX('D Fleet'!$K$5:$K$36,INT(($B130/K$5))+2)-INDEX('D Fleet'!$K$5:$K$36,INT(($B130/K$5))+1)),0)</f>
        <v/>
      </c>
      <c r="L130" s="276">
        <f>IFERROR(INDEX('D Fleet'!$E$5:$E$62,MATCH(L$3-$B130,'D Fleet'!$B$5:$B$62,0)),0)*IFERROR(INDEX('D Fleet'!$K$5:$K$36,INT(($B130/L$5))+1)+(($B130/L$5)-INT(($B130/L$5)))*(INDEX('D Fleet'!$K$5:$K$36,INT(($B130/L$5))+2)-INDEX('D Fleet'!$K$5:$K$36,INT(($B130/L$5))+1)),0)</f>
        <v/>
      </c>
      <c r="M130" s="276">
        <f>IFERROR(INDEX('D Fleet'!$E$5:$E$62,MATCH(M$3-$B130,'D Fleet'!$B$5:$B$62,0)),0)*IFERROR(INDEX('D Fleet'!$K$5:$K$36,INT(($B130/M$5))+1)+(($B130/M$5)-INT(($B130/M$5)))*(INDEX('D Fleet'!$K$5:$K$36,INT(($B130/M$5))+2)-INDEX('D Fleet'!$K$5:$K$36,INT(($B130/M$5))+1)),0)</f>
        <v/>
      </c>
      <c r="N130" s="276">
        <f>IFERROR(INDEX('D Fleet'!$E$5:$E$62,MATCH(N$3-$B130,'D Fleet'!$B$5:$B$62,0)),0)*IFERROR(INDEX('D Fleet'!$K$5:$K$36,INT(($B130/N$5))+1)+(($B130/N$5)-INT(($B130/N$5)))*(INDEX('D Fleet'!$K$5:$K$36,INT(($B130/N$5))+2)-INDEX('D Fleet'!$K$5:$K$36,INT(($B130/N$5))+1)),0)</f>
        <v/>
      </c>
      <c r="P130" s="276">
        <f>E130*$D130*'E1 Fleet'!$D$99</f>
        <v/>
      </c>
      <c r="Q130" s="276">
        <f>F130*$D130*'E1 Fleet'!$D$99</f>
        <v/>
      </c>
      <c r="R130" s="276">
        <f>G130*$D130*'E1 Fleet'!$D$99</f>
        <v/>
      </c>
      <c r="S130" s="276">
        <f>H130*$D130*'E1 Fleet'!$D$99</f>
        <v/>
      </c>
      <c r="T130" s="276">
        <f>I130*$D130*'E1 Fleet'!$D$99</f>
        <v/>
      </c>
      <c r="U130" s="276">
        <f>J130*$D130*'E1 Fleet'!$D$99</f>
        <v/>
      </c>
      <c r="V130" s="276">
        <f>K130*$D130*'E1 Fleet'!$D$99</f>
        <v/>
      </c>
      <c r="W130" s="276">
        <f>L130*$D130*'E1 Fleet'!$D$99</f>
        <v/>
      </c>
      <c r="X130" s="276">
        <f>M130*$D130*'E1 Fleet'!$D$99</f>
        <v/>
      </c>
      <c r="Y130" s="276">
        <f>N130*$D130*'E1 Fleet'!$D$99</f>
        <v/>
      </c>
    </row>
    <row r="131">
      <c r="A131" t="inlineStr">
        <is>
          <t>Pickup</t>
        </is>
      </c>
      <c r="B131" t="n">
        <v>32</v>
      </c>
      <c r="C131" t="n">
        <v>3</v>
      </c>
      <c r="D131" s="275">
        <f>IF($B131=0,'E1 Fleet'!$D$93,1)*EXP(-'E1 Fleet'!$D$94*MAX($B131-6,0))</f>
        <v/>
      </c>
      <c r="E131" s="276">
        <f>IFERROR(INDEX('D Fleet'!$E$5:$E$62,MATCH(E$3-$B131,'D Fleet'!$B$5:$B$62,0)),0)*IFERROR(INDEX('D Fleet'!$K$5:$K$36,INT(($B131/E$5))+1)+(($B131/E$5)-INT(($B131/E$5)))*(INDEX('D Fleet'!$K$5:$K$36,INT(($B131/E$5))+2)-INDEX('D Fleet'!$K$5:$K$36,INT(($B131/E$5))+1)),0)</f>
        <v/>
      </c>
      <c r="F131" s="276">
        <f>IFERROR(INDEX('D Fleet'!$E$5:$E$62,MATCH(F$3-$B131,'D Fleet'!$B$5:$B$62,0)),0)*IFERROR(INDEX('D Fleet'!$K$5:$K$36,INT(($B131/F$5))+1)+(($B131/F$5)-INT(($B131/F$5)))*(INDEX('D Fleet'!$K$5:$K$36,INT(($B131/F$5))+2)-INDEX('D Fleet'!$K$5:$K$36,INT(($B131/F$5))+1)),0)</f>
        <v/>
      </c>
      <c r="G131" s="276">
        <f>IFERROR(INDEX('D Fleet'!$E$5:$E$62,MATCH(G$3-$B131,'D Fleet'!$B$5:$B$62,0)),0)*IFERROR(INDEX('D Fleet'!$K$5:$K$36,INT(($B131/G$5))+1)+(($B131/G$5)-INT(($B131/G$5)))*(INDEX('D Fleet'!$K$5:$K$36,INT(($B131/G$5))+2)-INDEX('D Fleet'!$K$5:$K$36,INT(($B131/G$5))+1)),0)</f>
        <v/>
      </c>
      <c r="H131" s="276">
        <f>IFERROR(INDEX('D Fleet'!$E$5:$E$62,MATCH(H$3-$B131,'D Fleet'!$B$5:$B$62,0)),0)*IFERROR(INDEX('D Fleet'!$K$5:$K$36,INT(($B131/H$5))+1)+(($B131/H$5)-INT(($B131/H$5)))*(INDEX('D Fleet'!$K$5:$K$36,INT(($B131/H$5))+2)-INDEX('D Fleet'!$K$5:$K$36,INT(($B131/H$5))+1)),0)</f>
        <v/>
      </c>
      <c r="I131" s="276">
        <f>IFERROR(INDEX('D Fleet'!$E$5:$E$62,MATCH(I$3-$B131,'D Fleet'!$B$5:$B$62,0)),0)*IFERROR(INDEX('D Fleet'!$K$5:$K$36,INT(($B131/I$5))+1)+(($B131/I$5)-INT(($B131/I$5)))*(INDEX('D Fleet'!$K$5:$K$36,INT(($B131/I$5))+2)-INDEX('D Fleet'!$K$5:$K$36,INT(($B131/I$5))+1)),0)</f>
        <v/>
      </c>
      <c r="J131" s="276">
        <f>IFERROR(INDEX('D Fleet'!$E$5:$E$62,MATCH(J$3-$B131,'D Fleet'!$B$5:$B$62,0)),0)*IFERROR(INDEX('D Fleet'!$K$5:$K$36,INT(($B131/J$5))+1)+(($B131/J$5)-INT(($B131/J$5)))*(INDEX('D Fleet'!$K$5:$K$36,INT(($B131/J$5))+2)-INDEX('D Fleet'!$K$5:$K$36,INT(($B131/J$5))+1)),0)</f>
        <v/>
      </c>
      <c r="K131" s="276">
        <f>IFERROR(INDEX('D Fleet'!$E$5:$E$62,MATCH(K$3-$B131,'D Fleet'!$B$5:$B$62,0)),0)*IFERROR(INDEX('D Fleet'!$K$5:$K$36,INT(($B131/K$5))+1)+(($B131/K$5)-INT(($B131/K$5)))*(INDEX('D Fleet'!$K$5:$K$36,INT(($B131/K$5))+2)-INDEX('D Fleet'!$K$5:$K$36,INT(($B131/K$5))+1)),0)</f>
        <v/>
      </c>
      <c r="L131" s="276">
        <f>IFERROR(INDEX('D Fleet'!$E$5:$E$62,MATCH(L$3-$B131,'D Fleet'!$B$5:$B$62,0)),0)*IFERROR(INDEX('D Fleet'!$K$5:$K$36,INT(($B131/L$5))+1)+(($B131/L$5)-INT(($B131/L$5)))*(INDEX('D Fleet'!$K$5:$K$36,INT(($B131/L$5))+2)-INDEX('D Fleet'!$K$5:$K$36,INT(($B131/L$5))+1)),0)</f>
        <v/>
      </c>
      <c r="M131" s="276">
        <f>IFERROR(INDEX('D Fleet'!$E$5:$E$62,MATCH(M$3-$B131,'D Fleet'!$B$5:$B$62,0)),0)*IFERROR(INDEX('D Fleet'!$K$5:$K$36,INT(($B131/M$5))+1)+(($B131/M$5)-INT(($B131/M$5)))*(INDEX('D Fleet'!$K$5:$K$36,INT(($B131/M$5))+2)-INDEX('D Fleet'!$K$5:$K$36,INT(($B131/M$5))+1)),0)</f>
        <v/>
      </c>
      <c r="N131" s="276">
        <f>IFERROR(INDEX('D Fleet'!$E$5:$E$62,MATCH(N$3-$B131,'D Fleet'!$B$5:$B$62,0)),0)*IFERROR(INDEX('D Fleet'!$K$5:$K$36,INT(($B131/N$5))+1)+(($B131/N$5)-INT(($B131/N$5)))*(INDEX('D Fleet'!$K$5:$K$36,INT(($B131/N$5))+2)-INDEX('D Fleet'!$K$5:$K$36,INT(($B131/N$5))+1)),0)</f>
        <v/>
      </c>
      <c r="P131" s="276">
        <f>E131*$D131*'E1 Fleet'!$D$99</f>
        <v/>
      </c>
      <c r="Q131" s="276">
        <f>F131*$D131*'E1 Fleet'!$D$99</f>
        <v/>
      </c>
      <c r="R131" s="276">
        <f>G131*$D131*'E1 Fleet'!$D$99</f>
        <v/>
      </c>
      <c r="S131" s="276">
        <f>H131*$D131*'E1 Fleet'!$D$99</f>
        <v/>
      </c>
      <c r="T131" s="276">
        <f>I131*$D131*'E1 Fleet'!$D$99</f>
        <v/>
      </c>
      <c r="U131" s="276">
        <f>J131*$D131*'E1 Fleet'!$D$99</f>
        <v/>
      </c>
      <c r="V131" s="276">
        <f>K131*$D131*'E1 Fleet'!$D$99</f>
        <v/>
      </c>
      <c r="W131" s="276">
        <f>L131*$D131*'E1 Fleet'!$D$99</f>
        <v/>
      </c>
      <c r="X131" s="276">
        <f>M131*$D131*'E1 Fleet'!$D$99</f>
        <v/>
      </c>
      <c r="Y131" s="276">
        <f>N131*$D131*'E1 Fleet'!$D$99</f>
        <v/>
      </c>
    </row>
    <row r="132">
      <c r="A132" t="inlineStr">
        <is>
          <t>Pickup</t>
        </is>
      </c>
      <c r="B132" t="n">
        <v>33</v>
      </c>
      <c r="C132" t="n">
        <v>3</v>
      </c>
      <c r="D132" s="275">
        <f>IF($B132=0,'E1 Fleet'!$D$93,1)*EXP(-'E1 Fleet'!$D$94*MAX($B132-6,0))</f>
        <v/>
      </c>
      <c r="E132" s="276">
        <f>IFERROR(INDEX('D Fleet'!$E$5:$E$62,MATCH(E$3-$B132,'D Fleet'!$B$5:$B$62,0)),0)*IFERROR(INDEX('D Fleet'!$K$5:$K$36,INT(($B132/E$5))+1)+(($B132/E$5)-INT(($B132/E$5)))*(INDEX('D Fleet'!$K$5:$K$36,INT(($B132/E$5))+2)-INDEX('D Fleet'!$K$5:$K$36,INT(($B132/E$5))+1)),0)</f>
        <v/>
      </c>
      <c r="F132" s="276">
        <f>IFERROR(INDEX('D Fleet'!$E$5:$E$62,MATCH(F$3-$B132,'D Fleet'!$B$5:$B$62,0)),0)*IFERROR(INDEX('D Fleet'!$K$5:$K$36,INT(($B132/F$5))+1)+(($B132/F$5)-INT(($B132/F$5)))*(INDEX('D Fleet'!$K$5:$K$36,INT(($B132/F$5))+2)-INDEX('D Fleet'!$K$5:$K$36,INT(($B132/F$5))+1)),0)</f>
        <v/>
      </c>
      <c r="G132" s="276">
        <f>IFERROR(INDEX('D Fleet'!$E$5:$E$62,MATCH(G$3-$B132,'D Fleet'!$B$5:$B$62,0)),0)*IFERROR(INDEX('D Fleet'!$K$5:$K$36,INT(($B132/G$5))+1)+(($B132/G$5)-INT(($B132/G$5)))*(INDEX('D Fleet'!$K$5:$K$36,INT(($B132/G$5))+2)-INDEX('D Fleet'!$K$5:$K$36,INT(($B132/G$5))+1)),0)</f>
        <v/>
      </c>
      <c r="H132" s="276">
        <f>IFERROR(INDEX('D Fleet'!$E$5:$E$62,MATCH(H$3-$B132,'D Fleet'!$B$5:$B$62,0)),0)*IFERROR(INDEX('D Fleet'!$K$5:$K$36,INT(($B132/H$5))+1)+(($B132/H$5)-INT(($B132/H$5)))*(INDEX('D Fleet'!$K$5:$K$36,INT(($B132/H$5))+2)-INDEX('D Fleet'!$K$5:$K$36,INT(($B132/H$5))+1)),0)</f>
        <v/>
      </c>
      <c r="I132" s="276">
        <f>IFERROR(INDEX('D Fleet'!$E$5:$E$62,MATCH(I$3-$B132,'D Fleet'!$B$5:$B$62,0)),0)*IFERROR(INDEX('D Fleet'!$K$5:$K$36,INT(($B132/I$5))+1)+(($B132/I$5)-INT(($B132/I$5)))*(INDEX('D Fleet'!$K$5:$K$36,INT(($B132/I$5))+2)-INDEX('D Fleet'!$K$5:$K$36,INT(($B132/I$5))+1)),0)</f>
        <v/>
      </c>
      <c r="J132" s="276">
        <f>IFERROR(INDEX('D Fleet'!$E$5:$E$62,MATCH(J$3-$B132,'D Fleet'!$B$5:$B$62,0)),0)*IFERROR(INDEX('D Fleet'!$K$5:$K$36,INT(($B132/J$5))+1)+(($B132/J$5)-INT(($B132/J$5)))*(INDEX('D Fleet'!$K$5:$K$36,INT(($B132/J$5))+2)-INDEX('D Fleet'!$K$5:$K$36,INT(($B132/J$5))+1)),0)</f>
        <v/>
      </c>
      <c r="K132" s="276">
        <f>IFERROR(INDEX('D Fleet'!$E$5:$E$62,MATCH(K$3-$B132,'D Fleet'!$B$5:$B$62,0)),0)*IFERROR(INDEX('D Fleet'!$K$5:$K$36,INT(($B132/K$5))+1)+(($B132/K$5)-INT(($B132/K$5)))*(INDEX('D Fleet'!$K$5:$K$36,INT(($B132/K$5))+2)-INDEX('D Fleet'!$K$5:$K$36,INT(($B132/K$5))+1)),0)</f>
        <v/>
      </c>
      <c r="L132" s="276">
        <f>IFERROR(INDEX('D Fleet'!$E$5:$E$62,MATCH(L$3-$B132,'D Fleet'!$B$5:$B$62,0)),0)*IFERROR(INDEX('D Fleet'!$K$5:$K$36,INT(($B132/L$5))+1)+(($B132/L$5)-INT(($B132/L$5)))*(INDEX('D Fleet'!$K$5:$K$36,INT(($B132/L$5))+2)-INDEX('D Fleet'!$K$5:$K$36,INT(($B132/L$5))+1)),0)</f>
        <v/>
      </c>
      <c r="M132" s="276">
        <f>IFERROR(INDEX('D Fleet'!$E$5:$E$62,MATCH(M$3-$B132,'D Fleet'!$B$5:$B$62,0)),0)*IFERROR(INDEX('D Fleet'!$K$5:$K$36,INT(($B132/M$5))+1)+(($B132/M$5)-INT(($B132/M$5)))*(INDEX('D Fleet'!$K$5:$K$36,INT(($B132/M$5))+2)-INDEX('D Fleet'!$K$5:$K$36,INT(($B132/M$5))+1)),0)</f>
        <v/>
      </c>
      <c r="N132" s="276">
        <f>IFERROR(INDEX('D Fleet'!$E$5:$E$62,MATCH(N$3-$B132,'D Fleet'!$B$5:$B$62,0)),0)*IFERROR(INDEX('D Fleet'!$K$5:$K$36,INT(($B132/N$5))+1)+(($B132/N$5)-INT(($B132/N$5)))*(INDEX('D Fleet'!$K$5:$K$36,INT(($B132/N$5))+2)-INDEX('D Fleet'!$K$5:$K$36,INT(($B132/N$5))+1)),0)</f>
        <v/>
      </c>
      <c r="P132" s="276">
        <f>E132*$D132*'E1 Fleet'!$D$99</f>
        <v/>
      </c>
      <c r="Q132" s="276">
        <f>F132*$D132*'E1 Fleet'!$D$99</f>
        <v/>
      </c>
      <c r="R132" s="276">
        <f>G132*$D132*'E1 Fleet'!$D$99</f>
        <v/>
      </c>
      <c r="S132" s="276">
        <f>H132*$D132*'E1 Fleet'!$D$99</f>
        <v/>
      </c>
      <c r="T132" s="276">
        <f>I132*$D132*'E1 Fleet'!$D$99</f>
        <v/>
      </c>
      <c r="U132" s="276">
        <f>J132*$D132*'E1 Fleet'!$D$99</f>
        <v/>
      </c>
      <c r="V132" s="276">
        <f>K132*$D132*'E1 Fleet'!$D$99</f>
        <v/>
      </c>
      <c r="W132" s="276">
        <f>L132*$D132*'E1 Fleet'!$D$99</f>
        <v/>
      </c>
      <c r="X132" s="276">
        <f>M132*$D132*'E1 Fleet'!$D$99</f>
        <v/>
      </c>
      <c r="Y132" s="276">
        <f>N132*$D132*'E1 Fleet'!$D$99</f>
        <v/>
      </c>
    </row>
    <row r="133">
      <c r="A133" t="inlineStr">
        <is>
          <t>Pickup</t>
        </is>
      </c>
      <c r="B133" t="n">
        <v>34</v>
      </c>
      <c r="C133" t="n">
        <v>3</v>
      </c>
      <c r="D133" s="275">
        <f>IF($B133=0,'E1 Fleet'!$D$93,1)*EXP(-'E1 Fleet'!$D$94*MAX($B133-6,0))</f>
        <v/>
      </c>
      <c r="E133" s="276">
        <f>IFERROR(INDEX('D Fleet'!$E$5:$E$62,MATCH(E$3-$B133,'D Fleet'!$B$5:$B$62,0)),0)*IFERROR(INDEX('D Fleet'!$K$5:$K$36,INT(($B133/E$5))+1)+(($B133/E$5)-INT(($B133/E$5)))*(INDEX('D Fleet'!$K$5:$K$36,INT(($B133/E$5))+2)-INDEX('D Fleet'!$K$5:$K$36,INT(($B133/E$5))+1)),0)</f>
        <v/>
      </c>
      <c r="F133" s="276">
        <f>IFERROR(INDEX('D Fleet'!$E$5:$E$62,MATCH(F$3-$B133,'D Fleet'!$B$5:$B$62,0)),0)*IFERROR(INDEX('D Fleet'!$K$5:$K$36,INT(($B133/F$5))+1)+(($B133/F$5)-INT(($B133/F$5)))*(INDEX('D Fleet'!$K$5:$K$36,INT(($B133/F$5))+2)-INDEX('D Fleet'!$K$5:$K$36,INT(($B133/F$5))+1)),0)</f>
        <v/>
      </c>
      <c r="G133" s="276">
        <f>IFERROR(INDEX('D Fleet'!$E$5:$E$62,MATCH(G$3-$B133,'D Fleet'!$B$5:$B$62,0)),0)*IFERROR(INDEX('D Fleet'!$K$5:$K$36,INT(($B133/G$5))+1)+(($B133/G$5)-INT(($B133/G$5)))*(INDEX('D Fleet'!$K$5:$K$36,INT(($B133/G$5))+2)-INDEX('D Fleet'!$K$5:$K$36,INT(($B133/G$5))+1)),0)</f>
        <v/>
      </c>
      <c r="H133" s="276">
        <f>IFERROR(INDEX('D Fleet'!$E$5:$E$62,MATCH(H$3-$B133,'D Fleet'!$B$5:$B$62,0)),0)*IFERROR(INDEX('D Fleet'!$K$5:$K$36,INT(($B133/H$5))+1)+(($B133/H$5)-INT(($B133/H$5)))*(INDEX('D Fleet'!$K$5:$K$36,INT(($B133/H$5))+2)-INDEX('D Fleet'!$K$5:$K$36,INT(($B133/H$5))+1)),0)</f>
        <v/>
      </c>
      <c r="I133" s="276">
        <f>IFERROR(INDEX('D Fleet'!$E$5:$E$62,MATCH(I$3-$B133,'D Fleet'!$B$5:$B$62,0)),0)*IFERROR(INDEX('D Fleet'!$K$5:$K$36,INT(($B133/I$5))+1)+(($B133/I$5)-INT(($B133/I$5)))*(INDEX('D Fleet'!$K$5:$K$36,INT(($B133/I$5))+2)-INDEX('D Fleet'!$K$5:$K$36,INT(($B133/I$5))+1)),0)</f>
        <v/>
      </c>
      <c r="J133" s="276">
        <f>IFERROR(INDEX('D Fleet'!$E$5:$E$62,MATCH(J$3-$B133,'D Fleet'!$B$5:$B$62,0)),0)*IFERROR(INDEX('D Fleet'!$K$5:$K$36,INT(($B133/J$5))+1)+(($B133/J$5)-INT(($B133/J$5)))*(INDEX('D Fleet'!$K$5:$K$36,INT(($B133/J$5))+2)-INDEX('D Fleet'!$K$5:$K$36,INT(($B133/J$5))+1)),0)</f>
        <v/>
      </c>
      <c r="K133" s="276">
        <f>IFERROR(INDEX('D Fleet'!$E$5:$E$62,MATCH(K$3-$B133,'D Fleet'!$B$5:$B$62,0)),0)*IFERROR(INDEX('D Fleet'!$K$5:$K$36,INT(($B133/K$5))+1)+(($B133/K$5)-INT(($B133/K$5)))*(INDEX('D Fleet'!$K$5:$K$36,INT(($B133/K$5))+2)-INDEX('D Fleet'!$K$5:$K$36,INT(($B133/K$5))+1)),0)</f>
        <v/>
      </c>
      <c r="L133" s="276">
        <f>IFERROR(INDEX('D Fleet'!$E$5:$E$62,MATCH(L$3-$B133,'D Fleet'!$B$5:$B$62,0)),0)*IFERROR(INDEX('D Fleet'!$K$5:$K$36,INT(($B133/L$5))+1)+(($B133/L$5)-INT(($B133/L$5)))*(INDEX('D Fleet'!$K$5:$K$36,INT(($B133/L$5))+2)-INDEX('D Fleet'!$K$5:$K$36,INT(($B133/L$5))+1)),0)</f>
        <v/>
      </c>
      <c r="M133" s="276">
        <f>IFERROR(INDEX('D Fleet'!$E$5:$E$62,MATCH(M$3-$B133,'D Fleet'!$B$5:$B$62,0)),0)*IFERROR(INDEX('D Fleet'!$K$5:$K$36,INT(($B133/M$5))+1)+(($B133/M$5)-INT(($B133/M$5)))*(INDEX('D Fleet'!$K$5:$K$36,INT(($B133/M$5))+2)-INDEX('D Fleet'!$K$5:$K$36,INT(($B133/M$5))+1)),0)</f>
        <v/>
      </c>
      <c r="N133" s="276">
        <f>IFERROR(INDEX('D Fleet'!$E$5:$E$62,MATCH(N$3-$B133,'D Fleet'!$B$5:$B$62,0)),0)*IFERROR(INDEX('D Fleet'!$K$5:$K$36,INT(($B133/N$5))+1)+(($B133/N$5)-INT(($B133/N$5)))*(INDEX('D Fleet'!$K$5:$K$36,INT(($B133/N$5))+2)-INDEX('D Fleet'!$K$5:$K$36,INT(($B133/N$5))+1)),0)</f>
        <v/>
      </c>
      <c r="P133" s="276">
        <f>E133*$D133*'E1 Fleet'!$D$99</f>
        <v/>
      </c>
      <c r="Q133" s="276">
        <f>F133*$D133*'E1 Fleet'!$D$99</f>
        <v/>
      </c>
      <c r="R133" s="276">
        <f>G133*$D133*'E1 Fleet'!$D$99</f>
        <v/>
      </c>
      <c r="S133" s="276">
        <f>H133*$D133*'E1 Fleet'!$D$99</f>
        <v/>
      </c>
      <c r="T133" s="276">
        <f>I133*$D133*'E1 Fleet'!$D$99</f>
        <v/>
      </c>
      <c r="U133" s="276">
        <f>J133*$D133*'E1 Fleet'!$D$99</f>
        <v/>
      </c>
      <c r="V133" s="276">
        <f>K133*$D133*'E1 Fleet'!$D$99</f>
        <v/>
      </c>
      <c r="W133" s="276">
        <f>L133*$D133*'E1 Fleet'!$D$99</f>
        <v/>
      </c>
      <c r="X133" s="276">
        <f>M133*$D133*'E1 Fleet'!$D$99</f>
        <v/>
      </c>
      <c r="Y133" s="276">
        <f>N133*$D133*'E1 Fleet'!$D$99</f>
        <v/>
      </c>
    </row>
    <row r="134">
      <c r="A134" t="inlineStr">
        <is>
          <t>Pickup</t>
        </is>
      </c>
      <c r="B134" t="n">
        <v>35</v>
      </c>
      <c r="C134" t="n">
        <v>3</v>
      </c>
      <c r="D134" s="275">
        <f>IF($B134=0,'E1 Fleet'!$D$93,1)*EXP(-'E1 Fleet'!$D$94*MAX($B134-6,0))</f>
        <v/>
      </c>
      <c r="E134" s="276">
        <f>IFERROR(INDEX('D Fleet'!$E$5:$E$62,MATCH(E$3-$B134,'D Fleet'!$B$5:$B$62,0)),0)*IFERROR(INDEX('D Fleet'!$K$5:$K$36,INT(($B134/E$5))+1)+(($B134/E$5)-INT(($B134/E$5)))*(INDEX('D Fleet'!$K$5:$K$36,INT(($B134/E$5))+2)-INDEX('D Fleet'!$K$5:$K$36,INT(($B134/E$5))+1)),0)</f>
        <v/>
      </c>
      <c r="F134" s="276">
        <f>IFERROR(INDEX('D Fleet'!$E$5:$E$62,MATCH(F$3-$B134,'D Fleet'!$B$5:$B$62,0)),0)*IFERROR(INDEX('D Fleet'!$K$5:$K$36,INT(($B134/F$5))+1)+(($B134/F$5)-INT(($B134/F$5)))*(INDEX('D Fleet'!$K$5:$K$36,INT(($B134/F$5))+2)-INDEX('D Fleet'!$K$5:$K$36,INT(($B134/F$5))+1)),0)</f>
        <v/>
      </c>
      <c r="G134" s="276">
        <f>IFERROR(INDEX('D Fleet'!$E$5:$E$62,MATCH(G$3-$B134,'D Fleet'!$B$5:$B$62,0)),0)*IFERROR(INDEX('D Fleet'!$K$5:$K$36,INT(($B134/G$5))+1)+(($B134/G$5)-INT(($B134/G$5)))*(INDEX('D Fleet'!$K$5:$K$36,INT(($B134/G$5))+2)-INDEX('D Fleet'!$K$5:$K$36,INT(($B134/G$5))+1)),0)</f>
        <v/>
      </c>
      <c r="H134" s="276">
        <f>IFERROR(INDEX('D Fleet'!$E$5:$E$62,MATCH(H$3-$B134,'D Fleet'!$B$5:$B$62,0)),0)*IFERROR(INDEX('D Fleet'!$K$5:$K$36,INT(($B134/H$5))+1)+(($B134/H$5)-INT(($B134/H$5)))*(INDEX('D Fleet'!$K$5:$K$36,INT(($B134/H$5))+2)-INDEX('D Fleet'!$K$5:$K$36,INT(($B134/H$5))+1)),0)</f>
        <v/>
      </c>
      <c r="I134" s="276">
        <f>IFERROR(INDEX('D Fleet'!$E$5:$E$62,MATCH(I$3-$B134,'D Fleet'!$B$5:$B$62,0)),0)*IFERROR(INDEX('D Fleet'!$K$5:$K$36,INT(($B134/I$5))+1)+(($B134/I$5)-INT(($B134/I$5)))*(INDEX('D Fleet'!$K$5:$K$36,INT(($B134/I$5))+2)-INDEX('D Fleet'!$K$5:$K$36,INT(($B134/I$5))+1)),0)</f>
        <v/>
      </c>
      <c r="J134" s="276">
        <f>IFERROR(INDEX('D Fleet'!$E$5:$E$62,MATCH(J$3-$B134,'D Fleet'!$B$5:$B$62,0)),0)*IFERROR(INDEX('D Fleet'!$K$5:$K$36,INT(($B134/J$5))+1)+(($B134/J$5)-INT(($B134/J$5)))*(INDEX('D Fleet'!$K$5:$K$36,INT(($B134/J$5))+2)-INDEX('D Fleet'!$K$5:$K$36,INT(($B134/J$5))+1)),0)</f>
        <v/>
      </c>
      <c r="K134" s="276">
        <f>IFERROR(INDEX('D Fleet'!$E$5:$E$62,MATCH(K$3-$B134,'D Fleet'!$B$5:$B$62,0)),0)*IFERROR(INDEX('D Fleet'!$K$5:$K$36,INT(($B134/K$5))+1)+(($B134/K$5)-INT(($B134/K$5)))*(INDEX('D Fleet'!$K$5:$K$36,INT(($B134/K$5))+2)-INDEX('D Fleet'!$K$5:$K$36,INT(($B134/K$5))+1)),0)</f>
        <v/>
      </c>
      <c r="L134" s="276">
        <f>IFERROR(INDEX('D Fleet'!$E$5:$E$62,MATCH(L$3-$B134,'D Fleet'!$B$5:$B$62,0)),0)*IFERROR(INDEX('D Fleet'!$K$5:$K$36,INT(($B134/L$5))+1)+(($B134/L$5)-INT(($B134/L$5)))*(INDEX('D Fleet'!$K$5:$K$36,INT(($B134/L$5))+2)-INDEX('D Fleet'!$K$5:$K$36,INT(($B134/L$5))+1)),0)</f>
        <v/>
      </c>
      <c r="M134" s="276">
        <f>IFERROR(INDEX('D Fleet'!$E$5:$E$62,MATCH(M$3-$B134,'D Fleet'!$B$5:$B$62,0)),0)*IFERROR(INDEX('D Fleet'!$K$5:$K$36,INT(($B134/M$5))+1)+(($B134/M$5)-INT(($B134/M$5)))*(INDEX('D Fleet'!$K$5:$K$36,INT(($B134/M$5))+2)-INDEX('D Fleet'!$K$5:$K$36,INT(($B134/M$5))+1)),0)</f>
        <v/>
      </c>
      <c r="N134" s="276">
        <f>IFERROR(INDEX('D Fleet'!$E$5:$E$62,MATCH(N$3-$B134,'D Fleet'!$B$5:$B$62,0)),0)*IFERROR(INDEX('D Fleet'!$K$5:$K$36,INT(($B134/N$5))+1)+(($B134/N$5)-INT(($B134/N$5)))*(INDEX('D Fleet'!$K$5:$K$36,INT(($B134/N$5))+2)-INDEX('D Fleet'!$K$5:$K$36,INT(($B134/N$5))+1)),0)</f>
        <v/>
      </c>
      <c r="P134" s="276">
        <f>E134*$D134*'E1 Fleet'!$D$99</f>
        <v/>
      </c>
      <c r="Q134" s="276">
        <f>F134*$D134*'E1 Fleet'!$D$99</f>
        <v/>
      </c>
      <c r="R134" s="276">
        <f>G134*$D134*'E1 Fleet'!$D$99</f>
        <v/>
      </c>
      <c r="S134" s="276">
        <f>H134*$D134*'E1 Fleet'!$D$99</f>
        <v/>
      </c>
      <c r="T134" s="276">
        <f>I134*$D134*'E1 Fleet'!$D$99</f>
        <v/>
      </c>
      <c r="U134" s="276">
        <f>J134*$D134*'E1 Fleet'!$D$99</f>
        <v/>
      </c>
      <c r="V134" s="276">
        <f>K134*$D134*'E1 Fleet'!$D$99</f>
        <v/>
      </c>
      <c r="W134" s="276">
        <f>L134*$D134*'E1 Fleet'!$D$99</f>
        <v/>
      </c>
      <c r="X134" s="276">
        <f>M134*$D134*'E1 Fleet'!$D$99</f>
        <v/>
      </c>
      <c r="Y134" s="276">
        <f>N134*$D134*'E1 Fleet'!$D$99</f>
        <v/>
      </c>
    </row>
    <row r="135">
      <c r="A135" t="inlineStr">
        <is>
          <t>Pickup</t>
        </is>
      </c>
      <c r="B135" t="n">
        <v>36</v>
      </c>
      <c r="C135" t="n">
        <v>3</v>
      </c>
      <c r="D135" s="275">
        <f>IF($B135=0,'E1 Fleet'!$D$93,1)*EXP(-'E1 Fleet'!$D$94*MAX($B135-6,0))</f>
        <v/>
      </c>
      <c r="E135" s="276">
        <f>IFERROR(INDEX('D Fleet'!$E$5:$E$62,MATCH(E$3-$B135,'D Fleet'!$B$5:$B$62,0)),0)*IFERROR(INDEX('D Fleet'!$K$5:$K$36,INT(($B135/E$5))+1)+(($B135/E$5)-INT(($B135/E$5)))*(INDEX('D Fleet'!$K$5:$K$36,INT(($B135/E$5))+2)-INDEX('D Fleet'!$K$5:$K$36,INT(($B135/E$5))+1)),0)</f>
        <v/>
      </c>
      <c r="F135" s="276">
        <f>IFERROR(INDEX('D Fleet'!$E$5:$E$62,MATCH(F$3-$B135,'D Fleet'!$B$5:$B$62,0)),0)*IFERROR(INDEX('D Fleet'!$K$5:$K$36,INT(($B135/F$5))+1)+(($B135/F$5)-INT(($B135/F$5)))*(INDEX('D Fleet'!$K$5:$K$36,INT(($B135/F$5))+2)-INDEX('D Fleet'!$K$5:$K$36,INT(($B135/F$5))+1)),0)</f>
        <v/>
      </c>
      <c r="G135" s="276">
        <f>IFERROR(INDEX('D Fleet'!$E$5:$E$62,MATCH(G$3-$B135,'D Fleet'!$B$5:$B$62,0)),0)*IFERROR(INDEX('D Fleet'!$K$5:$K$36,INT(($B135/G$5))+1)+(($B135/G$5)-INT(($B135/G$5)))*(INDEX('D Fleet'!$K$5:$K$36,INT(($B135/G$5))+2)-INDEX('D Fleet'!$K$5:$K$36,INT(($B135/G$5))+1)),0)</f>
        <v/>
      </c>
      <c r="H135" s="276">
        <f>IFERROR(INDEX('D Fleet'!$E$5:$E$62,MATCH(H$3-$B135,'D Fleet'!$B$5:$B$62,0)),0)*IFERROR(INDEX('D Fleet'!$K$5:$K$36,INT(($B135/H$5))+1)+(($B135/H$5)-INT(($B135/H$5)))*(INDEX('D Fleet'!$K$5:$K$36,INT(($B135/H$5))+2)-INDEX('D Fleet'!$K$5:$K$36,INT(($B135/H$5))+1)),0)</f>
        <v/>
      </c>
      <c r="I135" s="276">
        <f>IFERROR(INDEX('D Fleet'!$E$5:$E$62,MATCH(I$3-$B135,'D Fleet'!$B$5:$B$62,0)),0)*IFERROR(INDEX('D Fleet'!$K$5:$K$36,INT(($B135/I$5))+1)+(($B135/I$5)-INT(($B135/I$5)))*(INDEX('D Fleet'!$K$5:$K$36,INT(($B135/I$5))+2)-INDEX('D Fleet'!$K$5:$K$36,INT(($B135/I$5))+1)),0)</f>
        <v/>
      </c>
      <c r="J135" s="276">
        <f>IFERROR(INDEX('D Fleet'!$E$5:$E$62,MATCH(J$3-$B135,'D Fleet'!$B$5:$B$62,0)),0)*IFERROR(INDEX('D Fleet'!$K$5:$K$36,INT(($B135/J$5))+1)+(($B135/J$5)-INT(($B135/J$5)))*(INDEX('D Fleet'!$K$5:$K$36,INT(($B135/J$5))+2)-INDEX('D Fleet'!$K$5:$K$36,INT(($B135/J$5))+1)),0)</f>
        <v/>
      </c>
      <c r="K135" s="276">
        <f>IFERROR(INDEX('D Fleet'!$E$5:$E$62,MATCH(K$3-$B135,'D Fleet'!$B$5:$B$62,0)),0)*IFERROR(INDEX('D Fleet'!$K$5:$K$36,INT(($B135/K$5))+1)+(($B135/K$5)-INT(($B135/K$5)))*(INDEX('D Fleet'!$K$5:$K$36,INT(($B135/K$5))+2)-INDEX('D Fleet'!$K$5:$K$36,INT(($B135/K$5))+1)),0)</f>
        <v/>
      </c>
      <c r="L135" s="276">
        <f>IFERROR(INDEX('D Fleet'!$E$5:$E$62,MATCH(L$3-$B135,'D Fleet'!$B$5:$B$62,0)),0)*IFERROR(INDEX('D Fleet'!$K$5:$K$36,INT(($B135/L$5))+1)+(($B135/L$5)-INT(($B135/L$5)))*(INDEX('D Fleet'!$K$5:$K$36,INT(($B135/L$5))+2)-INDEX('D Fleet'!$K$5:$K$36,INT(($B135/L$5))+1)),0)</f>
        <v/>
      </c>
      <c r="M135" s="276">
        <f>IFERROR(INDEX('D Fleet'!$E$5:$E$62,MATCH(M$3-$B135,'D Fleet'!$B$5:$B$62,0)),0)*IFERROR(INDEX('D Fleet'!$K$5:$K$36,INT(($B135/M$5))+1)+(($B135/M$5)-INT(($B135/M$5)))*(INDEX('D Fleet'!$K$5:$K$36,INT(($B135/M$5))+2)-INDEX('D Fleet'!$K$5:$K$36,INT(($B135/M$5))+1)),0)</f>
        <v/>
      </c>
      <c r="N135" s="276">
        <f>IFERROR(INDEX('D Fleet'!$E$5:$E$62,MATCH(N$3-$B135,'D Fleet'!$B$5:$B$62,0)),0)*IFERROR(INDEX('D Fleet'!$K$5:$K$36,INT(($B135/N$5))+1)+(($B135/N$5)-INT(($B135/N$5)))*(INDEX('D Fleet'!$K$5:$K$36,INT(($B135/N$5))+2)-INDEX('D Fleet'!$K$5:$K$36,INT(($B135/N$5))+1)),0)</f>
        <v/>
      </c>
      <c r="P135" s="276">
        <f>E135*$D135*'E1 Fleet'!$D$99</f>
        <v/>
      </c>
      <c r="Q135" s="276">
        <f>F135*$D135*'E1 Fleet'!$D$99</f>
        <v/>
      </c>
      <c r="R135" s="276">
        <f>G135*$D135*'E1 Fleet'!$D$99</f>
        <v/>
      </c>
      <c r="S135" s="276">
        <f>H135*$D135*'E1 Fleet'!$D$99</f>
        <v/>
      </c>
      <c r="T135" s="276">
        <f>I135*$D135*'E1 Fleet'!$D$99</f>
        <v/>
      </c>
      <c r="U135" s="276">
        <f>J135*$D135*'E1 Fleet'!$D$99</f>
        <v/>
      </c>
      <c r="V135" s="276">
        <f>K135*$D135*'E1 Fleet'!$D$99</f>
        <v/>
      </c>
      <c r="W135" s="276">
        <f>L135*$D135*'E1 Fleet'!$D$99</f>
        <v/>
      </c>
      <c r="X135" s="276">
        <f>M135*$D135*'E1 Fleet'!$D$99</f>
        <v/>
      </c>
      <c r="Y135" s="276">
        <f>N135*$D135*'E1 Fleet'!$D$99</f>
        <v/>
      </c>
    </row>
    <row r="136">
      <c r="A136" t="inlineStr">
        <is>
          <t>Pickup</t>
        </is>
      </c>
      <c r="B136" t="n">
        <v>37</v>
      </c>
      <c r="C136" t="n">
        <v>3</v>
      </c>
      <c r="D136" s="275">
        <f>IF($B136=0,'E1 Fleet'!$D$93,1)*EXP(-'E1 Fleet'!$D$94*MAX($B136-6,0))</f>
        <v/>
      </c>
      <c r="E136" s="276">
        <f>IFERROR(INDEX('D Fleet'!$E$5:$E$62,MATCH(E$3-$B136,'D Fleet'!$B$5:$B$62,0)),0)*IFERROR(INDEX('D Fleet'!$K$5:$K$36,INT(($B136/E$5))+1)+(($B136/E$5)-INT(($B136/E$5)))*(INDEX('D Fleet'!$K$5:$K$36,INT(($B136/E$5))+2)-INDEX('D Fleet'!$K$5:$K$36,INT(($B136/E$5))+1)),0)</f>
        <v/>
      </c>
      <c r="F136" s="276">
        <f>IFERROR(INDEX('D Fleet'!$E$5:$E$62,MATCH(F$3-$B136,'D Fleet'!$B$5:$B$62,0)),0)*IFERROR(INDEX('D Fleet'!$K$5:$K$36,INT(($B136/F$5))+1)+(($B136/F$5)-INT(($B136/F$5)))*(INDEX('D Fleet'!$K$5:$K$36,INT(($B136/F$5))+2)-INDEX('D Fleet'!$K$5:$K$36,INT(($B136/F$5))+1)),0)</f>
        <v/>
      </c>
      <c r="G136" s="276">
        <f>IFERROR(INDEX('D Fleet'!$E$5:$E$62,MATCH(G$3-$B136,'D Fleet'!$B$5:$B$62,0)),0)*IFERROR(INDEX('D Fleet'!$K$5:$K$36,INT(($B136/G$5))+1)+(($B136/G$5)-INT(($B136/G$5)))*(INDEX('D Fleet'!$K$5:$K$36,INT(($B136/G$5))+2)-INDEX('D Fleet'!$K$5:$K$36,INT(($B136/G$5))+1)),0)</f>
        <v/>
      </c>
      <c r="H136" s="276">
        <f>IFERROR(INDEX('D Fleet'!$E$5:$E$62,MATCH(H$3-$B136,'D Fleet'!$B$5:$B$62,0)),0)*IFERROR(INDEX('D Fleet'!$K$5:$K$36,INT(($B136/H$5))+1)+(($B136/H$5)-INT(($B136/H$5)))*(INDEX('D Fleet'!$K$5:$K$36,INT(($B136/H$5))+2)-INDEX('D Fleet'!$K$5:$K$36,INT(($B136/H$5))+1)),0)</f>
        <v/>
      </c>
      <c r="I136" s="276">
        <f>IFERROR(INDEX('D Fleet'!$E$5:$E$62,MATCH(I$3-$B136,'D Fleet'!$B$5:$B$62,0)),0)*IFERROR(INDEX('D Fleet'!$K$5:$K$36,INT(($B136/I$5))+1)+(($B136/I$5)-INT(($B136/I$5)))*(INDEX('D Fleet'!$K$5:$K$36,INT(($B136/I$5))+2)-INDEX('D Fleet'!$K$5:$K$36,INT(($B136/I$5))+1)),0)</f>
        <v/>
      </c>
      <c r="J136" s="276">
        <f>IFERROR(INDEX('D Fleet'!$E$5:$E$62,MATCH(J$3-$B136,'D Fleet'!$B$5:$B$62,0)),0)*IFERROR(INDEX('D Fleet'!$K$5:$K$36,INT(($B136/J$5))+1)+(($B136/J$5)-INT(($B136/J$5)))*(INDEX('D Fleet'!$K$5:$K$36,INT(($B136/J$5))+2)-INDEX('D Fleet'!$K$5:$K$36,INT(($B136/J$5))+1)),0)</f>
        <v/>
      </c>
      <c r="K136" s="276">
        <f>IFERROR(INDEX('D Fleet'!$E$5:$E$62,MATCH(K$3-$B136,'D Fleet'!$B$5:$B$62,0)),0)*IFERROR(INDEX('D Fleet'!$K$5:$K$36,INT(($B136/K$5))+1)+(($B136/K$5)-INT(($B136/K$5)))*(INDEX('D Fleet'!$K$5:$K$36,INT(($B136/K$5))+2)-INDEX('D Fleet'!$K$5:$K$36,INT(($B136/K$5))+1)),0)</f>
        <v/>
      </c>
      <c r="L136" s="276">
        <f>IFERROR(INDEX('D Fleet'!$E$5:$E$62,MATCH(L$3-$B136,'D Fleet'!$B$5:$B$62,0)),0)*IFERROR(INDEX('D Fleet'!$K$5:$K$36,INT(($B136/L$5))+1)+(($B136/L$5)-INT(($B136/L$5)))*(INDEX('D Fleet'!$K$5:$K$36,INT(($B136/L$5))+2)-INDEX('D Fleet'!$K$5:$K$36,INT(($B136/L$5))+1)),0)</f>
        <v/>
      </c>
      <c r="M136" s="276">
        <f>IFERROR(INDEX('D Fleet'!$E$5:$E$62,MATCH(M$3-$B136,'D Fleet'!$B$5:$B$62,0)),0)*IFERROR(INDEX('D Fleet'!$K$5:$K$36,INT(($B136/M$5))+1)+(($B136/M$5)-INT(($B136/M$5)))*(INDEX('D Fleet'!$K$5:$K$36,INT(($B136/M$5))+2)-INDEX('D Fleet'!$K$5:$K$36,INT(($B136/M$5))+1)),0)</f>
        <v/>
      </c>
      <c r="N136" s="276">
        <f>IFERROR(INDEX('D Fleet'!$E$5:$E$62,MATCH(N$3-$B136,'D Fleet'!$B$5:$B$62,0)),0)*IFERROR(INDEX('D Fleet'!$K$5:$K$36,INT(($B136/N$5))+1)+(($B136/N$5)-INT(($B136/N$5)))*(INDEX('D Fleet'!$K$5:$K$36,INT(($B136/N$5))+2)-INDEX('D Fleet'!$K$5:$K$36,INT(($B136/N$5))+1)),0)</f>
        <v/>
      </c>
      <c r="P136" s="276">
        <f>E136*$D136*'E1 Fleet'!$D$99</f>
        <v/>
      </c>
      <c r="Q136" s="276">
        <f>F136*$D136*'E1 Fleet'!$D$99</f>
        <v/>
      </c>
      <c r="R136" s="276">
        <f>G136*$D136*'E1 Fleet'!$D$99</f>
        <v/>
      </c>
      <c r="S136" s="276">
        <f>H136*$D136*'E1 Fleet'!$D$99</f>
        <v/>
      </c>
      <c r="T136" s="276">
        <f>I136*$D136*'E1 Fleet'!$D$99</f>
        <v/>
      </c>
      <c r="U136" s="276">
        <f>J136*$D136*'E1 Fleet'!$D$99</f>
        <v/>
      </c>
      <c r="V136" s="276">
        <f>K136*$D136*'E1 Fleet'!$D$99</f>
        <v/>
      </c>
      <c r="W136" s="276">
        <f>L136*$D136*'E1 Fleet'!$D$99</f>
        <v/>
      </c>
      <c r="X136" s="276">
        <f>M136*$D136*'E1 Fleet'!$D$99</f>
        <v/>
      </c>
      <c r="Y136" s="276">
        <f>N136*$D136*'E1 Fleet'!$D$99</f>
        <v/>
      </c>
    </row>
    <row r="137">
      <c r="A137" t="inlineStr">
        <is>
          <t>Pickup</t>
        </is>
      </c>
      <c r="B137" t="n">
        <v>38</v>
      </c>
      <c r="C137" t="n">
        <v>3</v>
      </c>
      <c r="D137" s="275">
        <f>IF($B137=0,'E1 Fleet'!$D$93,1)*EXP(-'E1 Fleet'!$D$94*MAX($B137-6,0))</f>
        <v/>
      </c>
      <c r="E137" s="276">
        <f>IFERROR(INDEX('D Fleet'!$E$5:$E$62,MATCH(E$3-$B137,'D Fleet'!$B$5:$B$62,0)),0)*IFERROR(INDEX('D Fleet'!$K$5:$K$36,INT(($B137/E$5))+1)+(($B137/E$5)-INT(($B137/E$5)))*(INDEX('D Fleet'!$K$5:$K$36,INT(($B137/E$5))+2)-INDEX('D Fleet'!$K$5:$K$36,INT(($B137/E$5))+1)),0)</f>
        <v/>
      </c>
      <c r="F137" s="276">
        <f>IFERROR(INDEX('D Fleet'!$E$5:$E$62,MATCH(F$3-$B137,'D Fleet'!$B$5:$B$62,0)),0)*IFERROR(INDEX('D Fleet'!$K$5:$K$36,INT(($B137/F$5))+1)+(($B137/F$5)-INT(($B137/F$5)))*(INDEX('D Fleet'!$K$5:$K$36,INT(($B137/F$5))+2)-INDEX('D Fleet'!$K$5:$K$36,INT(($B137/F$5))+1)),0)</f>
        <v/>
      </c>
      <c r="G137" s="276">
        <f>IFERROR(INDEX('D Fleet'!$E$5:$E$62,MATCH(G$3-$B137,'D Fleet'!$B$5:$B$62,0)),0)*IFERROR(INDEX('D Fleet'!$K$5:$K$36,INT(($B137/G$5))+1)+(($B137/G$5)-INT(($B137/G$5)))*(INDEX('D Fleet'!$K$5:$K$36,INT(($B137/G$5))+2)-INDEX('D Fleet'!$K$5:$K$36,INT(($B137/G$5))+1)),0)</f>
        <v/>
      </c>
      <c r="H137" s="276">
        <f>IFERROR(INDEX('D Fleet'!$E$5:$E$62,MATCH(H$3-$B137,'D Fleet'!$B$5:$B$62,0)),0)*IFERROR(INDEX('D Fleet'!$K$5:$K$36,INT(($B137/H$5))+1)+(($B137/H$5)-INT(($B137/H$5)))*(INDEX('D Fleet'!$K$5:$K$36,INT(($B137/H$5))+2)-INDEX('D Fleet'!$K$5:$K$36,INT(($B137/H$5))+1)),0)</f>
        <v/>
      </c>
      <c r="I137" s="276">
        <f>IFERROR(INDEX('D Fleet'!$E$5:$E$62,MATCH(I$3-$B137,'D Fleet'!$B$5:$B$62,0)),0)*IFERROR(INDEX('D Fleet'!$K$5:$K$36,INT(($B137/I$5))+1)+(($B137/I$5)-INT(($B137/I$5)))*(INDEX('D Fleet'!$K$5:$K$36,INT(($B137/I$5))+2)-INDEX('D Fleet'!$K$5:$K$36,INT(($B137/I$5))+1)),0)</f>
        <v/>
      </c>
      <c r="J137" s="276">
        <f>IFERROR(INDEX('D Fleet'!$E$5:$E$62,MATCH(J$3-$B137,'D Fleet'!$B$5:$B$62,0)),0)*IFERROR(INDEX('D Fleet'!$K$5:$K$36,INT(($B137/J$5))+1)+(($B137/J$5)-INT(($B137/J$5)))*(INDEX('D Fleet'!$K$5:$K$36,INT(($B137/J$5))+2)-INDEX('D Fleet'!$K$5:$K$36,INT(($B137/J$5))+1)),0)</f>
        <v/>
      </c>
      <c r="K137" s="276">
        <f>IFERROR(INDEX('D Fleet'!$E$5:$E$62,MATCH(K$3-$B137,'D Fleet'!$B$5:$B$62,0)),0)*IFERROR(INDEX('D Fleet'!$K$5:$K$36,INT(($B137/K$5))+1)+(($B137/K$5)-INT(($B137/K$5)))*(INDEX('D Fleet'!$K$5:$K$36,INT(($B137/K$5))+2)-INDEX('D Fleet'!$K$5:$K$36,INT(($B137/K$5))+1)),0)</f>
        <v/>
      </c>
      <c r="L137" s="276">
        <f>IFERROR(INDEX('D Fleet'!$E$5:$E$62,MATCH(L$3-$B137,'D Fleet'!$B$5:$B$62,0)),0)*IFERROR(INDEX('D Fleet'!$K$5:$K$36,INT(($B137/L$5))+1)+(($B137/L$5)-INT(($B137/L$5)))*(INDEX('D Fleet'!$K$5:$K$36,INT(($B137/L$5))+2)-INDEX('D Fleet'!$K$5:$K$36,INT(($B137/L$5))+1)),0)</f>
        <v/>
      </c>
      <c r="M137" s="276">
        <f>IFERROR(INDEX('D Fleet'!$E$5:$E$62,MATCH(M$3-$B137,'D Fleet'!$B$5:$B$62,0)),0)*IFERROR(INDEX('D Fleet'!$K$5:$K$36,INT(($B137/M$5))+1)+(($B137/M$5)-INT(($B137/M$5)))*(INDEX('D Fleet'!$K$5:$K$36,INT(($B137/M$5))+2)-INDEX('D Fleet'!$K$5:$K$36,INT(($B137/M$5))+1)),0)</f>
        <v/>
      </c>
      <c r="N137" s="276">
        <f>IFERROR(INDEX('D Fleet'!$E$5:$E$62,MATCH(N$3-$B137,'D Fleet'!$B$5:$B$62,0)),0)*IFERROR(INDEX('D Fleet'!$K$5:$K$36,INT(($B137/N$5))+1)+(($B137/N$5)-INT(($B137/N$5)))*(INDEX('D Fleet'!$K$5:$K$36,INT(($B137/N$5))+2)-INDEX('D Fleet'!$K$5:$K$36,INT(($B137/N$5))+1)),0)</f>
        <v/>
      </c>
      <c r="P137" s="276">
        <f>E137*$D137*'E1 Fleet'!$D$99</f>
        <v/>
      </c>
      <c r="Q137" s="276">
        <f>F137*$D137*'E1 Fleet'!$D$99</f>
        <v/>
      </c>
      <c r="R137" s="276">
        <f>G137*$D137*'E1 Fleet'!$D$99</f>
        <v/>
      </c>
      <c r="S137" s="276">
        <f>H137*$D137*'E1 Fleet'!$D$99</f>
        <v/>
      </c>
      <c r="T137" s="276">
        <f>I137*$D137*'E1 Fleet'!$D$99</f>
        <v/>
      </c>
      <c r="U137" s="276">
        <f>J137*$D137*'E1 Fleet'!$D$99</f>
        <v/>
      </c>
      <c r="V137" s="276">
        <f>K137*$D137*'E1 Fleet'!$D$99</f>
        <v/>
      </c>
      <c r="W137" s="276">
        <f>L137*$D137*'E1 Fleet'!$D$99</f>
        <v/>
      </c>
      <c r="X137" s="276">
        <f>M137*$D137*'E1 Fleet'!$D$99</f>
        <v/>
      </c>
      <c r="Y137" s="276">
        <f>N137*$D137*'E1 Fleet'!$D$99</f>
        <v/>
      </c>
    </row>
    <row r="138">
      <c r="A138" t="inlineStr">
        <is>
          <t>Pickup</t>
        </is>
      </c>
      <c r="B138" t="n">
        <v>39</v>
      </c>
      <c r="C138" t="n">
        <v>3</v>
      </c>
      <c r="D138" s="275">
        <f>IF($B138=0,'E1 Fleet'!$D$93,1)*EXP(-'E1 Fleet'!$D$94*MAX($B138-6,0))</f>
        <v/>
      </c>
      <c r="E138" s="276">
        <f>IFERROR(INDEX('D Fleet'!$E$5:$E$62,MATCH(E$3-$B138,'D Fleet'!$B$5:$B$62,0)),0)*IFERROR(INDEX('D Fleet'!$K$5:$K$36,INT(($B138/E$5))+1)+(($B138/E$5)-INT(($B138/E$5)))*(INDEX('D Fleet'!$K$5:$K$36,INT(($B138/E$5))+2)-INDEX('D Fleet'!$K$5:$K$36,INT(($B138/E$5))+1)),0)</f>
        <v/>
      </c>
      <c r="F138" s="276">
        <f>IFERROR(INDEX('D Fleet'!$E$5:$E$62,MATCH(F$3-$B138,'D Fleet'!$B$5:$B$62,0)),0)*IFERROR(INDEX('D Fleet'!$K$5:$K$36,INT(($B138/F$5))+1)+(($B138/F$5)-INT(($B138/F$5)))*(INDEX('D Fleet'!$K$5:$K$36,INT(($B138/F$5))+2)-INDEX('D Fleet'!$K$5:$K$36,INT(($B138/F$5))+1)),0)</f>
        <v/>
      </c>
      <c r="G138" s="276">
        <f>IFERROR(INDEX('D Fleet'!$E$5:$E$62,MATCH(G$3-$B138,'D Fleet'!$B$5:$B$62,0)),0)*IFERROR(INDEX('D Fleet'!$K$5:$K$36,INT(($B138/G$5))+1)+(($B138/G$5)-INT(($B138/G$5)))*(INDEX('D Fleet'!$K$5:$K$36,INT(($B138/G$5))+2)-INDEX('D Fleet'!$K$5:$K$36,INT(($B138/G$5))+1)),0)</f>
        <v/>
      </c>
      <c r="H138" s="276">
        <f>IFERROR(INDEX('D Fleet'!$E$5:$E$62,MATCH(H$3-$B138,'D Fleet'!$B$5:$B$62,0)),0)*IFERROR(INDEX('D Fleet'!$K$5:$K$36,INT(($B138/H$5))+1)+(($B138/H$5)-INT(($B138/H$5)))*(INDEX('D Fleet'!$K$5:$K$36,INT(($B138/H$5))+2)-INDEX('D Fleet'!$K$5:$K$36,INT(($B138/H$5))+1)),0)</f>
        <v/>
      </c>
      <c r="I138" s="276">
        <f>IFERROR(INDEX('D Fleet'!$E$5:$E$62,MATCH(I$3-$B138,'D Fleet'!$B$5:$B$62,0)),0)*IFERROR(INDEX('D Fleet'!$K$5:$K$36,INT(($B138/I$5))+1)+(($B138/I$5)-INT(($B138/I$5)))*(INDEX('D Fleet'!$K$5:$K$36,INT(($B138/I$5))+2)-INDEX('D Fleet'!$K$5:$K$36,INT(($B138/I$5))+1)),0)</f>
        <v/>
      </c>
      <c r="J138" s="276">
        <f>IFERROR(INDEX('D Fleet'!$E$5:$E$62,MATCH(J$3-$B138,'D Fleet'!$B$5:$B$62,0)),0)*IFERROR(INDEX('D Fleet'!$K$5:$K$36,INT(($B138/J$5))+1)+(($B138/J$5)-INT(($B138/J$5)))*(INDEX('D Fleet'!$K$5:$K$36,INT(($B138/J$5))+2)-INDEX('D Fleet'!$K$5:$K$36,INT(($B138/J$5))+1)),0)</f>
        <v/>
      </c>
      <c r="K138" s="276">
        <f>IFERROR(INDEX('D Fleet'!$E$5:$E$62,MATCH(K$3-$B138,'D Fleet'!$B$5:$B$62,0)),0)*IFERROR(INDEX('D Fleet'!$K$5:$K$36,INT(($B138/K$5))+1)+(($B138/K$5)-INT(($B138/K$5)))*(INDEX('D Fleet'!$K$5:$K$36,INT(($B138/K$5))+2)-INDEX('D Fleet'!$K$5:$K$36,INT(($B138/K$5))+1)),0)</f>
        <v/>
      </c>
      <c r="L138" s="276">
        <f>IFERROR(INDEX('D Fleet'!$E$5:$E$62,MATCH(L$3-$B138,'D Fleet'!$B$5:$B$62,0)),0)*IFERROR(INDEX('D Fleet'!$K$5:$K$36,INT(($B138/L$5))+1)+(($B138/L$5)-INT(($B138/L$5)))*(INDEX('D Fleet'!$K$5:$K$36,INT(($B138/L$5))+2)-INDEX('D Fleet'!$K$5:$K$36,INT(($B138/L$5))+1)),0)</f>
        <v/>
      </c>
      <c r="M138" s="276">
        <f>IFERROR(INDEX('D Fleet'!$E$5:$E$62,MATCH(M$3-$B138,'D Fleet'!$B$5:$B$62,0)),0)*IFERROR(INDEX('D Fleet'!$K$5:$K$36,INT(($B138/M$5))+1)+(($B138/M$5)-INT(($B138/M$5)))*(INDEX('D Fleet'!$K$5:$K$36,INT(($B138/M$5))+2)-INDEX('D Fleet'!$K$5:$K$36,INT(($B138/M$5))+1)),0)</f>
        <v/>
      </c>
      <c r="N138" s="276">
        <f>IFERROR(INDEX('D Fleet'!$E$5:$E$62,MATCH(N$3-$B138,'D Fleet'!$B$5:$B$62,0)),0)*IFERROR(INDEX('D Fleet'!$K$5:$K$36,INT(($B138/N$5))+1)+(($B138/N$5)-INT(($B138/N$5)))*(INDEX('D Fleet'!$K$5:$K$36,INT(($B138/N$5))+2)-INDEX('D Fleet'!$K$5:$K$36,INT(($B138/N$5))+1)),0)</f>
        <v/>
      </c>
      <c r="P138" s="276">
        <f>E138*$D138*'E1 Fleet'!$D$99</f>
        <v/>
      </c>
      <c r="Q138" s="276">
        <f>F138*$D138*'E1 Fleet'!$D$99</f>
        <v/>
      </c>
      <c r="R138" s="276">
        <f>G138*$D138*'E1 Fleet'!$D$99</f>
        <v/>
      </c>
      <c r="S138" s="276">
        <f>H138*$D138*'E1 Fleet'!$D$99</f>
        <v/>
      </c>
      <c r="T138" s="276">
        <f>I138*$D138*'E1 Fleet'!$D$99</f>
        <v/>
      </c>
      <c r="U138" s="276">
        <f>J138*$D138*'E1 Fleet'!$D$99</f>
        <v/>
      </c>
      <c r="V138" s="276">
        <f>K138*$D138*'E1 Fleet'!$D$99</f>
        <v/>
      </c>
      <c r="W138" s="276">
        <f>L138*$D138*'E1 Fleet'!$D$99</f>
        <v/>
      </c>
      <c r="X138" s="276">
        <f>M138*$D138*'E1 Fleet'!$D$99</f>
        <v/>
      </c>
      <c r="Y138" s="276">
        <f>N138*$D138*'E1 Fleet'!$D$99</f>
        <v/>
      </c>
    </row>
    <row r="139">
      <c r="A139" t="inlineStr">
        <is>
          <t>Pickup</t>
        </is>
      </c>
      <c r="B139" t="n">
        <v>40</v>
      </c>
      <c r="C139" t="n">
        <v>3</v>
      </c>
      <c r="D139" s="275">
        <f>IF($B139=0,'E1 Fleet'!$D$93,1)*EXP(-'E1 Fleet'!$D$94*MAX($B139-6,0))</f>
        <v/>
      </c>
      <c r="E139" s="276">
        <f>IFERROR(INDEX('D Fleet'!$E$5:$E$62,MATCH(E$3-$B139,'D Fleet'!$B$5:$B$62,0)),0)*IFERROR(INDEX('D Fleet'!$K$5:$K$36,INT(($B139/E$5))+1)+(($B139/E$5)-INT(($B139/E$5)))*(INDEX('D Fleet'!$K$5:$K$36,INT(($B139/E$5))+2)-INDEX('D Fleet'!$K$5:$K$36,INT(($B139/E$5))+1)),0)</f>
        <v/>
      </c>
      <c r="F139" s="276">
        <f>IFERROR(INDEX('D Fleet'!$E$5:$E$62,MATCH(F$3-$B139,'D Fleet'!$B$5:$B$62,0)),0)*IFERROR(INDEX('D Fleet'!$K$5:$K$36,INT(($B139/F$5))+1)+(($B139/F$5)-INT(($B139/F$5)))*(INDEX('D Fleet'!$K$5:$K$36,INT(($B139/F$5))+2)-INDEX('D Fleet'!$K$5:$K$36,INT(($B139/F$5))+1)),0)</f>
        <v/>
      </c>
      <c r="G139" s="276">
        <f>IFERROR(INDEX('D Fleet'!$E$5:$E$62,MATCH(G$3-$B139,'D Fleet'!$B$5:$B$62,0)),0)*IFERROR(INDEX('D Fleet'!$K$5:$K$36,INT(($B139/G$5))+1)+(($B139/G$5)-INT(($B139/G$5)))*(INDEX('D Fleet'!$K$5:$K$36,INT(($B139/G$5))+2)-INDEX('D Fleet'!$K$5:$K$36,INT(($B139/G$5))+1)),0)</f>
        <v/>
      </c>
      <c r="H139" s="276">
        <f>IFERROR(INDEX('D Fleet'!$E$5:$E$62,MATCH(H$3-$B139,'D Fleet'!$B$5:$B$62,0)),0)*IFERROR(INDEX('D Fleet'!$K$5:$K$36,INT(($B139/H$5))+1)+(($B139/H$5)-INT(($B139/H$5)))*(INDEX('D Fleet'!$K$5:$K$36,INT(($B139/H$5))+2)-INDEX('D Fleet'!$K$5:$K$36,INT(($B139/H$5))+1)),0)</f>
        <v/>
      </c>
      <c r="I139" s="276">
        <f>IFERROR(INDEX('D Fleet'!$E$5:$E$62,MATCH(I$3-$B139,'D Fleet'!$B$5:$B$62,0)),0)*IFERROR(INDEX('D Fleet'!$K$5:$K$36,INT(($B139/I$5))+1)+(($B139/I$5)-INT(($B139/I$5)))*(INDEX('D Fleet'!$K$5:$K$36,INT(($B139/I$5))+2)-INDEX('D Fleet'!$K$5:$K$36,INT(($B139/I$5))+1)),0)</f>
        <v/>
      </c>
      <c r="J139" s="276">
        <f>IFERROR(INDEX('D Fleet'!$E$5:$E$62,MATCH(J$3-$B139,'D Fleet'!$B$5:$B$62,0)),0)*IFERROR(INDEX('D Fleet'!$K$5:$K$36,INT(($B139/J$5))+1)+(($B139/J$5)-INT(($B139/J$5)))*(INDEX('D Fleet'!$K$5:$K$36,INT(($B139/J$5))+2)-INDEX('D Fleet'!$K$5:$K$36,INT(($B139/J$5))+1)),0)</f>
        <v/>
      </c>
      <c r="K139" s="276">
        <f>IFERROR(INDEX('D Fleet'!$E$5:$E$62,MATCH(K$3-$B139,'D Fleet'!$B$5:$B$62,0)),0)*IFERROR(INDEX('D Fleet'!$K$5:$K$36,INT(($B139/K$5))+1)+(($B139/K$5)-INT(($B139/K$5)))*(INDEX('D Fleet'!$K$5:$K$36,INT(($B139/K$5))+2)-INDEX('D Fleet'!$K$5:$K$36,INT(($B139/K$5))+1)),0)</f>
        <v/>
      </c>
      <c r="L139" s="276">
        <f>IFERROR(INDEX('D Fleet'!$E$5:$E$62,MATCH(L$3-$B139,'D Fleet'!$B$5:$B$62,0)),0)*IFERROR(INDEX('D Fleet'!$K$5:$K$36,INT(($B139/L$5))+1)+(($B139/L$5)-INT(($B139/L$5)))*(INDEX('D Fleet'!$K$5:$K$36,INT(($B139/L$5))+2)-INDEX('D Fleet'!$K$5:$K$36,INT(($B139/L$5))+1)),0)</f>
        <v/>
      </c>
      <c r="M139" s="276">
        <f>IFERROR(INDEX('D Fleet'!$E$5:$E$62,MATCH(M$3-$B139,'D Fleet'!$B$5:$B$62,0)),0)*IFERROR(INDEX('D Fleet'!$K$5:$K$36,INT(($B139/M$5))+1)+(($B139/M$5)-INT(($B139/M$5)))*(INDEX('D Fleet'!$K$5:$K$36,INT(($B139/M$5))+2)-INDEX('D Fleet'!$K$5:$K$36,INT(($B139/M$5))+1)),0)</f>
        <v/>
      </c>
      <c r="N139" s="276">
        <f>IFERROR(INDEX('D Fleet'!$E$5:$E$62,MATCH(N$3-$B139,'D Fleet'!$B$5:$B$62,0)),0)*IFERROR(INDEX('D Fleet'!$K$5:$K$36,INT(($B139/N$5))+1)+(($B139/N$5)-INT(($B139/N$5)))*(INDEX('D Fleet'!$K$5:$K$36,INT(($B139/N$5))+2)-INDEX('D Fleet'!$K$5:$K$36,INT(($B139/N$5))+1)),0)</f>
        <v/>
      </c>
      <c r="P139" s="276">
        <f>E139*$D139*'E1 Fleet'!$D$99</f>
        <v/>
      </c>
      <c r="Q139" s="276">
        <f>F139*$D139*'E1 Fleet'!$D$99</f>
        <v/>
      </c>
      <c r="R139" s="276">
        <f>G139*$D139*'E1 Fleet'!$D$99</f>
        <v/>
      </c>
      <c r="S139" s="276">
        <f>H139*$D139*'E1 Fleet'!$D$99</f>
        <v/>
      </c>
      <c r="T139" s="276">
        <f>I139*$D139*'E1 Fleet'!$D$99</f>
        <v/>
      </c>
      <c r="U139" s="276">
        <f>J139*$D139*'E1 Fleet'!$D$99</f>
        <v/>
      </c>
      <c r="V139" s="276">
        <f>K139*$D139*'E1 Fleet'!$D$99</f>
        <v/>
      </c>
      <c r="W139" s="276">
        <f>L139*$D139*'E1 Fleet'!$D$99</f>
        <v/>
      </c>
      <c r="X139" s="276">
        <f>M139*$D139*'E1 Fleet'!$D$99</f>
        <v/>
      </c>
      <c r="Y139" s="276">
        <f>N139*$D139*'E1 Fleet'!$D$99</f>
        <v/>
      </c>
    </row>
    <row r="140">
      <c r="A140" t="inlineStr">
        <is>
          <t>Pickup</t>
        </is>
      </c>
      <c r="B140" t="n">
        <v>41</v>
      </c>
      <c r="C140" t="n">
        <v>3</v>
      </c>
      <c r="D140" s="275">
        <f>IF($B140=0,'E1 Fleet'!$D$93,1)*EXP(-'E1 Fleet'!$D$94*MAX($B140-6,0))</f>
        <v/>
      </c>
      <c r="E140" s="276">
        <f>IFERROR(INDEX('D Fleet'!$E$5:$E$62,MATCH(E$3-$B140,'D Fleet'!$B$5:$B$62,0)),0)*IFERROR(INDEX('D Fleet'!$K$5:$K$36,INT(($B140/E$5))+1)+(($B140/E$5)-INT(($B140/E$5)))*(INDEX('D Fleet'!$K$5:$K$36,INT(($B140/E$5))+2)-INDEX('D Fleet'!$K$5:$K$36,INT(($B140/E$5))+1)),0)</f>
        <v/>
      </c>
      <c r="F140" s="276">
        <f>IFERROR(INDEX('D Fleet'!$E$5:$E$62,MATCH(F$3-$B140,'D Fleet'!$B$5:$B$62,0)),0)*IFERROR(INDEX('D Fleet'!$K$5:$K$36,INT(($B140/F$5))+1)+(($B140/F$5)-INT(($B140/F$5)))*(INDEX('D Fleet'!$K$5:$K$36,INT(($B140/F$5))+2)-INDEX('D Fleet'!$K$5:$K$36,INT(($B140/F$5))+1)),0)</f>
        <v/>
      </c>
      <c r="G140" s="276">
        <f>IFERROR(INDEX('D Fleet'!$E$5:$E$62,MATCH(G$3-$B140,'D Fleet'!$B$5:$B$62,0)),0)*IFERROR(INDEX('D Fleet'!$K$5:$K$36,INT(($B140/G$5))+1)+(($B140/G$5)-INT(($B140/G$5)))*(INDEX('D Fleet'!$K$5:$K$36,INT(($B140/G$5))+2)-INDEX('D Fleet'!$K$5:$K$36,INT(($B140/G$5))+1)),0)</f>
        <v/>
      </c>
      <c r="H140" s="276">
        <f>IFERROR(INDEX('D Fleet'!$E$5:$E$62,MATCH(H$3-$B140,'D Fleet'!$B$5:$B$62,0)),0)*IFERROR(INDEX('D Fleet'!$K$5:$K$36,INT(($B140/H$5))+1)+(($B140/H$5)-INT(($B140/H$5)))*(INDEX('D Fleet'!$K$5:$K$36,INT(($B140/H$5))+2)-INDEX('D Fleet'!$K$5:$K$36,INT(($B140/H$5))+1)),0)</f>
        <v/>
      </c>
      <c r="I140" s="276">
        <f>IFERROR(INDEX('D Fleet'!$E$5:$E$62,MATCH(I$3-$B140,'D Fleet'!$B$5:$B$62,0)),0)*IFERROR(INDEX('D Fleet'!$K$5:$K$36,INT(($B140/I$5))+1)+(($B140/I$5)-INT(($B140/I$5)))*(INDEX('D Fleet'!$K$5:$K$36,INT(($B140/I$5))+2)-INDEX('D Fleet'!$K$5:$K$36,INT(($B140/I$5))+1)),0)</f>
        <v/>
      </c>
      <c r="J140" s="276">
        <f>IFERROR(INDEX('D Fleet'!$E$5:$E$62,MATCH(J$3-$B140,'D Fleet'!$B$5:$B$62,0)),0)*IFERROR(INDEX('D Fleet'!$K$5:$K$36,INT(($B140/J$5))+1)+(($B140/J$5)-INT(($B140/J$5)))*(INDEX('D Fleet'!$K$5:$K$36,INT(($B140/J$5))+2)-INDEX('D Fleet'!$K$5:$K$36,INT(($B140/J$5))+1)),0)</f>
        <v/>
      </c>
      <c r="K140" s="276">
        <f>IFERROR(INDEX('D Fleet'!$E$5:$E$62,MATCH(K$3-$B140,'D Fleet'!$B$5:$B$62,0)),0)*IFERROR(INDEX('D Fleet'!$K$5:$K$36,INT(($B140/K$5))+1)+(($B140/K$5)-INT(($B140/K$5)))*(INDEX('D Fleet'!$K$5:$K$36,INT(($B140/K$5))+2)-INDEX('D Fleet'!$K$5:$K$36,INT(($B140/K$5))+1)),0)</f>
        <v/>
      </c>
      <c r="L140" s="276">
        <f>IFERROR(INDEX('D Fleet'!$E$5:$E$62,MATCH(L$3-$B140,'D Fleet'!$B$5:$B$62,0)),0)*IFERROR(INDEX('D Fleet'!$K$5:$K$36,INT(($B140/L$5))+1)+(($B140/L$5)-INT(($B140/L$5)))*(INDEX('D Fleet'!$K$5:$K$36,INT(($B140/L$5))+2)-INDEX('D Fleet'!$K$5:$K$36,INT(($B140/L$5))+1)),0)</f>
        <v/>
      </c>
      <c r="M140" s="276">
        <f>IFERROR(INDEX('D Fleet'!$E$5:$E$62,MATCH(M$3-$B140,'D Fleet'!$B$5:$B$62,0)),0)*IFERROR(INDEX('D Fleet'!$K$5:$K$36,INT(($B140/M$5))+1)+(($B140/M$5)-INT(($B140/M$5)))*(INDEX('D Fleet'!$K$5:$K$36,INT(($B140/M$5))+2)-INDEX('D Fleet'!$K$5:$K$36,INT(($B140/M$5))+1)),0)</f>
        <v/>
      </c>
      <c r="N140" s="276">
        <f>IFERROR(INDEX('D Fleet'!$E$5:$E$62,MATCH(N$3-$B140,'D Fleet'!$B$5:$B$62,0)),0)*IFERROR(INDEX('D Fleet'!$K$5:$K$36,INT(($B140/N$5))+1)+(($B140/N$5)-INT(($B140/N$5)))*(INDEX('D Fleet'!$K$5:$K$36,INT(($B140/N$5))+2)-INDEX('D Fleet'!$K$5:$K$36,INT(($B140/N$5))+1)),0)</f>
        <v/>
      </c>
      <c r="P140" s="276">
        <f>E140*$D140*'E1 Fleet'!$D$99</f>
        <v/>
      </c>
      <c r="Q140" s="276">
        <f>F140*$D140*'E1 Fleet'!$D$99</f>
        <v/>
      </c>
      <c r="R140" s="276">
        <f>G140*$D140*'E1 Fleet'!$D$99</f>
        <v/>
      </c>
      <c r="S140" s="276">
        <f>H140*$D140*'E1 Fleet'!$D$99</f>
        <v/>
      </c>
      <c r="T140" s="276">
        <f>I140*$D140*'E1 Fleet'!$D$99</f>
        <v/>
      </c>
      <c r="U140" s="276">
        <f>J140*$D140*'E1 Fleet'!$D$99</f>
        <v/>
      </c>
      <c r="V140" s="276">
        <f>K140*$D140*'E1 Fleet'!$D$99</f>
        <v/>
      </c>
      <c r="W140" s="276">
        <f>L140*$D140*'E1 Fleet'!$D$99</f>
        <v/>
      </c>
      <c r="X140" s="276">
        <f>M140*$D140*'E1 Fleet'!$D$99</f>
        <v/>
      </c>
      <c r="Y140" s="276">
        <f>N140*$D140*'E1 Fleet'!$D$99</f>
        <v/>
      </c>
    </row>
    <row r="141">
      <c r="A141" t="inlineStr">
        <is>
          <t>Pickup</t>
        </is>
      </c>
      <c r="B141" t="n">
        <v>42</v>
      </c>
      <c r="C141" t="n">
        <v>3</v>
      </c>
      <c r="D141" s="275">
        <f>IF($B141=0,'E1 Fleet'!$D$93,1)*EXP(-'E1 Fleet'!$D$94*MAX($B141-6,0))</f>
        <v/>
      </c>
      <c r="E141" s="276">
        <f>IFERROR(INDEX('D Fleet'!$E$5:$E$62,MATCH(E$3-$B141,'D Fleet'!$B$5:$B$62,0)),0)*IFERROR(INDEX('D Fleet'!$K$5:$K$36,INT(($B141/E$5))+1)+(($B141/E$5)-INT(($B141/E$5)))*(INDEX('D Fleet'!$K$5:$K$36,INT(($B141/E$5))+2)-INDEX('D Fleet'!$K$5:$K$36,INT(($B141/E$5))+1)),0)</f>
        <v/>
      </c>
      <c r="F141" s="276">
        <f>IFERROR(INDEX('D Fleet'!$E$5:$E$62,MATCH(F$3-$B141,'D Fleet'!$B$5:$B$62,0)),0)*IFERROR(INDEX('D Fleet'!$K$5:$K$36,INT(($B141/F$5))+1)+(($B141/F$5)-INT(($B141/F$5)))*(INDEX('D Fleet'!$K$5:$K$36,INT(($B141/F$5))+2)-INDEX('D Fleet'!$K$5:$K$36,INT(($B141/F$5))+1)),0)</f>
        <v/>
      </c>
      <c r="G141" s="276">
        <f>IFERROR(INDEX('D Fleet'!$E$5:$E$62,MATCH(G$3-$B141,'D Fleet'!$B$5:$B$62,0)),0)*IFERROR(INDEX('D Fleet'!$K$5:$K$36,INT(($B141/G$5))+1)+(($B141/G$5)-INT(($B141/G$5)))*(INDEX('D Fleet'!$K$5:$K$36,INT(($B141/G$5))+2)-INDEX('D Fleet'!$K$5:$K$36,INT(($B141/G$5))+1)),0)</f>
        <v/>
      </c>
      <c r="H141" s="276">
        <f>IFERROR(INDEX('D Fleet'!$E$5:$E$62,MATCH(H$3-$B141,'D Fleet'!$B$5:$B$62,0)),0)*IFERROR(INDEX('D Fleet'!$K$5:$K$36,INT(($B141/H$5))+1)+(($B141/H$5)-INT(($B141/H$5)))*(INDEX('D Fleet'!$K$5:$K$36,INT(($B141/H$5))+2)-INDEX('D Fleet'!$K$5:$K$36,INT(($B141/H$5))+1)),0)</f>
        <v/>
      </c>
      <c r="I141" s="276">
        <f>IFERROR(INDEX('D Fleet'!$E$5:$E$62,MATCH(I$3-$B141,'D Fleet'!$B$5:$B$62,0)),0)*IFERROR(INDEX('D Fleet'!$K$5:$K$36,INT(($B141/I$5))+1)+(($B141/I$5)-INT(($B141/I$5)))*(INDEX('D Fleet'!$K$5:$K$36,INT(($B141/I$5))+2)-INDEX('D Fleet'!$K$5:$K$36,INT(($B141/I$5))+1)),0)</f>
        <v/>
      </c>
      <c r="J141" s="276">
        <f>IFERROR(INDEX('D Fleet'!$E$5:$E$62,MATCH(J$3-$B141,'D Fleet'!$B$5:$B$62,0)),0)*IFERROR(INDEX('D Fleet'!$K$5:$K$36,INT(($B141/J$5))+1)+(($B141/J$5)-INT(($B141/J$5)))*(INDEX('D Fleet'!$K$5:$K$36,INT(($B141/J$5))+2)-INDEX('D Fleet'!$K$5:$K$36,INT(($B141/J$5))+1)),0)</f>
        <v/>
      </c>
      <c r="K141" s="276">
        <f>IFERROR(INDEX('D Fleet'!$E$5:$E$62,MATCH(K$3-$B141,'D Fleet'!$B$5:$B$62,0)),0)*IFERROR(INDEX('D Fleet'!$K$5:$K$36,INT(($B141/K$5))+1)+(($B141/K$5)-INT(($B141/K$5)))*(INDEX('D Fleet'!$K$5:$K$36,INT(($B141/K$5))+2)-INDEX('D Fleet'!$K$5:$K$36,INT(($B141/K$5))+1)),0)</f>
        <v/>
      </c>
      <c r="L141" s="276">
        <f>IFERROR(INDEX('D Fleet'!$E$5:$E$62,MATCH(L$3-$B141,'D Fleet'!$B$5:$B$62,0)),0)*IFERROR(INDEX('D Fleet'!$K$5:$K$36,INT(($B141/L$5))+1)+(($B141/L$5)-INT(($B141/L$5)))*(INDEX('D Fleet'!$K$5:$K$36,INT(($B141/L$5))+2)-INDEX('D Fleet'!$K$5:$K$36,INT(($B141/L$5))+1)),0)</f>
        <v/>
      </c>
      <c r="M141" s="276">
        <f>IFERROR(INDEX('D Fleet'!$E$5:$E$62,MATCH(M$3-$B141,'D Fleet'!$B$5:$B$62,0)),0)*IFERROR(INDEX('D Fleet'!$K$5:$K$36,INT(($B141/M$5))+1)+(($B141/M$5)-INT(($B141/M$5)))*(INDEX('D Fleet'!$K$5:$K$36,INT(($B141/M$5))+2)-INDEX('D Fleet'!$K$5:$K$36,INT(($B141/M$5))+1)),0)</f>
        <v/>
      </c>
      <c r="N141" s="276">
        <f>IFERROR(INDEX('D Fleet'!$E$5:$E$62,MATCH(N$3-$B141,'D Fleet'!$B$5:$B$62,0)),0)*IFERROR(INDEX('D Fleet'!$K$5:$K$36,INT(($B141/N$5))+1)+(($B141/N$5)-INT(($B141/N$5)))*(INDEX('D Fleet'!$K$5:$K$36,INT(($B141/N$5))+2)-INDEX('D Fleet'!$K$5:$K$36,INT(($B141/N$5))+1)),0)</f>
        <v/>
      </c>
      <c r="P141" s="276">
        <f>E141*$D141*'E1 Fleet'!$D$99</f>
        <v/>
      </c>
      <c r="Q141" s="276">
        <f>F141*$D141*'E1 Fleet'!$D$99</f>
        <v/>
      </c>
      <c r="R141" s="276">
        <f>G141*$D141*'E1 Fleet'!$D$99</f>
        <v/>
      </c>
      <c r="S141" s="276">
        <f>H141*$D141*'E1 Fleet'!$D$99</f>
        <v/>
      </c>
      <c r="T141" s="276">
        <f>I141*$D141*'E1 Fleet'!$D$99</f>
        <v/>
      </c>
      <c r="U141" s="276">
        <f>J141*$D141*'E1 Fleet'!$D$99</f>
        <v/>
      </c>
      <c r="V141" s="276">
        <f>K141*$D141*'E1 Fleet'!$D$99</f>
        <v/>
      </c>
      <c r="W141" s="276">
        <f>L141*$D141*'E1 Fleet'!$D$99</f>
        <v/>
      </c>
      <c r="X141" s="276">
        <f>M141*$D141*'E1 Fleet'!$D$99</f>
        <v/>
      </c>
      <c r="Y141" s="276">
        <f>N141*$D141*'E1 Fleet'!$D$99</f>
        <v/>
      </c>
    </row>
    <row r="142">
      <c r="A142" t="inlineStr">
        <is>
          <t>Pickup</t>
        </is>
      </c>
      <c r="B142" t="n">
        <v>43</v>
      </c>
      <c r="C142" t="n">
        <v>3</v>
      </c>
      <c r="D142" s="275">
        <f>IF($B142=0,'E1 Fleet'!$D$93,1)*EXP(-'E1 Fleet'!$D$94*MAX($B142-6,0))</f>
        <v/>
      </c>
      <c r="E142" s="276">
        <f>IFERROR(INDEX('D Fleet'!$E$5:$E$62,MATCH(E$3-$B142,'D Fleet'!$B$5:$B$62,0)),0)*IFERROR(INDEX('D Fleet'!$K$5:$K$36,INT(($B142/E$5))+1)+(($B142/E$5)-INT(($B142/E$5)))*(INDEX('D Fleet'!$K$5:$K$36,INT(($B142/E$5))+2)-INDEX('D Fleet'!$K$5:$K$36,INT(($B142/E$5))+1)),0)</f>
        <v/>
      </c>
      <c r="F142" s="276">
        <f>IFERROR(INDEX('D Fleet'!$E$5:$E$62,MATCH(F$3-$B142,'D Fleet'!$B$5:$B$62,0)),0)*IFERROR(INDEX('D Fleet'!$K$5:$K$36,INT(($B142/F$5))+1)+(($B142/F$5)-INT(($B142/F$5)))*(INDEX('D Fleet'!$K$5:$K$36,INT(($B142/F$5))+2)-INDEX('D Fleet'!$K$5:$K$36,INT(($B142/F$5))+1)),0)</f>
        <v/>
      </c>
      <c r="G142" s="276">
        <f>IFERROR(INDEX('D Fleet'!$E$5:$E$62,MATCH(G$3-$B142,'D Fleet'!$B$5:$B$62,0)),0)*IFERROR(INDEX('D Fleet'!$K$5:$K$36,INT(($B142/G$5))+1)+(($B142/G$5)-INT(($B142/G$5)))*(INDEX('D Fleet'!$K$5:$K$36,INT(($B142/G$5))+2)-INDEX('D Fleet'!$K$5:$K$36,INT(($B142/G$5))+1)),0)</f>
        <v/>
      </c>
      <c r="H142" s="276">
        <f>IFERROR(INDEX('D Fleet'!$E$5:$E$62,MATCH(H$3-$B142,'D Fleet'!$B$5:$B$62,0)),0)*IFERROR(INDEX('D Fleet'!$K$5:$K$36,INT(($B142/H$5))+1)+(($B142/H$5)-INT(($B142/H$5)))*(INDEX('D Fleet'!$K$5:$K$36,INT(($B142/H$5))+2)-INDEX('D Fleet'!$K$5:$K$36,INT(($B142/H$5))+1)),0)</f>
        <v/>
      </c>
      <c r="I142" s="276">
        <f>IFERROR(INDEX('D Fleet'!$E$5:$E$62,MATCH(I$3-$B142,'D Fleet'!$B$5:$B$62,0)),0)*IFERROR(INDEX('D Fleet'!$K$5:$K$36,INT(($B142/I$5))+1)+(($B142/I$5)-INT(($B142/I$5)))*(INDEX('D Fleet'!$K$5:$K$36,INT(($B142/I$5))+2)-INDEX('D Fleet'!$K$5:$K$36,INT(($B142/I$5))+1)),0)</f>
        <v/>
      </c>
      <c r="J142" s="276">
        <f>IFERROR(INDEX('D Fleet'!$E$5:$E$62,MATCH(J$3-$B142,'D Fleet'!$B$5:$B$62,0)),0)*IFERROR(INDEX('D Fleet'!$K$5:$K$36,INT(($B142/J$5))+1)+(($B142/J$5)-INT(($B142/J$5)))*(INDEX('D Fleet'!$K$5:$K$36,INT(($B142/J$5))+2)-INDEX('D Fleet'!$K$5:$K$36,INT(($B142/J$5))+1)),0)</f>
        <v/>
      </c>
      <c r="K142" s="276">
        <f>IFERROR(INDEX('D Fleet'!$E$5:$E$62,MATCH(K$3-$B142,'D Fleet'!$B$5:$B$62,0)),0)*IFERROR(INDEX('D Fleet'!$K$5:$K$36,INT(($B142/K$5))+1)+(($B142/K$5)-INT(($B142/K$5)))*(INDEX('D Fleet'!$K$5:$K$36,INT(($B142/K$5))+2)-INDEX('D Fleet'!$K$5:$K$36,INT(($B142/K$5))+1)),0)</f>
        <v/>
      </c>
      <c r="L142" s="276">
        <f>IFERROR(INDEX('D Fleet'!$E$5:$E$62,MATCH(L$3-$B142,'D Fleet'!$B$5:$B$62,0)),0)*IFERROR(INDEX('D Fleet'!$K$5:$K$36,INT(($B142/L$5))+1)+(($B142/L$5)-INT(($B142/L$5)))*(INDEX('D Fleet'!$K$5:$K$36,INT(($B142/L$5))+2)-INDEX('D Fleet'!$K$5:$K$36,INT(($B142/L$5))+1)),0)</f>
        <v/>
      </c>
      <c r="M142" s="276">
        <f>IFERROR(INDEX('D Fleet'!$E$5:$E$62,MATCH(M$3-$B142,'D Fleet'!$B$5:$B$62,0)),0)*IFERROR(INDEX('D Fleet'!$K$5:$K$36,INT(($B142/M$5))+1)+(($B142/M$5)-INT(($B142/M$5)))*(INDEX('D Fleet'!$K$5:$K$36,INT(($B142/M$5))+2)-INDEX('D Fleet'!$K$5:$K$36,INT(($B142/M$5))+1)),0)</f>
        <v/>
      </c>
      <c r="N142" s="276">
        <f>IFERROR(INDEX('D Fleet'!$E$5:$E$62,MATCH(N$3-$B142,'D Fleet'!$B$5:$B$62,0)),0)*IFERROR(INDEX('D Fleet'!$K$5:$K$36,INT(($B142/N$5))+1)+(($B142/N$5)-INT(($B142/N$5)))*(INDEX('D Fleet'!$K$5:$K$36,INT(($B142/N$5))+2)-INDEX('D Fleet'!$K$5:$K$36,INT(($B142/N$5))+1)),0)</f>
        <v/>
      </c>
      <c r="P142" s="276">
        <f>E142*$D142*'E1 Fleet'!$D$99</f>
        <v/>
      </c>
      <c r="Q142" s="276">
        <f>F142*$D142*'E1 Fleet'!$D$99</f>
        <v/>
      </c>
      <c r="R142" s="276">
        <f>G142*$D142*'E1 Fleet'!$D$99</f>
        <v/>
      </c>
      <c r="S142" s="276">
        <f>H142*$D142*'E1 Fleet'!$D$99</f>
        <v/>
      </c>
      <c r="T142" s="276">
        <f>I142*$D142*'E1 Fleet'!$D$99</f>
        <v/>
      </c>
      <c r="U142" s="276">
        <f>J142*$D142*'E1 Fleet'!$D$99</f>
        <v/>
      </c>
      <c r="V142" s="276">
        <f>K142*$D142*'E1 Fleet'!$D$99</f>
        <v/>
      </c>
      <c r="W142" s="276">
        <f>L142*$D142*'E1 Fleet'!$D$99</f>
        <v/>
      </c>
      <c r="X142" s="276">
        <f>M142*$D142*'E1 Fleet'!$D$99</f>
        <v/>
      </c>
      <c r="Y142" s="276">
        <f>N142*$D142*'E1 Fleet'!$D$99</f>
        <v/>
      </c>
    </row>
    <row r="143">
      <c r="A143" t="inlineStr">
        <is>
          <t>Pickup</t>
        </is>
      </c>
      <c r="B143" t="n">
        <v>44</v>
      </c>
      <c r="C143" t="n">
        <v>3</v>
      </c>
      <c r="D143" s="275">
        <f>IF($B143=0,'E1 Fleet'!$D$93,1)*EXP(-'E1 Fleet'!$D$94*MAX($B143-6,0))</f>
        <v/>
      </c>
      <c r="E143" s="276">
        <f>IFERROR(INDEX('D Fleet'!$E$5:$E$62,MATCH(E$3-$B143,'D Fleet'!$B$5:$B$62,0)),0)*IFERROR(INDEX('D Fleet'!$K$5:$K$36,INT(($B143/E$5))+1)+(($B143/E$5)-INT(($B143/E$5)))*(INDEX('D Fleet'!$K$5:$K$36,INT(($B143/E$5))+2)-INDEX('D Fleet'!$K$5:$K$36,INT(($B143/E$5))+1)),0)</f>
        <v/>
      </c>
      <c r="F143" s="276">
        <f>IFERROR(INDEX('D Fleet'!$E$5:$E$62,MATCH(F$3-$B143,'D Fleet'!$B$5:$B$62,0)),0)*IFERROR(INDEX('D Fleet'!$K$5:$K$36,INT(($B143/F$5))+1)+(($B143/F$5)-INT(($B143/F$5)))*(INDEX('D Fleet'!$K$5:$K$36,INT(($B143/F$5))+2)-INDEX('D Fleet'!$K$5:$K$36,INT(($B143/F$5))+1)),0)</f>
        <v/>
      </c>
      <c r="G143" s="276">
        <f>IFERROR(INDEX('D Fleet'!$E$5:$E$62,MATCH(G$3-$B143,'D Fleet'!$B$5:$B$62,0)),0)*IFERROR(INDEX('D Fleet'!$K$5:$K$36,INT(($B143/G$5))+1)+(($B143/G$5)-INT(($B143/G$5)))*(INDEX('D Fleet'!$K$5:$K$36,INT(($B143/G$5))+2)-INDEX('D Fleet'!$K$5:$K$36,INT(($B143/G$5))+1)),0)</f>
        <v/>
      </c>
      <c r="H143" s="276">
        <f>IFERROR(INDEX('D Fleet'!$E$5:$E$62,MATCH(H$3-$B143,'D Fleet'!$B$5:$B$62,0)),0)*IFERROR(INDEX('D Fleet'!$K$5:$K$36,INT(($B143/H$5))+1)+(($B143/H$5)-INT(($B143/H$5)))*(INDEX('D Fleet'!$K$5:$K$36,INT(($B143/H$5))+2)-INDEX('D Fleet'!$K$5:$K$36,INT(($B143/H$5))+1)),0)</f>
        <v/>
      </c>
      <c r="I143" s="276">
        <f>IFERROR(INDEX('D Fleet'!$E$5:$E$62,MATCH(I$3-$B143,'D Fleet'!$B$5:$B$62,0)),0)*IFERROR(INDEX('D Fleet'!$K$5:$K$36,INT(($B143/I$5))+1)+(($B143/I$5)-INT(($B143/I$5)))*(INDEX('D Fleet'!$K$5:$K$36,INT(($B143/I$5))+2)-INDEX('D Fleet'!$K$5:$K$36,INT(($B143/I$5))+1)),0)</f>
        <v/>
      </c>
      <c r="J143" s="276">
        <f>IFERROR(INDEX('D Fleet'!$E$5:$E$62,MATCH(J$3-$B143,'D Fleet'!$B$5:$B$62,0)),0)*IFERROR(INDEX('D Fleet'!$K$5:$K$36,INT(($B143/J$5))+1)+(($B143/J$5)-INT(($B143/J$5)))*(INDEX('D Fleet'!$K$5:$K$36,INT(($B143/J$5))+2)-INDEX('D Fleet'!$K$5:$K$36,INT(($B143/J$5))+1)),0)</f>
        <v/>
      </c>
      <c r="K143" s="276">
        <f>IFERROR(INDEX('D Fleet'!$E$5:$E$62,MATCH(K$3-$B143,'D Fleet'!$B$5:$B$62,0)),0)*IFERROR(INDEX('D Fleet'!$K$5:$K$36,INT(($B143/K$5))+1)+(($B143/K$5)-INT(($B143/K$5)))*(INDEX('D Fleet'!$K$5:$K$36,INT(($B143/K$5))+2)-INDEX('D Fleet'!$K$5:$K$36,INT(($B143/K$5))+1)),0)</f>
        <v/>
      </c>
      <c r="L143" s="276">
        <f>IFERROR(INDEX('D Fleet'!$E$5:$E$62,MATCH(L$3-$B143,'D Fleet'!$B$5:$B$62,0)),0)*IFERROR(INDEX('D Fleet'!$K$5:$K$36,INT(($B143/L$5))+1)+(($B143/L$5)-INT(($B143/L$5)))*(INDEX('D Fleet'!$K$5:$K$36,INT(($B143/L$5))+2)-INDEX('D Fleet'!$K$5:$K$36,INT(($B143/L$5))+1)),0)</f>
        <v/>
      </c>
      <c r="M143" s="276">
        <f>IFERROR(INDEX('D Fleet'!$E$5:$E$62,MATCH(M$3-$B143,'D Fleet'!$B$5:$B$62,0)),0)*IFERROR(INDEX('D Fleet'!$K$5:$K$36,INT(($B143/M$5))+1)+(($B143/M$5)-INT(($B143/M$5)))*(INDEX('D Fleet'!$K$5:$K$36,INT(($B143/M$5))+2)-INDEX('D Fleet'!$K$5:$K$36,INT(($B143/M$5))+1)),0)</f>
        <v/>
      </c>
      <c r="N143" s="276">
        <f>IFERROR(INDEX('D Fleet'!$E$5:$E$62,MATCH(N$3-$B143,'D Fleet'!$B$5:$B$62,0)),0)*IFERROR(INDEX('D Fleet'!$K$5:$K$36,INT(($B143/N$5))+1)+(($B143/N$5)-INT(($B143/N$5)))*(INDEX('D Fleet'!$K$5:$K$36,INT(($B143/N$5))+2)-INDEX('D Fleet'!$K$5:$K$36,INT(($B143/N$5))+1)),0)</f>
        <v/>
      </c>
      <c r="P143" s="276">
        <f>E143*$D143*'E1 Fleet'!$D$99</f>
        <v/>
      </c>
      <c r="Q143" s="276">
        <f>F143*$D143*'E1 Fleet'!$D$99</f>
        <v/>
      </c>
      <c r="R143" s="276">
        <f>G143*$D143*'E1 Fleet'!$D$99</f>
        <v/>
      </c>
      <c r="S143" s="276">
        <f>H143*$D143*'E1 Fleet'!$D$99</f>
        <v/>
      </c>
      <c r="T143" s="276">
        <f>I143*$D143*'E1 Fleet'!$D$99</f>
        <v/>
      </c>
      <c r="U143" s="276">
        <f>J143*$D143*'E1 Fleet'!$D$99</f>
        <v/>
      </c>
      <c r="V143" s="276">
        <f>K143*$D143*'E1 Fleet'!$D$99</f>
        <v/>
      </c>
      <c r="W143" s="276">
        <f>L143*$D143*'E1 Fleet'!$D$99</f>
        <v/>
      </c>
      <c r="X143" s="276">
        <f>M143*$D143*'E1 Fleet'!$D$99</f>
        <v/>
      </c>
      <c r="Y143" s="276">
        <f>N143*$D143*'E1 Fleet'!$D$99</f>
        <v/>
      </c>
    </row>
    <row r="144">
      <c r="A144" t="inlineStr">
        <is>
          <t>Pickup</t>
        </is>
      </c>
      <c r="B144" t="n">
        <v>45</v>
      </c>
      <c r="C144" t="n">
        <v>3</v>
      </c>
      <c r="D144" s="275">
        <f>IF($B144=0,'E1 Fleet'!$D$93,1)*EXP(-'E1 Fleet'!$D$94*MAX($B144-6,0))</f>
        <v/>
      </c>
      <c r="E144" s="276">
        <f>IFERROR(INDEX('D Fleet'!$E$5:$E$62,MATCH(E$3-$B144,'D Fleet'!$B$5:$B$62,0)),0)*IFERROR(INDEX('D Fleet'!$K$5:$K$36,INT(($B144/E$5))+1)+(($B144/E$5)-INT(($B144/E$5)))*(INDEX('D Fleet'!$K$5:$K$36,INT(($B144/E$5))+2)-INDEX('D Fleet'!$K$5:$K$36,INT(($B144/E$5))+1)),0)</f>
        <v/>
      </c>
      <c r="F144" s="276">
        <f>IFERROR(INDEX('D Fleet'!$E$5:$E$62,MATCH(F$3-$B144,'D Fleet'!$B$5:$B$62,0)),0)*IFERROR(INDEX('D Fleet'!$K$5:$K$36,INT(($B144/F$5))+1)+(($B144/F$5)-INT(($B144/F$5)))*(INDEX('D Fleet'!$K$5:$K$36,INT(($B144/F$5))+2)-INDEX('D Fleet'!$K$5:$K$36,INT(($B144/F$5))+1)),0)</f>
        <v/>
      </c>
      <c r="G144" s="276">
        <f>IFERROR(INDEX('D Fleet'!$E$5:$E$62,MATCH(G$3-$B144,'D Fleet'!$B$5:$B$62,0)),0)*IFERROR(INDEX('D Fleet'!$K$5:$K$36,INT(($B144/G$5))+1)+(($B144/G$5)-INT(($B144/G$5)))*(INDEX('D Fleet'!$K$5:$K$36,INT(($B144/G$5))+2)-INDEX('D Fleet'!$K$5:$K$36,INT(($B144/G$5))+1)),0)</f>
        <v/>
      </c>
      <c r="H144" s="276">
        <f>IFERROR(INDEX('D Fleet'!$E$5:$E$62,MATCH(H$3-$B144,'D Fleet'!$B$5:$B$62,0)),0)*IFERROR(INDEX('D Fleet'!$K$5:$K$36,INT(($B144/H$5))+1)+(($B144/H$5)-INT(($B144/H$5)))*(INDEX('D Fleet'!$K$5:$K$36,INT(($B144/H$5))+2)-INDEX('D Fleet'!$K$5:$K$36,INT(($B144/H$5))+1)),0)</f>
        <v/>
      </c>
      <c r="I144" s="276">
        <f>IFERROR(INDEX('D Fleet'!$E$5:$E$62,MATCH(I$3-$B144,'D Fleet'!$B$5:$B$62,0)),0)*IFERROR(INDEX('D Fleet'!$K$5:$K$36,INT(($B144/I$5))+1)+(($B144/I$5)-INT(($B144/I$5)))*(INDEX('D Fleet'!$K$5:$K$36,INT(($B144/I$5))+2)-INDEX('D Fleet'!$K$5:$K$36,INT(($B144/I$5))+1)),0)</f>
        <v/>
      </c>
      <c r="J144" s="276">
        <f>IFERROR(INDEX('D Fleet'!$E$5:$E$62,MATCH(J$3-$B144,'D Fleet'!$B$5:$B$62,0)),0)*IFERROR(INDEX('D Fleet'!$K$5:$K$36,INT(($B144/J$5))+1)+(($B144/J$5)-INT(($B144/J$5)))*(INDEX('D Fleet'!$K$5:$K$36,INT(($B144/J$5))+2)-INDEX('D Fleet'!$K$5:$K$36,INT(($B144/J$5))+1)),0)</f>
        <v/>
      </c>
      <c r="K144" s="276">
        <f>IFERROR(INDEX('D Fleet'!$E$5:$E$62,MATCH(K$3-$B144,'D Fleet'!$B$5:$B$62,0)),0)*IFERROR(INDEX('D Fleet'!$K$5:$K$36,INT(($B144/K$5))+1)+(($B144/K$5)-INT(($B144/K$5)))*(INDEX('D Fleet'!$K$5:$K$36,INT(($B144/K$5))+2)-INDEX('D Fleet'!$K$5:$K$36,INT(($B144/K$5))+1)),0)</f>
        <v/>
      </c>
      <c r="L144" s="276">
        <f>IFERROR(INDEX('D Fleet'!$E$5:$E$62,MATCH(L$3-$B144,'D Fleet'!$B$5:$B$62,0)),0)*IFERROR(INDEX('D Fleet'!$K$5:$K$36,INT(($B144/L$5))+1)+(($B144/L$5)-INT(($B144/L$5)))*(INDEX('D Fleet'!$K$5:$K$36,INT(($B144/L$5))+2)-INDEX('D Fleet'!$K$5:$K$36,INT(($B144/L$5))+1)),0)</f>
        <v/>
      </c>
      <c r="M144" s="276">
        <f>IFERROR(INDEX('D Fleet'!$E$5:$E$62,MATCH(M$3-$B144,'D Fleet'!$B$5:$B$62,0)),0)*IFERROR(INDEX('D Fleet'!$K$5:$K$36,INT(($B144/M$5))+1)+(($B144/M$5)-INT(($B144/M$5)))*(INDEX('D Fleet'!$K$5:$K$36,INT(($B144/M$5))+2)-INDEX('D Fleet'!$K$5:$K$36,INT(($B144/M$5))+1)),0)</f>
        <v/>
      </c>
      <c r="N144" s="276">
        <f>IFERROR(INDEX('D Fleet'!$E$5:$E$62,MATCH(N$3-$B144,'D Fleet'!$B$5:$B$62,0)),0)*IFERROR(INDEX('D Fleet'!$K$5:$K$36,INT(($B144/N$5))+1)+(($B144/N$5)-INT(($B144/N$5)))*(INDEX('D Fleet'!$K$5:$K$36,INT(($B144/N$5))+2)-INDEX('D Fleet'!$K$5:$K$36,INT(($B144/N$5))+1)),0)</f>
        <v/>
      </c>
      <c r="P144" s="276">
        <f>E144*$D144*'E1 Fleet'!$D$99</f>
        <v/>
      </c>
      <c r="Q144" s="276">
        <f>F144*$D144*'E1 Fleet'!$D$99</f>
        <v/>
      </c>
      <c r="R144" s="276">
        <f>G144*$D144*'E1 Fleet'!$D$99</f>
        <v/>
      </c>
      <c r="S144" s="276">
        <f>H144*$D144*'E1 Fleet'!$D$99</f>
        <v/>
      </c>
      <c r="T144" s="276">
        <f>I144*$D144*'E1 Fleet'!$D$99</f>
        <v/>
      </c>
      <c r="U144" s="276">
        <f>J144*$D144*'E1 Fleet'!$D$99</f>
        <v/>
      </c>
      <c r="V144" s="276">
        <f>K144*$D144*'E1 Fleet'!$D$99</f>
        <v/>
      </c>
      <c r="W144" s="276">
        <f>L144*$D144*'E1 Fleet'!$D$99</f>
        <v/>
      </c>
      <c r="X144" s="276">
        <f>M144*$D144*'E1 Fleet'!$D$99</f>
        <v/>
      </c>
      <c r="Y144" s="276">
        <f>N144*$D144*'E1 Fleet'!$D$99</f>
        <v/>
      </c>
    </row>
    <row r="145">
      <c r="A145" t="inlineStr">
        <is>
          <t>Van</t>
        </is>
      </c>
      <c r="B145" t="n">
        <v>0</v>
      </c>
      <c r="C145" t="n">
        <v>0</v>
      </c>
      <c r="D145" s="275">
        <f>IF($B145=0,'E1 Fleet'!$D$93,1)*EXP(-'E1 Fleet'!$D$94*MAX($B145-6,0))</f>
        <v/>
      </c>
      <c r="E145" s="276">
        <f>IFERROR(INDEX('D Fleet'!$F$5:$F$62,MATCH(E$3-$B145,'D Fleet'!$B$5:$B$62,0)),0)*IFERROR(INDEX('D Fleet'!$K$5:$K$36,INT(($B145/E$5))+1)+(($B145/E$5)-INT(($B145/E$5)))*(INDEX('D Fleet'!$K$5:$K$36,INT(($B145/E$5))+2)-INDEX('D Fleet'!$K$5:$K$36,INT(($B145/E$5))+1)),0)</f>
        <v/>
      </c>
      <c r="F145" s="276">
        <f>IFERROR(INDEX('D Fleet'!$F$5:$F$62,MATCH(F$3-$B145,'D Fleet'!$B$5:$B$62,0)),0)*IFERROR(INDEX('D Fleet'!$K$5:$K$36,INT(($B145/F$5))+1)+(($B145/F$5)-INT(($B145/F$5)))*(INDEX('D Fleet'!$K$5:$K$36,INT(($B145/F$5))+2)-INDEX('D Fleet'!$K$5:$K$36,INT(($B145/F$5))+1)),0)</f>
        <v/>
      </c>
      <c r="G145" s="276">
        <f>IFERROR(INDEX('D Fleet'!$F$5:$F$62,MATCH(G$3-$B145,'D Fleet'!$B$5:$B$62,0)),0)*IFERROR(INDEX('D Fleet'!$K$5:$K$36,INT(($B145/G$5))+1)+(($B145/G$5)-INT(($B145/G$5)))*(INDEX('D Fleet'!$K$5:$K$36,INT(($B145/G$5))+2)-INDEX('D Fleet'!$K$5:$K$36,INT(($B145/G$5))+1)),0)</f>
        <v/>
      </c>
      <c r="H145" s="276">
        <f>IFERROR(INDEX('D Fleet'!$F$5:$F$62,MATCH(H$3-$B145,'D Fleet'!$B$5:$B$62,0)),0)*IFERROR(INDEX('D Fleet'!$K$5:$K$36,INT(($B145/H$5))+1)+(($B145/H$5)-INT(($B145/H$5)))*(INDEX('D Fleet'!$K$5:$K$36,INT(($B145/H$5))+2)-INDEX('D Fleet'!$K$5:$K$36,INT(($B145/H$5))+1)),0)</f>
        <v/>
      </c>
      <c r="I145" s="276">
        <f>IFERROR(INDEX('D Fleet'!$F$5:$F$62,MATCH(I$3-$B145,'D Fleet'!$B$5:$B$62,0)),0)*IFERROR(INDEX('D Fleet'!$K$5:$K$36,INT(($B145/I$5))+1)+(($B145/I$5)-INT(($B145/I$5)))*(INDEX('D Fleet'!$K$5:$K$36,INT(($B145/I$5))+2)-INDEX('D Fleet'!$K$5:$K$36,INT(($B145/I$5))+1)),0)</f>
        <v/>
      </c>
      <c r="J145" s="276">
        <f>IFERROR(INDEX('D Fleet'!$F$5:$F$62,MATCH(J$3-$B145,'D Fleet'!$B$5:$B$62,0)),0)*IFERROR(INDEX('D Fleet'!$K$5:$K$36,INT(($B145/J$5))+1)+(($B145/J$5)-INT(($B145/J$5)))*(INDEX('D Fleet'!$K$5:$K$36,INT(($B145/J$5))+2)-INDEX('D Fleet'!$K$5:$K$36,INT(($B145/J$5))+1)),0)</f>
        <v/>
      </c>
      <c r="K145" s="276">
        <f>IFERROR(INDEX('D Fleet'!$F$5:$F$62,MATCH(K$3-$B145,'D Fleet'!$B$5:$B$62,0)),0)*IFERROR(INDEX('D Fleet'!$K$5:$K$36,INT(($B145/K$5))+1)+(($B145/K$5)-INT(($B145/K$5)))*(INDEX('D Fleet'!$K$5:$K$36,INT(($B145/K$5))+2)-INDEX('D Fleet'!$K$5:$K$36,INT(($B145/K$5))+1)),0)</f>
        <v/>
      </c>
      <c r="L145" s="276">
        <f>IFERROR(INDEX('D Fleet'!$F$5:$F$62,MATCH(L$3-$B145,'D Fleet'!$B$5:$B$62,0)),0)*IFERROR(INDEX('D Fleet'!$K$5:$K$36,INT(($B145/L$5))+1)+(($B145/L$5)-INT(($B145/L$5)))*(INDEX('D Fleet'!$K$5:$K$36,INT(($B145/L$5))+2)-INDEX('D Fleet'!$K$5:$K$36,INT(($B145/L$5))+1)),0)</f>
        <v/>
      </c>
      <c r="M145" s="276">
        <f>IFERROR(INDEX('D Fleet'!$F$5:$F$62,MATCH(M$3-$B145,'D Fleet'!$B$5:$B$62,0)),0)*IFERROR(INDEX('D Fleet'!$K$5:$K$36,INT(($B145/M$5))+1)+(($B145/M$5)-INT(($B145/M$5)))*(INDEX('D Fleet'!$K$5:$K$36,INT(($B145/M$5))+2)-INDEX('D Fleet'!$K$5:$K$36,INT(($B145/M$5))+1)),0)</f>
        <v/>
      </c>
      <c r="N145" s="276">
        <f>IFERROR(INDEX('D Fleet'!$F$5:$F$62,MATCH(N$3-$B145,'D Fleet'!$B$5:$B$62,0)),0)*IFERROR(INDEX('D Fleet'!$K$5:$K$36,INT(($B145/N$5))+1)+(($B145/N$5)-INT(($B145/N$5)))*(INDEX('D Fleet'!$K$5:$K$36,INT(($B145/N$5))+2)-INDEX('D Fleet'!$K$5:$K$36,INT(($B145/N$5))+1)),0)</f>
        <v/>
      </c>
      <c r="P145" s="276">
        <f>E145*$D145*'E1 Fleet'!$D$100</f>
        <v/>
      </c>
      <c r="Q145" s="276">
        <f>F145*$D145*'E1 Fleet'!$D$100</f>
        <v/>
      </c>
      <c r="R145" s="276">
        <f>G145*$D145*'E1 Fleet'!$D$100</f>
        <v/>
      </c>
      <c r="S145" s="276">
        <f>H145*$D145*'E1 Fleet'!$D$100</f>
        <v/>
      </c>
      <c r="T145" s="276">
        <f>I145*$D145*'E1 Fleet'!$D$100</f>
        <v/>
      </c>
      <c r="U145" s="276">
        <f>J145*$D145*'E1 Fleet'!$D$100</f>
        <v/>
      </c>
      <c r="V145" s="276">
        <f>K145*$D145*'E1 Fleet'!$D$100</f>
        <v/>
      </c>
      <c r="W145" s="276">
        <f>L145*$D145*'E1 Fleet'!$D$100</f>
        <v/>
      </c>
      <c r="X145" s="276">
        <f>M145*$D145*'E1 Fleet'!$D$100</f>
        <v/>
      </c>
      <c r="Y145" s="276">
        <f>N145*$D145*'E1 Fleet'!$D$100</f>
        <v/>
      </c>
    </row>
    <row r="146">
      <c r="A146" t="inlineStr">
        <is>
          <t>Van</t>
        </is>
      </c>
      <c r="B146" t="n">
        <v>1</v>
      </c>
      <c r="C146" t="n">
        <v>1</v>
      </c>
      <c r="D146" s="275">
        <f>IF($B146=0,'E1 Fleet'!$D$93,1)*EXP(-'E1 Fleet'!$D$94*MAX($B146-6,0))</f>
        <v/>
      </c>
      <c r="E146" s="276">
        <f>IFERROR(INDEX('D Fleet'!$F$5:$F$62,MATCH(E$3-$B146,'D Fleet'!$B$5:$B$62,0)),0)*IFERROR(INDEX('D Fleet'!$K$5:$K$36,INT(($B146/E$5))+1)+(($B146/E$5)-INT(($B146/E$5)))*(INDEX('D Fleet'!$K$5:$K$36,INT(($B146/E$5))+2)-INDEX('D Fleet'!$K$5:$K$36,INT(($B146/E$5))+1)),0)</f>
        <v/>
      </c>
      <c r="F146" s="276">
        <f>IFERROR(INDEX('D Fleet'!$F$5:$F$62,MATCH(F$3-$B146,'D Fleet'!$B$5:$B$62,0)),0)*IFERROR(INDEX('D Fleet'!$K$5:$K$36,INT(($B146/F$5))+1)+(($B146/F$5)-INT(($B146/F$5)))*(INDEX('D Fleet'!$K$5:$K$36,INT(($B146/F$5))+2)-INDEX('D Fleet'!$K$5:$K$36,INT(($B146/F$5))+1)),0)</f>
        <v/>
      </c>
      <c r="G146" s="276">
        <f>IFERROR(INDEX('D Fleet'!$F$5:$F$62,MATCH(G$3-$B146,'D Fleet'!$B$5:$B$62,0)),0)*IFERROR(INDEX('D Fleet'!$K$5:$K$36,INT(($B146/G$5))+1)+(($B146/G$5)-INT(($B146/G$5)))*(INDEX('D Fleet'!$K$5:$K$36,INT(($B146/G$5))+2)-INDEX('D Fleet'!$K$5:$K$36,INT(($B146/G$5))+1)),0)</f>
        <v/>
      </c>
      <c r="H146" s="276">
        <f>IFERROR(INDEX('D Fleet'!$F$5:$F$62,MATCH(H$3-$B146,'D Fleet'!$B$5:$B$62,0)),0)*IFERROR(INDEX('D Fleet'!$K$5:$K$36,INT(($B146/H$5))+1)+(($B146/H$5)-INT(($B146/H$5)))*(INDEX('D Fleet'!$K$5:$K$36,INT(($B146/H$5))+2)-INDEX('D Fleet'!$K$5:$K$36,INT(($B146/H$5))+1)),0)</f>
        <v/>
      </c>
      <c r="I146" s="276">
        <f>IFERROR(INDEX('D Fleet'!$F$5:$F$62,MATCH(I$3-$B146,'D Fleet'!$B$5:$B$62,0)),0)*IFERROR(INDEX('D Fleet'!$K$5:$K$36,INT(($B146/I$5))+1)+(($B146/I$5)-INT(($B146/I$5)))*(INDEX('D Fleet'!$K$5:$K$36,INT(($B146/I$5))+2)-INDEX('D Fleet'!$K$5:$K$36,INT(($B146/I$5))+1)),0)</f>
        <v/>
      </c>
      <c r="J146" s="276">
        <f>IFERROR(INDEX('D Fleet'!$F$5:$F$62,MATCH(J$3-$B146,'D Fleet'!$B$5:$B$62,0)),0)*IFERROR(INDEX('D Fleet'!$K$5:$K$36,INT(($B146/J$5))+1)+(($B146/J$5)-INT(($B146/J$5)))*(INDEX('D Fleet'!$K$5:$K$36,INT(($B146/J$5))+2)-INDEX('D Fleet'!$K$5:$K$36,INT(($B146/J$5))+1)),0)</f>
        <v/>
      </c>
      <c r="K146" s="276">
        <f>IFERROR(INDEX('D Fleet'!$F$5:$F$62,MATCH(K$3-$B146,'D Fleet'!$B$5:$B$62,0)),0)*IFERROR(INDEX('D Fleet'!$K$5:$K$36,INT(($B146/K$5))+1)+(($B146/K$5)-INT(($B146/K$5)))*(INDEX('D Fleet'!$K$5:$K$36,INT(($B146/K$5))+2)-INDEX('D Fleet'!$K$5:$K$36,INT(($B146/K$5))+1)),0)</f>
        <v/>
      </c>
      <c r="L146" s="276">
        <f>IFERROR(INDEX('D Fleet'!$F$5:$F$62,MATCH(L$3-$B146,'D Fleet'!$B$5:$B$62,0)),0)*IFERROR(INDEX('D Fleet'!$K$5:$K$36,INT(($B146/L$5))+1)+(($B146/L$5)-INT(($B146/L$5)))*(INDEX('D Fleet'!$K$5:$K$36,INT(($B146/L$5))+2)-INDEX('D Fleet'!$K$5:$K$36,INT(($B146/L$5))+1)),0)</f>
        <v/>
      </c>
      <c r="M146" s="276">
        <f>IFERROR(INDEX('D Fleet'!$F$5:$F$62,MATCH(M$3-$B146,'D Fleet'!$B$5:$B$62,0)),0)*IFERROR(INDEX('D Fleet'!$K$5:$K$36,INT(($B146/M$5))+1)+(($B146/M$5)-INT(($B146/M$5)))*(INDEX('D Fleet'!$K$5:$K$36,INT(($B146/M$5))+2)-INDEX('D Fleet'!$K$5:$K$36,INT(($B146/M$5))+1)),0)</f>
        <v/>
      </c>
      <c r="N146" s="276">
        <f>IFERROR(INDEX('D Fleet'!$F$5:$F$62,MATCH(N$3-$B146,'D Fleet'!$B$5:$B$62,0)),0)*IFERROR(INDEX('D Fleet'!$K$5:$K$36,INT(($B146/N$5))+1)+(($B146/N$5)-INT(($B146/N$5)))*(INDEX('D Fleet'!$K$5:$K$36,INT(($B146/N$5))+2)-INDEX('D Fleet'!$K$5:$K$36,INT(($B146/N$5))+1)),0)</f>
        <v/>
      </c>
      <c r="P146" s="276">
        <f>E146*$D146*'E1 Fleet'!$D$100</f>
        <v/>
      </c>
      <c r="Q146" s="276">
        <f>F146*$D146*'E1 Fleet'!$D$100</f>
        <v/>
      </c>
      <c r="R146" s="276">
        <f>G146*$D146*'E1 Fleet'!$D$100</f>
        <v/>
      </c>
      <c r="S146" s="276">
        <f>H146*$D146*'E1 Fleet'!$D$100</f>
        <v/>
      </c>
      <c r="T146" s="276">
        <f>I146*$D146*'E1 Fleet'!$D$100</f>
        <v/>
      </c>
      <c r="U146" s="276">
        <f>J146*$D146*'E1 Fleet'!$D$100</f>
        <v/>
      </c>
      <c r="V146" s="276">
        <f>K146*$D146*'E1 Fleet'!$D$100</f>
        <v/>
      </c>
      <c r="W146" s="276">
        <f>L146*$D146*'E1 Fleet'!$D$100</f>
        <v/>
      </c>
      <c r="X146" s="276">
        <f>M146*$D146*'E1 Fleet'!$D$100</f>
        <v/>
      </c>
      <c r="Y146" s="276">
        <f>N146*$D146*'E1 Fleet'!$D$100</f>
        <v/>
      </c>
    </row>
    <row r="147">
      <c r="A147" t="inlineStr">
        <is>
          <t>Van</t>
        </is>
      </c>
      <c r="B147" t="n">
        <v>2</v>
      </c>
      <c r="C147" t="n">
        <v>1</v>
      </c>
      <c r="D147" s="275">
        <f>IF($B147=0,'E1 Fleet'!$D$93,1)*EXP(-'E1 Fleet'!$D$94*MAX($B147-6,0))</f>
        <v/>
      </c>
      <c r="E147" s="276">
        <f>IFERROR(INDEX('D Fleet'!$F$5:$F$62,MATCH(E$3-$B147,'D Fleet'!$B$5:$B$62,0)),0)*IFERROR(INDEX('D Fleet'!$K$5:$K$36,INT(($B147/E$5))+1)+(($B147/E$5)-INT(($B147/E$5)))*(INDEX('D Fleet'!$K$5:$K$36,INT(($B147/E$5))+2)-INDEX('D Fleet'!$K$5:$K$36,INT(($B147/E$5))+1)),0)</f>
        <v/>
      </c>
      <c r="F147" s="276">
        <f>IFERROR(INDEX('D Fleet'!$F$5:$F$62,MATCH(F$3-$B147,'D Fleet'!$B$5:$B$62,0)),0)*IFERROR(INDEX('D Fleet'!$K$5:$K$36,INT(($B147/F$5))+1)+(($B147/F$5)-INT(($B147/F$5)))*(INDEX('D Fleet'!$K$5:$K$36,INT(($B147/F$5))+2)-INDEX('D Fleet'!$K$5:$K$36,INT(($B147/F$5))+1)),0)</f>
        <v/>
      </c>
      <c r="G147" s="276">
        <f>IFERROR(INDEX('D Fleet'!$F$5:$F$62,MATCH(G$3-$B147,'D Fleet'!$B$5:$B$62,0)),0)*IFERROR(INDEX('D Fleet'!$K$5:$K$36,INT(($B147/G$5))+1)+(($B147/G$5)-INT(($B147/G$5)))*(INDEX('D Fleet'!$K$5:$K$36,INT(($B147/G$5))+2)-INDEX('D Fleet'!$K$5:$K$36,INT(($B147/G$5))+1)),0)</f>
        <v/>
      </c>
      <c r="H147" s="276">
        <f>IFERROR(INDEX('D Fleet'!$F$5:$F$62,MATCH(H$3-$B147,'D Fleet'!$B$5:$B$62,0)),0)*IFERROR(INDEX('D Fleet'!$K$5:$K$36,INT(($B147/H$5))+1)+(($B147/H$5)-INT(($B147/H$5)))*(INDEX('D Fleet'!$K$5:$K$36,INT(($B147/H$5))+2)-INDEX('D Fleet'!$K$5:$K$36,INT(($B147/H$5))+1)),0)</f>
        <v/>
      </c>
      <c r="I147" s="276">
        <f>IFERROR(INDEX('D Fleet'!$F$5:$F$62,MATCH(I$3-$B147,'D Fleet'!$B$5:$B$62,0)),0)*IFERROR(INDEX('D Fleet'!$K$5:$K$36,INT(($B147/I$5))+1)+(($B147/I$5)-INT(($B147/I$5)))*(INDEX('D Fleet'!$K$5:$K$36,INT(($B147/I$5))+2)-INDEX('D Fleet'!$K$5:$K$36,INT(($B147/I$5))+1)),0)</f>
        <v/>
      </c>
      <c r="J147" s="276">
        <f>IFERROR(INDEX('D Fleet'!$F$5:$F$62,MATCH(J$3-$B147,'D Fleet'!$B$5:$B$62,0)),0)*IFERROR(INDEX('D Fleet'!$K$5:$K$36,INT(($B147/J$5))+1)+(($B147/J$5)-INT(($B147/J$5)))*(INDEX('D Fleet'!$K$5:$K$36,INT(($B147/J$5))+2)-INDEX('D Fleet'!$K$5:$K$36,INT(($B147/J$5))+1)),0)</f>
        <v/>
      </c>
      <c r="K147" s="276">
        <f>IFERROR(INDEX('D Fleet'!$F$5:$F$62,MATCH(K$3-$B147,'D Fleet'!$B$5:$B$62,0)),0)*IFERROR(INDEX('D Fleet'!$K$5:$K$36,INT(($B147/K$5))+1)+(($B147/K$5)-INT(($B147/K$5)))*(INDEX('D Fleet'!$K$5:$K$36,INT(($B147/K$5))+2)-INDEX('D Fleet'!$K$5:$K$36,INT(($B147/K$5))+1)),0)</f>
        <v/>
      </c>
      <c r="L147" s="276">
        <f>IFERROR(INDEX('D Fleet'!$F$5:$F$62,MATCH(L$3-$B147,'D Fleet'!$B$5:$B$62,0)),0)*IFERROR(INDEX('D Fleet'!$K$5:$K$36,INT(($B147/L$5))+1)+(($B147/L$5)-INT(($B147/L$5)))*(INDEX('D Fleet'!$K$5:$K$36,INT(($B147/L$5))+2)-INDEX('D Fleet'!$K$5:$K$36,INT(($B147/L$5))+1)),0)</f>
        <v/>
      </c>
      <c r="M147" s="276">
        <f>IFERROR(INDEX('D Fleet'!$F$5:$F$62,MATCH(M$3-$B147,'D Fleet'!$B$5:$B$62,0)),0)*IFERROR(INDEX('D Fleet'!$K$5:$K$36,INT(($B147/M$5))+1)+(($B147/M$5)-INT(($B147/M$5)))*(INDEX('D Fleet'!$K$5:$K$36,INT(($B147/M$5))+2)-INDEX('D Fleet'!$K$5:$K$36,INT(($B147/M$5))+1)),0)</f>
        <v/>
      </c>
      <c r="N147" s="276">
        <f>IFERROR(INDEX('D Fleet'!$F$5:$F$62,MATCH(N$3-$B147,'D Fleet'!$B$5:$B$62,0)),0)*IFERROR(INDEX('D Fleet'!$K$5:$K$36,INT(($B147/N$5))+1)+(($B147/N$5)-INT(($B147/N$5)))*(INDEX('D Fleet'!$K$5:$K$36,INT(($B147/N$5))+2)-INDEX('D Fleet'!$K$5:$K$36,INT(($B147/N$5))+1)),0)</f>
        <v/>
      </c>
      <c r="P147" s="276">
        <f>E147*$D147*'E1 Fleet'!$D$100</f>
        <v/>
      </c>
      <c r="Q147" s="276">
        <f>F147*$D147*'E1 Fleet'!$D$100</f>
        <v/>
      </c>
      <c r="R147" s="276">
        <f>G147*$D147*'E1 Fleet'!$D$100</f>
        <v/>
      </c>
      <c r="S147" s="276">
        <f>H147*$D147*'E1 Fleet'!$D$100</f>
        <v/>
      </c>
      <c r="T147" s="276">
        <f>I147*$D147*'E1 Fleet'!$D$100</f>
        <v/>
      </c>
      <c r="U147" s="276">
        <f>J147*$D147*'E1 Fleet'!$D$100</f>
        <v/>
      </c>
      <c r="V147" s="276">
        <f>K147*$D147*'E1 Fleet'!$D$100</f>
        <v/>
      </c>
      <c r="W147" s="276">
        <f>L147*$D147*'E1 Fleet'!$D$100</f>
        <v/>
      </c>
      <c r="X147" s="276">
        <f>M147*$D147*'E1 Fleet'!$D$100</f>
        <v/>
      </c>
      <c r="Y147" s="276">
        <f>N147*$D147*'E1 Fleet'!$D$100</f>
        <v/>
      </c>
    </row>
    <row r="148">
      <c r="A148" t="inlineStr">
        <is>
          <t>Van</t>
        </is>
      </c>
      <c r="B148" t="n">
        <v>3</v>
      </c>
      <c r="C148" t="n">
        <v>1</v>
      </c>
      <c r="D148" s="275">
        <f>IF($B148=0,'E1 Fleet'!$D$93,1)*EXP(-'E1 Fleet'!$D$94*MAX($B148-6,0))</f>
        <v/>
      </c>
      <c r="E148" s="276">
        <f>IFERROR(INDEX('D Fleet'!$F$5:$F$62,MATCH(E$3-$B148,'D Fleet'!$B$5:$B$62,0)),0)*IFERROR(INDEX('D Fleet'!$K$5:$K$36,INT(($B148/E$5))+1)+(($B148/E$5)-INT(($B148/E$5)))*(INDEX('D Fleet'!$K$5:$K$36,INT(($B148/E$5))+2)-INDEX('D Fleet'!$K$5:$K$36,INT(($B148/E$5))+1)),0)</f>
        <v/>
      </c>
      <c r="F148" s="276">
        <f>IFERROR(INDEX('D Fleet'!$F$5:$F$62,MATCH(F$3-$B148,'D Fleet'!$B$5:$B$62,0)),0)*IFERROR(INDEX('D Fleet'!$K$5:$K$36,INT(($B148/F$5))+1)+(($B148/F$5)-INT(($B148/F$5)))*(INDEX('D Fleet'!$K$5:$K$36,INT(($B148/F$5))+2)-INDEX('D Fleet'!$K$5:$K$36,INT(($B148/F$5))+1)),0)</f>
        <v/>
      </c>
      <c r="G148" s="276">
        <f>IFERROR(INDEX('D Fleet'!$F$5:$F$62,MATCH(G$3-$B148,'D Fleet'!$B$5:$B$62,0)),0)*IFERROR(INDEX('D Fleet'!$K$5:$K$36,INT(($B148/G$5))+1)+(($B148/G$5)-INT(($B148/G$5)))*(INDEX('D Fleet'!$K$5:$K$36,INT(($B148/G$5))+2)-INDEX('D Fleet'!$K$5:$K$36,INT(($B148/G$5))+1)),0)</f>
        <v/>
      </c>
      <c r="H148" s="276">
        <f>IFERROR(INDEX('D Fleet'!$F$5:$F$62,MATCH(H$3-$B148,'D Fleet'!$B$5:$B$62,0)),0)*IFERROR(INDEX('D Fleet'!$K$5:$K$36,INT(($B148/H$5))+1)+(($B148/H$5)-INT(($B148/H$5)))*(INDEX('D Fleet'!$K$5:$K$36,INT(($B148/H$5))+2)-INDEX('D Fleet'!$K$5:$K$36,INT(($B148/H$5))+1)),0)</f>
        <v/>
      </c>
      <c r="I148" s="276">
        <f>IFERROR(INDEX('D Fleet'!$F$5:$F$62,MATCH(I$3-$B148,'D Fleet'!$B$5:$B$62,0)),0)*IFERROR(INDEX('D Fleet'!$K$5:$K$36,INT(($B148/I$5))+1)+(($B148/I$5)-INT(($B148/I$5)))*(INDEX('D Fleet'!$K$5:$K$36,INT(($B148/I$5))+2)-INDEX('D Fleet'!$K$5:$K$36,INT(($B148/I$5))+1)),0)</f>
        <v/>
      </c>
      <c r="J148" s="276">
        <f>IFERROR(INDEX('D Fleet'!$F$5:$F$62,MATCH(J$3-$B148,'D Fleet'!$B$5:$B$62,0)),0)*IFERROR(INDEX('D Fleet'!$K$5:$K$36,INT(($B148/J$5))+1)+(($B148/J$5)-INT(($B148/J$5)))*(INDEX('D Fleet'!$K$5:$K$36,INT(($B148/J$5))+2)-INDEX('D Fleet'!$K$5:$K$36,INT(($B148/J$5))+1)),0)</f>
        <v/>
      </c>
      <c r="K148" s="276">
        <f>IFERROR(INDEX('D Fleet'!$F$5:$F$62,MATCH(K$3-$B148,'D Fleet'!$B$5:$B$62,0)),0)*IFERROR(INDEX('D Fleet'!$K$5:$K$36,INT(($B148/K$5))+1)+(($B148/K$5)-INT(($B148/K$5)))*(INDEX('D Fleet'!$K$5:$K$36,INT(($B148/K$5))+2)-INDEX('D Fleet'!$K$5:$K$36,INT(($B148/K$5))+1)),0)</f>
        <v/>
      </c>
      <c r="L148" s="276">
        <f>IFERROR(INDEX('D Fleet'!$F$5:$F$62,MATCH(L$3-$B148,'D Fleet'!$B$5:$B$62,0)),0)*IFERROR(INDEX('D Fleet'!$K$5:$K$36,INT(($B148/L$5))+1)+(($B148/L$5)-INT(($B148/L$5)))*(INDEX('D Fleet'!$K$5:$K$36,INT(($B148/L$5))+2)-INDEX('D Fleet'!$K$5:$K$36,INT(($B148/L$5))+1)),0)</f>
        <v/>
      </c>
      <c r="M148" s="276">
        <f>IFERROR(INDEX('D Fleet'!$F$5:$F$62,MATCH(M$3-$B148,'D Fleet'!$B$5:$B$62,0)),0)*IFERROR(INDEX('D Fleet'!$K$5:$K$36,INT(($B148/M$5))+1)+(($B148/M$5)-INT(($B148/M$5)))*(INDEX('D Fleet'!$K$5:$K$36,INT(($B148/M$5))+2)-INDEX('D Fleet'!$K$5:$K$36,INT(($B148/M$5))+1)),0)</f>
        <v/>
      </c>
      <c r="N148" s="276">
        <f>IFERROR(INDEX('D Fleet'!$F$5:$F$62,MATCH(N$3-$B148,'D Fleet'!$B$5:$B$62,0)),0)*IFERROR(INDEX('D Fleet'!$K$5:$K$36,INT(($B148/N$5))+1)+(($B148/N$5)-INT(($B148/N$5)))*(INDEX('D Fleet'!$K$5:$K$36,INT(($B148/N$5))+2)-INDEX('D Fleet'!$K$5:$K$36,INT(($B148/N$5))+1)),0)</f>
        <v/>
      </c>
      <c r="P148" s="276">
        <f>E148*$D148*'E1 Fleet'!$D$100</f>
        <v/>
      </c>
      <c r="Q148" s="276">
        <f>F148*$D148*'E1 Fleet'!$D$100</f>
        <v/>
      </c>
      <c r="R148" s="276">
        <f>G148*$D148*'E1 Fleet'!$D$100</f>
        <v/>
      </c>
      <c r="S148" s="276">
        <f>H148*$D148*'E1 Fleet'!$D$100</f>
        <v/>
      </c>
      <c r="T148" s="276">
        <f>I148*$D148*'E1 Fleet'!$D$100</f>
        <v/>
      </c>
      <c r="U148" s="276">
        <f>J148*$D148*'E1 Fleet'!$D$100</f>
        <v/>
      </c>
      <c r="V148" s="276">
        <f>K148*$D148*'E1 Fleet'!$D$100</f>
        <v/>
      </c>
      <c r="W148" s="276">
        <f>L148*$D148*'E1 Fleet'!$D$100</f>
        <v/>
      </c>
      <c r="X148" s="276">
        <f>M148*$D148*'E1 Fleet'!$D$100</f>
        <v/>
      </c>
      <c r="Y148" s="276">
        <f>N148*$D148*'E1 Fleet'!$D$100</f>
        <v/>
      </c>
    </row>
    <row r="149">
      <c r="A149" t="inlineStr">
        <is>
          <t>Van</t>
        </is>
      </c>
      <c r="B149" t="n">
        <v>4</v>
      </c>
      <c r="C149" t="n">
        <v>2</v>
      </c>
      <c r="D149" s="275">
        <f>IF($B149=0,'E1 Fleet'!$D$93,1)*EXP(-'E1 Fleet'!$D$94*MAX($B149-6,0))</f>
        <v/>
      </c>
      <c r="E149" s="276">
        <f>IFERROR(INDEX('D Fleet'!$F$5:$F$62,MATCH(E$3-$B149,'D Fleet'!$B$5:$B$62,0)),0)*IFERROR(INDEX('D Fleet'!$K$5:$K$36,INT(($B149/E$5))+1)+(($B149/E$5)-INT(($B149/E$5)))*(INDEX('D Fleet'!$K$5:$K$36,INT(($B149/E$5))+2)-INDEX('D Fleet'!$K$5:$K$36,INT(($B149/E$5))+1)),0)</f>
        <v/>
      </c>
      <c r="F149" s="276">
        <f>IFERROR(INDEX('D Fleet'!$F$5:$F$62,MATCH(F$3-$B149,'D Fleet'!$B$5:$B$62,0)),0)*IFERROR(INDEX('D Fleet'!$K$5:$K$36,INT(($B149/F$5))+1)+(($B149/F$5)-INT(($B149/F$5)))*(INDEX('D Fleet'!$K$5:$K$36,INT(($B149/F$5))+2)-INDEX('D Fleet'!$K$5:$K$36,INT(($B149/F$5))+1)),0)</f>
        <v/>
      </c>
      <c r="G149" s="276">
        <f>IFERROR(INDEX('D Fleet'!$F$5:$F$62,MATCH(G$3-$B149,'D Fleet'!$B$5:$B$62,0)),0)*IFERROR(INDEX('D Fleet'!$K$5:$K$36,INT(($B149/G$5))+1)+(($B149/G$5)-INT(($B149/G$5)))*(INDEX('D Fleet'!$K$5:$K$36,INT(($B149/G$5))+2)-INDEX('D Fleet'!$K$5:$K$36,INT(($B149/G$5))+1)),0)</f>
        <v/>
      </c>
      <c r="H149" s="276">
        <f>IFERROR(INDEX('D Fleet'!$F$5:$F$62,MATCH(H$3-$B149,'D Fleet'!$B$5:$B$62,0)),0)*IFERROR(INDEX('D Fleet'!$K$5:$K$36,INT(($B149/H$5))+1)+(($B149/H$5)-INT(($B149/H$5)))*(INDEX('D Fleet'!$K$5:$K$36,INT(($B149/H$5))+2)-INDEX('D Fleet'!$K$5:$K$36,INT(($B149/H$5))+1)),0)</f>
        <v/>
      </c>
      <c r="I149" s="276">
        <f>IFERROR(INDEX('D Fleet'!$F$5:$F$62,MATCH(I$3-$B149,'D Fleet'!$B$5:$B$62,0)),0)*IFERROR(INDEX('D Fleet'!$K$5:$K$36,INT(($B149/I$5))+1)+(($B149/I$5)-INT(($B149/I$5)))*(INDEX('D Fleet'!$K$5:$K$36,INT(($B149/I$5))+2)-INDEX('D Fleet'!$K$5:$K$36,INT(($B149/I$5))+1)),0)</f>
        <v/>
      </c>
      <c r="J149" s="276">
        <f>IFERROR(INDEX('D Fleet'!$F$5:$F$62,MATCH(J$3-$B149,'D Fleet'!$B$5:$B$62,0)),0)*IFERROR(INDEX('D Fleet'!$K$5:$K$36,INT(($B149/J$5))+1)+(($B149/J$5)-INT(($B149/J$5)))*(INDEX('D Fleet'!$K$5:$K$36,INT(($B149/J$5))+2)-INDEX('D Fleet'!$K$5:$K$36,INT(($B149/J$5))+1)),0)</f>
        <v/>
      </c>
      <c r="K149" s="276">
        <f>IFERROR(INDEX('D Fleet'!$F$5:$F$62,MATCH(K$3-$B149,'D Fleet'!$B$5:$B$62,0)),0)*IFERROR(INDEX('D Fleet'!$K$5:$K$36,INT(($B149/K$5))+1)+(($B149/K$5)-INT(($B149/K$5)))*(INDEX('D Fleet'!$K$5:$K$36,INT(($B149/K$5))+2)-INDEX('D Fleet'!$K$5:$K$36,INT(($B149/K$5))+1)),0)</f>
        <v/>
      </c>
      <c r="L149" s="276">
        <f>IFERROR(INDEX('D Fleet'!$F$5:$F$62,MATCH(L$3-$B149,'D Fleet'!$B$5:$B$62,0)),0)*IFERROR(INDEX('D Fleet'!$K$5:$K$36,INT(($B149/L$5))+1)+(($B149/L$5)-INT(($B149/L$5)))*(INDEX('D Fleet'!$K$5:$K$36,INT(($B149/L$5))+2)-INDEX('D Fleet'!$K$5:$K$36,INT(($B149/L$5))+1)),0)</f>
        <v/>
      </c>
      <c r="M149" s="276">
        <f>IFERROR(INDEX('D Fleet'!$F$5:$F$62,MATCH(M$3-$B149,'D Fleet'!$B$5:$B$62,0)),0)*IFERROR(INDEX('D Fleet'!$K$5:$K$36,INT(($B149/M$5))+1)+(($B149/M$5)-INT(($B149/M$5)))*(INDEX('D Fleet'!$K$5:$K$36,INT(($B149/M$5))+2)-INDEX('D Fleet'!$K$5:$K$36,INT(($B149/M$5))+1)),0)</f>
        <v/>
      </c>
      <c r="N149" s="276">
        <f>IFERROR(INDEX('D Fleet'!$F$5:$F$62,MATCH(N$3-$B149,'D Fleet'!$B$5:$B$62,0)),0)*IFERROR(INDEX('D Fleet'!$K$5:$K$36,INT(($B149/N$5))+1)+(($B149/N$5)-INT(($B149/N$5)))*(INDEX('D Fleet'!$K$5:$K$36,INT(($B149/N$5))+2)-INDEX('D Fleet'!$K$5:$K$36,INT(($B149/N$5))+1)),0)</f>
        <v/>
      </c>
      <c r="P149" s="276">
        <f>E149*$D149*'E1 Fleet'!$D$100</f>
        <v/>
      </c>
      <c r="Q149" s="276">
        <f>F149*$D149*'E1 Fleet'!$D$100</f>
        <v/>
      </c>
      <c r="R149" s="276">
        <f>G149*$D149*'E1 Fleet'!$D$100</f>
        <v/>
      </c>
      <c r="S149" s="276">
        <f>H149*$D149*'E1 Fleet'!$D$100</f>
        <v/>
      </c>
      <c r="T149" s="276">
        <f>I149*$D149*'E1 Fleet'!$D$100</f>
        <v/>
      </c>
      <c r="U149" s="276">
        <f>J149*$D149*'E1 Fleet'!$D$100</f>
        <v/>
      </c>
      <c r="V149" s="276">
        <f>K149*$D149*'E1 Fleet'!$D$100</f>
        <v/>
      </c>
      <c r="W149" s="276">
        <f>L149*$D149*'E1 Fleet'!$D$100</f>
        <v/>
      </c>
      <c r="X149" s="276">
        <f>M149*$D149*'E1 Fleet'!$D$100</f>
        <v/>
      </c>
      <c r="Y149" s="276">
        <f>N149*$D149*'E1 Fleet'!$D$100</f>
        <v/>
      </c>
    </row>
    <row r="150">
      <c r="A150" t="inlineStr">
        <is>
          <t>Van</t>
        </is>
      </c>
      <c r="B150" t="n">
        <v>5</v>
      </c>
      <c r="C150" t="n">
        <v>2</v>
      </c>
      <c r="D150" s="275">
        <f>IF($B150=0,'E1 Fleet'!$D$93,1)*EXP(-'E1 Fleet'!$D$94*MAX($B150-6,0))</f>
        <v/>
      </c>
      <c r="E150" s="276">
        <f>IFERROR(INDEX('D Fleet'!$F$5:$F$62,MATCH(E$3-$B150,'D Fleet'!$B$5:$B$62,0)),0)*IFERROR(INDEX('D Fleet'!$K$5:$K$36,INT(($B150/E$5))+1)+(($B150/E$5)-INT(($B150/E$5)))*(INDEX('D Fleet'!$K$5:$K$36,INT(($B150/E$5))+2)-INDEX('D Fleet'!$K$5:$K$36,INT(($B150/E$5))+1)),0)</f>
        <v/>
      </c>
      <c r="F150" s="276">
        <f>IFERROR(INDEX('D Fleet'!$F$5:$F$62,MATCH(F$3-$B150,'D Fleet'!$B$5:$B$62,0)),0)*IFERROR(INDEX('D Fleet'!$K$5:$K$36,INT(($B150/F$5))+1)+(($B150/F$5)-INT(($B150/F$5)))*(INDEX('D Fleet'!$K$5:$K$36,INT(($B150/F$5))+2)-INDEX('D Fleet'!$K$5:$K$36,INT(($B150/F$5))+1)),0)</f>
        <v/>
      </c>
      <c r="G150" s="276">
        <f>IFERROR(INDEX('D Fleet'!$F$5:$F$62,MATCH(G$3-$B150,'D Fleet'!$B$5:$B$62,0)),0)*IFERROR(INDEX('D Fleet'!$K$5:$K$36,INT(($B150/G$5))+1)+(($B150/G$5)-INT(($B150/G$5)))*(INDEX('D Fleet'!$K$5:$K$36,INT(($B150/G$5))+2)-INDEX('D Fleet'!$K$5:$K$36,INT(($B150/G$5))+1)),0)</f>
        <v/>
      </c>
      <c r="H150" s="276">
        <f>IFERROR(INDEX('D Fleet'!$F$5:$F$62,MATCH(H$3-$B150,'D Fleet'!$B$5:$B$62,0)),0)*IFERROR(INDEX('D Fleet'!$K$5:$K$36,INT(($B150/H$5))+1)+(($B150/H$5)-INT(($B150/H$5)))*(INDEX('D Fleet'!$K$5:$K$36,INT(($B150/H$5))+2)-INDEX('D Fleet'!$K$5:$K$36,INT(($B150/H$5))+1)),0)</f>
        <v/>
      </c>
      <c r="I150" s="276">
        <f>IFERROR(INDEX('D Fleet'!$F$5:$F$62,MATCH(I$3-$B150,'D Fleet'!$B$5:$B$62,0)),0)*IFERROR(INDEX('D Fleet'!$K$5:$K$36,INT(($B150/I$5))+1)+(($B150/I$5)-INT(($B150/I$5)))*(INDEX('D Fleet'!$K$5:$K$36,INT(($B150/I$5))+2)-INDEX('D Fleet'!$K$5:$K$36,INT(($B150/I$5))+1)),0)</f>
        <v/>
      </c>
      <c r="J150" s="276">
        <f>IFERROR(INDEX('D Fleet'!$F$5:$F$62,MATCH(J$3-$B150,'D Fleet'!$B$5:$B$62,0)),0)*IFERROR(INDEX('D Fleet'!$K$5:$K$36,INT(($B150/J$5))+1)+(($B150/J$5)-INT(($B150/J$5)))*(INDEX('D Fleet'!$K$5:$K$36,INT(($B150/J$5))+2)-INDEX('D Fleet'!$K$5:$K$36,INT(($B150/J$5))+1)),0)</f>
        <v/>
      </c>
      <c r="K150" s="276">
        <f>IFERROR(INDEX('D Fleet'!$F$5:$F$62,MATCH(K$3-$B150,'D Fleet'!$B$5:$B$62,0)),0)*IFERROR(INDEX('D Fleet'!$K$5:$K$36,INT(($B150/K$5))+1)+(($B150/K$5)-INT(($B150/K$5)))*(INDEX('D Fleet'!$K$5:$K$36,INT(($B150/K$5))+2)-INDEX('D Fleet'!$K$5:$K$36,INT(($B150/K$5))+1)),0)</f>
        <v/>
      </c>
      <c r="L150" s="276">
        <f>IFERROR(INDEX('D Fleet'!$F$5:$F$62,MATCH(L$3-$B150,'D Fleet'!$B$5:$B$62,0)),0)*IFERROR(INDEX('D Fleet'!$K$5:$K$36,INT(($B150/L$5))+1)+(($B150/L$5)-INT(($B150/L$5)))*(INDEX('D Fleet'!$K$5:$K$36,INT(($B150/L$5))+2)-INDEX('D Fleet'!$K$5:$K$36,INT(($B150/L$5))+1)),0)</f>
        <v/>
      </c>
      <c r="M150" s="276">
        <f>IFERROR(INDEX('D Fleet'!$F$5:$F$62,MATCH(M$3-$B150,'D Fleet'!$B$5:$B$62,0)),0)*IFERROR(INDEX('D Fleet'!$K$5:$K$36,INT(($B150/M$5))+1)+(($B150/M$5)-INT(($B150/M$5)))*(INDEX('D Fleet'!$K$5:$K$36,INT(($B150/M$5))+2)-INDEX('D Fleet'!$K$5:$K$36,INT(($B150/M$5))+1)),0)</f>
        <v/>
      </c>
      <c r="N150" s="276">
        <f>IFERROR(INDEX('D Fleet'!$F$5:$F$62,MATCH(N$3-$B150,'D Fleet'!$B$5:$B$62,0)),0)*IFERROR(INDEX('D Fleet'!$K$5:$K$36,INT(($B150/N$5))+1)+(($B150/N$5)-INT(($B150/N$5)))*(INDEX('D Fleet'!$K$5:$K$36,INT(($B150/N$5))+2)-INDEX('D Fleet'!$K$5:$K$36,INT(($B150/N$5))+1)),0)</f>
        <v/>
      </c>
      <c r="P150" s="276">
        <f>E150*$D150*'E1 Fleet'!$D$100</f>
        <v/>
      </c>
      <c r="Q150" s="276">
        <f>F150*$D150*'E1 Fleet'!$D$100</f>
        <v/>
      </c>
      <c r="R150" s="276">
        <f>G150*$D150*'E1 Fleet'!$D$100</f>
        <v/>
      </c>
      <c r="S150" s="276">
        <f>H150*$D150*'E1 Fleet'!$D$100</f>
        <v/>
      </c>
      <c r="T150" s="276">
        <f>I150*$D150*'E1 Fleet'!$D$100</f>
        <v/>
      </c>
      <c r="U150" s="276">
        <f>J150*$D150*'E1 Fleet'!$D$100</f>
        <v/>
      </c>
      <c r="V150" s="276">
        <f>K150*$D150*'E1 Fleet'!$D$100</f>
        <v/>
      </c>
      <c r="W150" s="276">
        <f>L150*$D150*'E1 Fleet'!$D$100</f>
        <v/>
      </c>
      <c r="X150" s="276">
        <f>M150*$D150*'E1 Fleet'!$D$100</f>
        <v/>
      </c>
      <c r="Y150" s="276">
        <f>N150*$D150*'E1 Fleet'!$D$100</f>
        <v/>
      </c>
    </row>
    <row r="151">
      <c r="A151" t="inlineStr">
        <is>
          <t>Van</t>
        </is>
      </c>
      <c r="B151" t="n">
        <v>6</v>
      </c>
      <c r="C151" t="n">
        <v>2</v>
      </c>
      <c r="D151" s="275">
        <f>IF($B151=0,'E1 Fleet'!$D$93,1)*EXP(-'E1 Fleet'!$D$94*MAX($B151-6,0))</f>
        <v/>
      </c>
      <c r="E151" s="276">
        <f>IFERROR(INDEX('D Fleet'!$F$5:$F$62,MATCH(E$3-$B151,'D Fleet'!$B$5:$B$62,0)),0)*IFERROR(INDEX('D Fleet'!$K$5:$K$36,INT(($B151/E$5))+1)+(($B151/E$5)-INT(($B151/E$5)))*(INDEX('D Fleet'!$K$5:$K$36,INT(($B151/E$5))+2)-INDEX('D Fleet'!$K$5:$K$36,INT(($B151/E$5))+1)),0)</f>
        <v/>
      </c>
      <c r="F151" s="276">
        <f>IFERROR(INDEX('D Fleet'!$F$5:$F$62,MATCH(F$3-$B151,'D Fleet'!$B$5:$B$62,0)),0)*IFERROR(INDEX('D Fleet'!$K$5:$K$36,INT(($B151/F$5))+1)+(($B151/F$5)-INT(($B151/F$5)))*(INDEX('D Fleet'!$K$5:$K$36,INT(($B151/F$5))+2)-INDEX('D Fleet'!$K$5:$K$36,INT(($B151/F$5))+1)),0)</f>
        <v/>
      </c>
      <c r="G151" s="276">
        <f>IFERROR(INDEX('D Fleet'!$F$5:$F$62,MATCH(G$3-$B151,'D Fleet'!$B$5:$B$62,0)),0)*IFERROR(INDEX('D Fleet'!$K$5:$K$36,INT(($B151/G$5))+1)+(($B151/G$5)-INT(($B151/G$5)))*(INDEX('D Fleet'!$K$5:$K$36,INT(($B151/G$5))+2)-INDEX('D Fleet'!$K$5:$K$36,INT(($B151/G$5))+1)),0)</f>
        <v/>
      </c>
      <c r="H151" s="276">
        <f>IFERROR(INDEX('D Fleet'!$F$5:$F$62,MATCH(H$3-$B151,'D Fleet'!$B$5:$B$62,0)),0)*IFERROR(INDEX('D Fleet'!$K$5:$K$36,INT(($B151/H$5))+1)+(($B151/H$5)-INT(($B151/H$5)))*(INDEX('D Fleet'!$K$5:$K$36,INT(($B151/H$5))+2)-INDEX('D Fleet'!$K$5:$K$36,INT(($B151/H$5))+1)),0)</f>
        <v/>
      </c>
      <c r="I151" s="276">
        <f>IFERROR(INDEX('D Fleet'!$F$5:$F$62,MATCH(I$3-$B151,'D Fleet'!$B$5:$B$62,0)),0)*IFERROR(INDEX('D Fleet'!$K$5:$K$36,INT(($B151/I$5))+1)+(($B151/I$5)-INT(($B151/I$5)))*(INDEX('D Fleet'!$K$5:$K$36,INT(($B151/I$5))+2)-INDEX('D Fleet'!$K$5:$K$36,INT(($B151/I$5))+1)),0)</f>
        <v/>
      </c>
      <c r="J151" s="276">
        <f>IFERROR(INDEX('D Fleet'!$F$5:$F$62,MATCH(J$3-$B151,'D Fleet'!$B$5:$B$62,0)),0)*IFERROR(INDEX('D Fleet'!$K$5:$K$36,INT(($B151/J$5))+1)+(($B151/J$5)-INT(($B151/J$5)))*(INDEX('D Fleet'!$K$5:$K$36,INT(($B151/J$5))+2)-INDEX('D Fleet'!$K$5:$K$36,INT(($B151/J$5))+1)),0)</f>
        <v/>
      </c>
      <c r="K151" s="276">
        <f>IFERROR(INDEX('D Fleet'!$F$5:$F$62,MATCH(K$3-$B151,'D Fleet'!$B$5:$B$62,0)),0)*IFERROR(INDEX('D Fleet'!$K$5:$K$36,INT(($B151/K$5))+1)+(($B151/K$5)-INT(($B151/K$5)))*(INDEX('D Fleet'!$K$5:$K$36,INT(($B151/K$5))+2)-INDEX('D Fleet'!$K$5:$K$36,INT(($B151/K$5))+1)),0)</f>
        <v/>
      </c>
      <c r="L151" s="276">
        <f>IFERROR(INDEX('D Fleet'!$F$5:$F$62,MATCH(L$3-$B151,'D Fleet'!$B$5:$B$62,0)),0)*IFERROR(INDEX('D Fleet'!$K$5:$K$36,INT(($B151/L$5))+1)+(($B151/L$5)-INT(($B151/L$5)))*(INDEX('D Fleet'!$K$5:$K$36,INT(($B151/L$5))+2)-INDEX('D Fleet'!$K$5:$K$36,INT(($B151/L$5))+1)),0)</f>
        <v/>
      </c>
      <c r="M151" s="276">
        <f>IFERROR(INDEX('D Fleet'!$F$5:$F$62,MATCH(M$3-$B151,'D Fleet'!$B$5:$B$62,0)),0)*IFERROR(INDEX('D Fleet'!$K$5:$K$36,INT(($B151/M$5))+1)+(($B151/M$5)-INT(($B151/M$5)))*(INDEX('D Fleet'!$K$5:$K$36,INT(($B151/M$5))+2)-INDEX('D Fleet'!$K$5:$K$36,INT(($B151/M$5))+1)),0)</f>
        <v/>
      </c>
      <c r="N151" s="276">
        <f>IFERROR(INDEX('D Fleet'!$F$5:$F$62,MATCH(N$3-$B151,'D Fleet'!$B$5:$B$62,0)),0)*IFERROR(INDEX('D Fleet'!$K$5:$K$36,INT(($B151/N$5))+1)+(($B151/N$5)-INT(($B151/N$5)))*(INDEX('D Fleet'!$K$5:$K$36,INT(($B151/N$5))+2)-INDEX('D Fleet'!$K$5:$K$36,INT(($B151/N$5))+1)),0)</f>
        <v/>
      </c>
      <c r="P151" s="276">
        <f>E151*$D151*'E1 Fleet'!$D$100</f>
        <v/>
      </c>
      <c r="Q151" s="276">
        <f>F151*$D151*'E1 Fleet'!$D$100</f>
        <v/>
      </c>
      <c r="R151" s="276">
        <f>G151*$D151*'E1 Fleet'!$D$100</f>
        <v/>
      </c>
      <c r="S151" s="276">
        <f>H151*$D151*'E1 Fleet'!$D$100</f>
        <v/>
      </c>
      <c r="T151" s="276">
        <f>I151*$D151*'E1 Fleet'!$D$100</f>
        <v/>
      </c>
      <c r="U151" s="276">
        <f>J151*$D151*'E1 Fleet'!$D$100</f>
        <v/>
      </c>
      <c r="V151" s="276">
        <f>K151*$D151*'E1 Fleet'!$D$100</f>
        <v/>
      </c>
      <c r="W151" s="276">
        <f>L151*$D151*'E1 Fleet'!$D$100</f>
        <v/>
      </c>
      <c r="X151" s="276">
        <f>M151*$D151*'E1 Fleet'!$D$100</f>
        <v/>
      </c>
      <c r="Y151" s="276">
        <f>N151*$D151*'E1 Fleet'!$D$100</f>
        <v/>
      </c>
    </row>
    <row r="152">
      <c r="A152" t="inlineStr">
        <is>
          <t>Van</t>
        </is>
      </c>
      <c r="B152" t="n">
        <v>7</v>
      </c>
      <c r="C152" t="n">
        <v>3</v>
      </c>
      <c r="D152" s="275">
        <f>IF($B152=0,'E1 Fleet'!$D$93,1)*EXP(-'E1 Fleet'!$D$94*MAX($B152-6,0))</f>
        <v/>
      </c>
      <c r="E152" s="276">
        <f>IFERROR(INDEX('D Fleet'!$F$5:$F$62,MATCH(E$3-$B152,'D Fleet'!$B$5:$B$62,0)),0)*IFERROR(INDEX('D Fleet'!$K$5:$K$36,INT(($B152/E$5))+1)+(($B152/E$5)-INT(($B152/E$5)))*(INDEX('D Fleet'!$K$5:$K$36,INT(($B152/E$5))+2)-INDEX('D Fleet'!$K$5:$K$36,INT(($B152/E$5))+1)),0)</f>
        <v/>
      </c>
      <c r="F152" s="276">
        <f>IFERROR(INDEX('D Fleet'!$F$5:$F$62,MATCH(F$3-$B152,'D Fleet'!$B$5:$B$62,0)),0)*IFERROR(INDEX('D Fleet'!$K$5:$K$36,INT(($B152/F$5))+1)+(($B152/F$5)-INT(($B152/F$5)))*(INDEX('D Fleet'!$K$5:$K$36,INT(($B152/F$5))+2)-INDEX('D Fleet'!$K$5:$K$36,INT(($B152/F$5))+1)),0)</f>
        <v/>
      </c>
      <c r="G152" s="276">
        <f>IFERROR(INDEX('D Fleet'!$F$5:$F$62,MATCH(G$3-$B152,'D Fleet'!$B$5:$B$62,0)),0)*IFERROR(INDEX('D Fleet'!$K$5:$K$36,INT(($B152/G$5))+1)+(($B152/G$5)-INT(($B152/G$5)))*(INDEX('D Fleet'!$K$5:$K$36,INT(($B152/G$5))+2)-INDEX('D Fleet'!$K$5:$K$36,INT(($B152/G$5))+1)),0)</f>
        <v/>
      </c>
      <c r="H152" s="276">
        <f>IFERROR(INDEX('D Fleet'!$F$5:$F$62,MATCH(H$3-$B152,'D Fleet'!$B$5:$B$62,0)),0)*IFERROR(INDEX('D Fleet'!$K$5:$K$36,INT(($B152/H$5))+1)+(($B152/H$5)-INT(($B152/H$5)))*(INDEX('D Fleet'!$K$5:$K$36,INT(($B152/H$5))+2)-INDEX('D Fleet'!$K$5:$K$36,INT(($B152/H$5))+1)),0)</f>
        <v/>
      </c>
      <c r="I152" s="276">
        <f>IFERROR(INDEX('D Fleet'!$F$5:$F$62,MATCH(I$3-$B152,'D Fleet'!$B$5:$B$62,0)),0)*IFERROR(INDEX('D Fleet'!$K$5:$K$36,INT(($B152/I$5))+1)+(($B152/I$5)-INT(($B152/I$5)))*(INDEX('D Fleet'!$K$5:$K$36,INT(($B152/I$5))+2)-INDEX('D Fleet'!$K$5:$K$36,INT(($B152/I$5))+1)),0)</f>
        <v/>
      </c>
      <c r="J152" s="276">
        <f>IFERROR(INDEX('D Fleet'!$F$5:$F$62,MATCH(J$3-$B152,'D Fleet'!$B$5:$B$62,0)),0)*IFERROR(INDEX('D Fleet'!$K$5:$K$36,INT(($B152/J$5))+1)+(($B152/J$5)-INT(($B152/J$5)))*(INDEX('D Fleet'!$K$5:$K$36,INT(($B152/J$5))+2)-INDEX('D Fleet'!$K$5:$K$36,INT(($B152/J$5))+1)),0)</f>
        <v/>
      </c>
      <c r="K152" s="276">
        <f>IFERROR(INDEX('D Fleet'!$F$5:$F$62,MATCH(K$3-$B152,'D Fleet'!$B$5:$B$62,0)),0)*IFERROR(INDEX('D Fleet'!$K$5:$K$36,INT(($B152/K$5))+1)+(($B152/K$5)-INT(($B152/K$5)))*(INDEX('D Fleet'!$K$5:$K$36,INT(($B152/K$5))+2)-INDEX('D Fleet'!$K$5:$K$36,INT(($B152/K$5))+1)),0)</f>
        <v/>
      </c>
      <c r="L152" s="276">
        <f>IFERROR(INDEX('D Fleet'!$F$5:$F$62,MATCH(L$3-$B152,'D Fleet'!$B$5:$B$62,0)),0)*IFERROR(INDEX('D Fleet'!$K$5:$K$36,INT(($B152/L$5))+1)+(($B152/L$5)-INT(($B152/L$5)))*(INDEX('D Fleet'!$K$5:$K$36,INT(($B152/L$5))+2)-INDEX('D Fleet'!$K$5:$K$36,INT(($B152/L$5))+1)),0)</f>
        <v/>
      </c>
      <c r="M152" s="276">
        <f>IFERROR(INDEX('D Fleet'!$F$5:$F$62,MATCH(M$3-$B152,'D Fleet'!$B$5:$B$62,0)),0)*IFERROR(INDEX('D Fleet'!$K$5:$K$36,INT(($B152/M$5))+1)+(($B152/M$5)-INT(($B152/M$5)))*(INDEX('D Fleet'!$K$5:$K$36,INT(($B152/M$5))+2)-INDEX('D Fleet'!$K$5:$K$36,INT(($B152/M$5))+1)),0)</f>
        <v/>
      </c>
      <c r="N152" s="276">
        <f>IFERROR(INDEX('D Fleet'!$F$5:$F$62,MATCH(N$3-$B152,'D Fleet'!$B$5:$B$62,0)),0)*IFERROR(INDEX('D Fleet'!$K$5:$K$36,INT(($B152/N$5))+1)+(($B152/N$5)-INT(($B152/N$5)))*(INDEX('D Fleet'!$K$5:$K$36,INT(($B152/N$5))+2)-INDEX('D Fleet'!$K$5:$K$36,INT(($B152/N$5))+1)),0)</f>
        <v/>
      </c>
      <c r="P152" s="276">
        <f>E152*$D152*'E1 Fleet'!$D$100</f>
        <v/>
      </c>
      <c r="Q152" s="276">
        <f>F152*$D152*'E1 Fleet'!$D$100</f>
        <v/>
      </c>
      <c r="R152" s="276">
        <f>G152*$D152*'E1 Fleet'!$D$100</f>
        <v/>
      </c>
      <c r="S152" s="276">
        <f>H152*$D152*'E1 Fleet'!$D$100</f>
        <v/>
      </c>
      <c r="T152" s="276">
        <f>I152*$D152*'E1 Fleet'!$D$100</f>
        <v/>
      </c>
      <c r="U152" s="276">
        <f>J152*$D152*'E1 Fleet'!$D$100</f>
        <v/>
      </c>
      <c r="V152" s="276">
        <f>K152*$D152*'E1 Fleet'!$D$100</f>
        <v/>
      </c>
      <c r="W152" s="276">
        <f>L152*$D152*'E1 Fleet'!$D$100</f>
        <v/>
      </c>
      <c r="X152" s="276">
        <f>M152*$D152*'E1 Fleet'!$D$100</f>
        <v/>
      </c>
      <c r="Y152" s="276">
        <f>N152*$D152*'E1 Fleet'!$D$100</f>
        <v/>
      </c>
    </row>
    <row r="153">
      <c r="A153" t="inlineStr">
        <is>
          <t>Van</t>
        </is>
      </c>
      <c r="B153" t="n">
        <v>8</v>
      </c>
      <c r="C153" t="n">
        <v>3</v>
      </c>
      <c r="D153" s="275">
        <f>IF($B153=0,'E1 Fleet'!$D$93,1)*EXP(-'E1 Fleet'!$D$94*MAX($B153-6,0))</f>
        <v/>
      </c>
      <c r="E153" s="276">
        <f>IFERROR(INDEX('D Fleet'!$F$5:$F$62,MATCH(E$3-$B153,'D Fleet'!$B$5:$B$62,0)),0)*IFERROR(INDEX('D Fleet'!$K$5:$K$36,INT(($B153/E$5))+1)+(($B153/E$5)-INT(($B153/E$5)))*(INDEX('D Fleet'!$K$5:$K$36,INT(($B153/E$5))+2)-INDEX('D Fleet'!$K$5:$K$36,INT(($B153/E$5))+1)),0)</f>
        <v/>
      </c>
      <c r="F153" s="276">
        <f>IFERROR(INDEX('D Fleet'!$F$5:$F$62,MATCH(F$3-$B153,'D Fleet'!$B$5:$B$62,0)),0)*IFERROR(INDEX('D Fleet'!$K$5:$K$36,INT(($B153/F$5))+1)+(($B153/F$5)-INT(($B153/F$5)))*(INDEX('D Fleet'!$K$5:$K$36,INT(($B153/F$5))+2)-INDEX('D Fleet'!$K$5:$K$36,INT(($B153/F$5))+1)),0)</f>
        <v/>
      </c>
      <c r="G153" s="276">
        <f>IFERROR(INDEX('D Fleet'!$F$5:$F$62,MATCH(G$3-$B153,'D Fleet'!$B$5:$B$62,0)),0)*IFERROR(INDEX('D Fleet'!$K$5:$K$36,INT(($B153/G$5))+1)+(($B153/G$5)-INT(($B153/G$5)))*(INDEX('D Fleet'!$K$5:$K$36,INT(($B153/G$5))+2)-INDEX('D Fleet'!$K$5:$K$36,INT(($B153/G$5))+1)),0)</f>
        <v/>
      </c>
      <c r="H153" s="276">
        <f>IFERROR(INDEX('D Fleet'!$F$5:$F$62,MATCH(H$3-$B153,'D Fleet'!$B$5:$B$62,0)),0)*IFERROR(INDEX('D Fleet'!$K$5:$K$36,INT(($B153/H$5))+1)+(($B153/H$5)-INT(($B153/H$5)))*(INDEX('D Fleet'!$K$5:$K$36,INT(($B153/H$5))+2)-INDEX('D Fleet'!$K$5:$K$36,INT(($B153/H$5))+1)),0)</f>
        <v/>
      </c>
      <c r="I153" s="276">
        <f>IFERROR(INDEX('D Fleet'!$F$5:$F$62,MATCH(I$3-$B153,'D Fleet'!$B$5:$B$62,0)),0)*IFERROR(INDEX('D Fleet'!$K$5:$K$36,INT(($B153/I$5))+1)+(($B153/I$5)-INT(($B153/I$5)))*(INDEX('D Fleet'!$K$5:$K$36,INT(($B153/I$5))+2)-INDEX('D Fleet'!$K$5:$K$36,INT(($B153/I$5))+1)),0)</f>
        <v/>
      </c>
      <c r="J153" s="276">
        <f>IFERROR(INDEX('D Fleet'!$F$5:$F$62,MATCH(J$3-$B153,'D Fleet'!$B$5:$B$62,0)),0)*IFERROR(INDEX('D Fleet'!$K$5:$K$36,INT(($B153/J$5))+1)+(($B153/J$5)-INT(($B153/J$5)))*(INDEX('D Fleet'!$K$5:$K$36,INT(($B153/J$5))+2)-INDEX('D Fleet'!$K$5:$K$36,INT(($B153/J$5))+1)),0)</f>
        <v/>
      </c>
      <c r="K153" s="276">
        <f>IFERROR(INDEX('D Fleet'!$F$5:$F$62,MATCH(K$3-$B153,'D Fleet'!$B$5:$B$62,0)),0)*IFERROR(INDEX('D Fleet'!$K$5:$K$36,INT(($B153/K$5))+1)+(($B153/K$5)-INT(($B153/K$5)))*(INDEX('D Fleet'!$K$5:$K$36,INT(($B153/K$5))+2)-INDEX('D Fleet'!$K$5:$K$36,INT(($B153/K$5))+1)),0)</f>
        <v/>
      </c>
      <c r="L153" s="276">
        <f>IFERROR(INDEX('D Fleet'!$F$5:$F$62,MATCH(L$3-$B153,'D Fleet'!$B$5:$B$62,0)),0)*IFERROR(INDEX('D Fleet'!$K$5:$K$36,INT(($B153/L$5))+1)+(($B153/L$5)-INT(($B153/L$5)))*(INDEX('D Fleet'!$K$5:$K$36,INT(($B153/L$5))+2)-INDEX('D Fleet'!$K$5:$K$36,INT(($B153/L$5))+1)),0)</f>
        <v/>
      </c>
      <c r="M153" s="276">
        <f>IFERROR(INDEX('D Fleet'!$F$5:$F$62,MATCH(M$3-$B153,'D Fleet'!$B$5:$B$62,0)),0)*IFERROR(INDEX('D Fleet'!$K$5:$K$36,INT(($B153/M$5))+1)+(($B153/M$5)-INT(($B153/M$5)))*(INDEX('D Fleet'!$K$5:$K$36,INT(($B153/M$5))+2)-INDEX('D Fleet'!$K$5:$K$36,INT(($B153/M$5))+1)),0)</f>
        <v/>
      </c>
      <c r="N153" s="276">
        <f>IFERROR(INDEX('D Fleet'!$F$5:$F$62,MATCH(N$3-$B153,'D Fleet'!$B$5:$B$62,0)),0)*IFERROR(INDEX('D Fleet'!$K$5:$K$36,INT(($B153/N$5))+1)+(($B153/N$5)-INT(($B153/N$5)))*(INDEX('D Fleet'!$K$5:$K$36,INT(($B153/N$5))+2)-INDEX('D Fleet'!$K$5:$K$36,INT(($B153/N$5))+1)),0)</f>
        <v/>
      </c>
      <c r="P153" s="276">
        <f>E153*$D153*'E1 Fleet'!$D$100</f>
        <v/>
      </c>
      <c r="Q153" s="276">
        <f>F153*$D153*'E1 Fleet'!$D$100</f>
        <v/>
      </c>
      <c r="R153" s="276">
        <f>G153*$D153*'E1 Fleet'!$D$100</f>
        <v/>
      </c>
      <c r="S153" s="276">
        <f>H153*$D153*'E1 Fleet'!$D$100</f>
        <v/>
      </c>
      <c r="T153" s="276">
        <f>I153*$D153*'E1 Fleet'!$D$100</f>
        <v/>
      </c>
      <c r="U153" s="276">
        <f>J153*$D153*'E1 Fleet'!$D$100</f>
        <v/>
      </c>
      <c r="V153" s="276">
        <f>K153*$D153*'E1 Fleet'!$D$100</f>
        <v/>
      </c>
      <c r="W153" s="276">
        <f>L153*$D153*'E1 Fleet'!$D$100</f>
        <v/>
      </c>
      <c r="X153" s="276">
        <f>M153*$D153*'E1 Fleet'!$D$100</f>
        <v/>
      </c>
      <c r="Y153" s="276">
        <f>N153*$D153*'E1 Fleet'!$D$100</f>
        <v/>
      </c>
    </row>
    <row r="154">
      <c r="A154" t="inlineStr">
        <is>
          <t>Van</t>
        </is>
      </c>
      <c r="B154" t="n">
        <v>9</v>
      </c>
      <c r="C154" t="n">
        <v>3</v>
      </c>
      <c r="D154" s="275">
        <f>IF($B154=0,'E1 Fleet'!$D$93,1)*EXP(-'E1 Fleet'!$D$94*MAX($B154-6,0))</f>
        <v/>
      </c>
      <c r="E154" s="276">
        <f>IFERROR(INDEX('D Fleet'!$F$5:$F$62,MATCH(E$3-$B154,'D Fleet'!$B$5:$B$62,0)),0)*IFERROR(INDEX('D Fleet'!$K$5:$K$36,INT(($B154/E$5))+1)+(($B154/E$5)-INT(($B154/E$5)))*(INDEX('D Fleet'!$K$5:$K$36,INT(($B154/E$5))+2)-INDEX('D Fleet'!$K$5:$K$36,INT(($B154/E$5))+1)),0)</f>
        <v/>
      </c>
      <c r="F154" s="276">
        <f>IFERROR(INDEX('D Fleet'!$F$5:$F$62,MATCH(F$3-$B154,'D Fleet'!$B$5:$B$62,0)),0)*IFERROR(INDEX('D Fleet'!$K$5:$K$36,INT(($B154/F$5))+1)+(($B154/F$5)-INT(($B154/F$5)))*(INDEX('D Fleet'!$K$5:$K$36,INT(($B154/F$5))+2)-INDEX('D Fleet'!$K$5:$K$36,INT(($B154/F$5))+1)),0)</f>
        <v/>
      </c>
      <c r="G154" s="276">
        <f>IFERROR(INDEX('D Fleet'!$F$5:$F$62,MATCH(G$3-$B154,'D Fleet'!$B$5:$B$62,0)),0)*IFERROR(INDEX('D Fleet'!$K$5:$K$36,INT(($B154/G$5))+1)+(($B154/G$5)-INT(($B154/G$5)))*(INDEX('D Fleet'!$K$5:$K$36,INT(($B154/G$5))+2)-INDEX('D Fleet'!$K$5:$K$36,INT(($B154/G$5))+1)),0)</f>
        <v/>
      </c>
      <c r="H154" s="276">
        <f>IFERROR(INDEX('D Fleet'!$F$5:$F$62,MATCH(H$3-$B154,'D Fleet'!$B$5:$B$62,0)),0)*IFERROR(INDEX('D Fleet'!$K$5:$K$36,INT(($B154/H$5))+1)+(($B154/H$5)-INT(($B154/H$5)))*(INDEX('D Fleet'!$K$5:$K$36,INT(($B154/H$5))+2)-INDEX('D Fleet'!$K$5:$K$36,INT(($B154/H$5))+1)),0)</f>
        <v/>
      </c>
      <c r="I154" s="276">
        <f>IFERROR(INDEX('D Fleet'!$F$5:$F$62,MATCH(I$3-$B154,'D Fleet'!$B$5:$B$62,0)),0)*IFERROR(INDEX('D Fleet'!$K$5:$K$36,INT(($B154/I$5))+1)+(($B154/I$5)-INT(($B154/I$5)))*(INDEX('D Fleet'!$K$5:$K$36,INT(($B154/I$5))+2)-INDEX('D Fleet'!$K$5:$K$36,INT(($B154/I$5))+1)),0)</f>
        <v/>
      </c>
      <c r="J154" s="276">
        <f>IFERROR(INDEX('D Fleet'!$F$5:$F$62,MATCH(J$3-$B154,'D Fleet'!$B$5:$B$62,0)),0)*IFERROR(INDEX('D Fleet'!$K$5:$K$36,INT(($B154/J$5))+1)+(($B154/J$5)-INT(($B154/J$5)))*(INDEX('D Fleet'!$K$5:$K$36,INT(($B154/J$5))+2)-INDEX('D Fleet'!$K$5:$K$36,INT(($B154/J$5))+1)),0)</f>
        <v/>
      </c>
      <c r="K154" s="276">
        <f>IFERROR(INDEX('D Fleet'!$F$5:$F$62,MATCH(K$3-$B154,'D Fleet'!$B$5:$B$62,0)),0)*IFERROR(INDEX('D Fleet'!$K$5:$K$36,INT(($B154/K$5))+1)+(($B154/K$5)-INT(($B154/K$5)))*(INDEX('D Fleet'!$K$5:$K$36,INT(($B154/K$5))+2)-INDEX('D Fleet'!$K$5:$K$36,INT(($B154/K$5))+1)),0)</f>
        <v/>
      </c>
      <c r="L154" s="276">
        <f>IFERROR(INDEX('D Fleet'!$F$5:$F$62,MATCH(L$3-$B154,'D Fleet'!$B$5:$B$62,0)),0)*IFERROR(INDEX('D Fleet'!$K$5:$K$36,INT(($B154/L$5))+1)+(($B154/L$5)-INT(($B154/L$5)))*(INDEX('D Fleet'!$K$5:$K$36,INT(($B154/L$5))+2)-INDEX('D Fleet'!$K$5:$K$36,INT(($B154/L$5))+1)),0)</f>
        <v/>
      </c>
      <c r="M154" s="276">
        <f>IFERROR(INDEX('D Fleet'!$F$5:$F$62,MATCH(M$3-$B154,'D Fleet'!$B$5:$B$62,0)),0)*IFERROR(INDEX('D Fleet'!$K$5:$K$36,INT(($B154/M$5))+1)+(($B154/M$5)-INT(($B154/M$5)))*(INDEX('D Fleet'!$K$5:$K$36,INT(($B154/M$5))+2)-INDEX('D Fleet'!$K$5:$K$36,INT(($B154/M$5))+1)),0)</f>
        <v/>
      </c>
      <c r="N154" s="276">
        <f>IFERROR(INDEX('D Fleet'!$F$5:$F$62,MATCH(N$3-$B154,'D Fleet'!$B$5:$B$62,0)),0)*IFERROR(INDEX('D Fleet'!$K$5:$K$36,INT(($B154/N$5))+1)+(($B154/N$5)-INT(($B154/N$5)))*(INDEX('D Fleet'!$K$5:$K$36,INT(($B154/N$5))+2)-INDEX('D Fleet'!$K$5:$K$36,INT(($B154/N$5))+1)),0)</f>
        <v/>
      </c>
      <c r="P154" s="276">
        <f>E154*$D154*'E1 Fleet'!$D$100</f>
        <v/>
      </c>
      <c r="Q154" s="276">
        <f>F154*$D154*'E1 Fleet'!$D$100</f>
        <v/>
      </c>
      <c r="R154" s="276">
        <f>G154*$D154*'E1 Fleet'!$D$100</f>
        <v/>
      </c>
      <c r="S154" s="276">
        <f>H154*$D154*'E1 Fleet'!$D$100</f>
        <v/>
      </c>
      <c r="T154" s="276">
        <f>I154*$D154*'E1 Fleet'!$D$100</f>
        <v/>
      </c>
      <c r="U154" s="276">
        <f>J154*$D154*'E1 Fleet'!$D$100</f>
        <v/>
      </c>
      <c r="V154" s="276">
        <f>K154*$D154*'E1 Fleet'!$D$100</f>
        <v/>
      </c>
      <c r="W154" s="276">
        <f>L154*$D154*'E1 Fleet'!$D$100</f>
        <v/>
      </c>
      <c r="X154" s="276">
        <f>M154*$D154*'E1 Fleet'!$D$100</f>
        <v/>
      </c>
      <c r="Y154" s="276">
        <f>N154*$D154*'E1 Fleet'!$D$100</f>
        <v/>
      </c>
    </row>
    <row r="155">
      <c r="A155" t="inlineStr">
        <is>
          <t>Van</t>
        </is>
      </c>
      <c r="B155" t="n">
        <v>10</v>
      </c>
      <c r="C155" t="n">
        <v>3</v>
      </c>
      <c r="D155" s="275">
        <f>IF($B155=0,'E1 Fleet'!$D$93,1)*EXP(-'E1 Fleet'!$D$94*MAX($B155-6,0))</f>
        <v/>
      </c>
      <c r="E155" s="276">
        <f>IFERROR(INDEX('D Fleet'!$F$5:$F$62,MATCH(E$3-$B155,'D Fleet'!$B$5:$B$62,0)),0)*IFERROR(INDEX('D Fleet'!$K$5:$K$36,INT(($B155/E$5))+1)+(($B155/E$5)-INT(($B155/E$5)))*(INDEX('D Fleet'!$K$5:$K$36,INT(($B155/E$5))+2)-INDEX('D Fleet'!$K$5:$K$36,INT(($B155/E$5))+1)),0)</f>
        <v/>
      </c>
      <c r="F155" s="276">
        <f>IFERROR(INDEX('D Fleet'!$F$5:$F$62,MATCH(F$3-$B155,'D Fleet'!$B$5:$B$62,0)),0)*IFERROR(INDEX('D Fleet'!$K$5:$K$36,INT(($B155/F$5))+1)+(($B155/F$5)-INT(($B155/F$5)))*(INDEX('D Fleet'!$K$5:$K$36,INT(($B155/F$5))+2)-INDEX('D Fleet'!$K$5:$K$36,INT(($B155/F$5))+1)),0)</f>
        <v/>
      </c>
      <c r="G155" s="276">
        <f>IFERROR(INDEX('D Fleet'!$F$5:$F$62,MATCH(G$3-$B155,'D Fleet'!$B$5:$B$62,0)),0)*IFERROR(INDEX('D Fleet'!$K$5:$K$36,INT(($B155/G$5))+1)+(($B155/G$5)-INT(($B155/G$5)))*(INDEX('D Fleet'!$K$5:$K$36,INT(($B155/G$5))+2)-INDEX('D Fleet'!$K$5:$K$36,INT(($B155/G$5))+1)),0)</f>
        <v/>
      </c>
      <c r="H155" s="276">
        <f>IFERROR(INDEX('D Fleet'!$F$5:$F$62,MATCH(H$3-$B155,'D Fleet'!$B$5:$B$62,0)),0)*IFERROR(INDEX('D Fleet'!$K$5:$K$36,INT(($B155/H$5))+1)+(($B155/H$5)-INT(($B155/H$5)))*(INDEX('D Fleet'!$K$5:$K$36,INT(($B155/H$5))+2)-INDEX('D Fleet'!$K$5:$K$36,INT(($B155/H$5))+1)),0)</f>
        <v/>
      </c>
      <c r="I155" s="276">
        <f>IFERROR(INDEX('D Fleet'!$F$5:$F$62,MATCH(I$3-$B155,'D Fleet'!$B$5:$B$62,0)),0)*IFERROR(INDEX('D Fleet'!$K$5:$K$36,INT(($B155/I$5))+1)+(($B155/I$5)-INT(($B155/I$5)))*(INDEX('D Fleet'!$K$5:$K$36,INT(($B155/I$5))+2)-INDEX('D Fleet'!$K$5:$K$36,INT(($B155/I$5))+1)),0)</f>
        <v/>
      </c>
      <c r="J155" s="276">
        <f>IFERROR(INDEX('D Fleet'!$F$5:$F$62,MATCH(J$3-$B155,'D Fleet'!$B$5:$B$62,0)),0)*IFERROR(INDEX('D Fleet'!$K$5:$K$36,INT(($B155/J$5))+1)+(($B155/J$5)-INT(($B155/J$5)))*(INDEX('D Fleet'!$K$5:$K$36,INT(($B155/J$5))+2)-INDEX('D Fleet'!$K$5:$K$36,INT(($B155/J$5))+1)),0)</f>
        <v/>
      </c>
      <c r="K155" s="276">
        <f>IFERROR(INDEX('D Fleet'!$F$5:$F$62,MATCH(K$3-$B155,'D Fleet'!$B$5:$B$62,0)),0)*IFERROR(INDEX('D Fleet'!$K$5:$K$36,INT(($B155/K$5))+1)+(($B155/K$5)-INT(($B155/K$5)))*(INDEX('D Fleet'!$K$5:$K$36,INT(($B155/K$5))+2)-INDEX('D Fleet'!$K$5:$K$36,INT(($B155/K$5))+1)),0)</f>
        <v/>
      </c>
      <c r="L155" s="276">
        <f>IFERROR(INDEX('D Fleet'!$F$5:$F$62,MATCH(L$3-$B155,'D Fleet'!$B$5:$B$62,0)),0)*IFERROR(INDEX('D Fleet'!$K$5:$K$36,INT(($B155/L$5))+1)+(($B155/L$5)-INT(($B155/L$5)))*(INDEX('D Fleet'!$K$5:$K$36,INT(($B155/L$5))+2)-INDEX('D Fleet'!$K$5:$K$36,INT(($B155/L$5))+1)),0)</f>
        <v/>
      </c>
      <c r="M155" s="276">
        <f>IFERROR(INDEX('D Fleet'!$F$5:$F$62,MATCH(M$3-$B155,'D Fleet'!$B$5:$B$62,0)),0)*IFERROR(INDEX('D Fleet'!$K$5:$K$36,INT(($B155/M$5))+1)+(($B155/M$5)-INT(($B155/M$5)))*(INDEX('D Fleet'!$K$5:$K$36,INT(($B155/M$5))+2)-INDEX('D Fleet'!$K$5:$K$36,INT(($B155/M$5))+1)),0)</f>
        <v/>
      </c>
      <c r="N155" s="276">
        <f>IFERROR(INDEX('D Fleet'!$F$5:$F$62,MATCH(N$3-$B155,'D Fleet'!$B$5:$B$62,0)),0)*IFERROR(INDEX('D Fleet'!$K$5:$K$36,INT(($B155/N$5))+1)+(($B155/N$5)-INT(($B155/N$5)))*(INDEX('D Fleet'!$K$5:$K$36,INT(($B155/N$5))+2)-INDEX('D Fleet'!$K$5:$K$36,INT(($B155/N$5))+1)),0)</f>
        <v/>
      </c>
      <c r="P155" s="276">
        <f>E155*$D155*'E1 Fleet'!$D$100</f>
        <v/>
      </c>
      <c r="Q155" s="276">
        <f>F155*$D155*'E1 Fleet'!$D$100</f>
        <v/>
      </c>
      <c r="R155" s="276">
        <f>G155*$D155*'E1 Fleet'!$D$100</f>
        <v/>
      </c>
      <c r="S155" s="276">
        <f>H155*$D155*'E1 Fleet'!$D$100</f>
        <v/>
      </c>
      <c r="T155" s="276">
        <f>I155*$D155*'E1 Fleet'!$D$100</f>
        <v/>
      </c>
      <c r="U155" s="276">
        <f>J155*$D155*'E1 Fleet'!$D$100</f>
        <v/>
      </c>
      <c r="V155" s="276">
        <f>K155*$D155*'E1 Fleet'!$D$100</f>
        <v/>
      </c>
      <c r="W155" s="276">
        <f>L155*$D155*'E1 Fleet'!$D$100</f>
        <v/>
      </c>
      <c r="X155" s="276">
        <f>M155*$D155*'E1 Fleet'!$D$100</f>
        <v/>
      </c>
      <c r="Y155" s="276">
        <f>N155*$D155*'E1 Fleet'!$D$100</f>
        <v/>
      </c>
    </row>
    <row r="156">
      <c r="A156" t="inlineStr">
        <is>
          <t>Van</t>
        </is>
      </c>
      <c r="B156" t="n">
        <v>11</v>
      </c>
      <c r="C156" t="n">
        <v>3</v>
      </c>
      <c r="D156" s="275">
        <f>IF($B156=0,'E1 Fleet'!$D$93,1)*EXP(-'E1 Fleet'!$D$94*MAX($B156-6,0))</f>
        <v/>
      </c>
      <c r="E156" s="276">
        <f>IFERROR(INDEX('D Fleet'!$F$5:$F$62,MATCH(E$3-$B156,'D Fleet'!$B$5:$B$62,0)),0)*IFERROR(INDEX('D Fleet'!$K$5:$K$36,INT(($B156/E$5))+1)+(($B156/E$5)-INT(($B156/E$5)))*(INDEX('D Fleet'!$K$5:$K$36,INT(($B156/E$5))+2)-INDEX('D Fleet'!$K$5:$K$36,INT(($B156/E$5))+1)),0)</f>
        <v/>
      </c>
      <c r="F156" s="276">
        <f>IFERROR(INDEX('D Fleet'!$F$5:$F$62,MATCH(F$3-$B156,'D Fleet'!$B$5:$B$62,0)),0)*IFERROR(INDEX('D Fleet'!$K$5:$K$36,INT(($B156/F$5))+1)+(($B156/F$5)-INT(($B156/F$5)))*(INDEX('D Fleet'!$K$5:$K$36,INT(($B156/F$5))+2)-INDEX('D Fleet'!$K$5:$K$36,INT(($B156/F$5))+1)),0)</f>
        <v/>
      </c>
      <c r="G156" s="276">
        <f>IFERROR(INDEX('D Fleet'!$F$5:$F$62,MATCH(G$3-$B156,'D Fleet'!$B$5:$B$62,0)),0)*IFERROR(INDEX('D Fleet'!$K$5:$K$36,INT(($B156/G$5))+1)+(($B156/G$5)-INT(($B156/G$5)))*(INDEX('D Fleet'!$K$5:$K$36,INT(($B156/G$5))+2)-INDEX('D Fleet'!$K$5:$K$36,INT(($B156/G$5))+1)),0)</f>
        <v/>
      </c>
      <c r="H156" s="276">
        <f>IFERROR(INDEX('D Fleet'!$F$5:$F$62,MATCH(H$3-$B156,'D Fleet'!$B$5:$B$62,0)),0)*IFERROR(INDEX('D Fleet'!$K$5:$K$36,INT(($B156/H$5))+1)+(($B156/H$5)-INT(($B156/H$5)))*(INDEX('D Fleet'!$K$5:$K$36,INT(($B156/H$5))+2)-INDEX('D Fleet'!$K$5:$K$36,INT(($B156/H$5))+1)),0)</f>
        <v/>
      </c>
      <c r="I156" s="276">
        <f>IFERROR(INDEX('D Fleet'!$F$5:$F$62,MATCH(I$3-$B156,'D Fleet'!$B$5:$B$62,0)),0)*IFERROR(INDEX('D Fleet'!$K$5:$K$36,INT(($B156/I$5))+1)+(($B156/I$5)-INT(($B156/I$5)))*(INDEX('D Fleet'!$K$5:$K$36,INT(($B156/I$5))+2)-INDEX('D Fleet'!$K$5:$K$36,INT(($B156/I$5))+1)),0)</f>
        <v/>
      </c>
      <c r="J156" s="276">
        <f>IFERROR(INDEX('D Fleet'!$F$5:$F$62,MATCH(J$3-$B156,'D Fleet'!$B$5:$B$62,0)),0)*IFERROR(INDEX('D Fleet'!$K$5:$K$36,INT(($B156/J$5))+1)+(($B156/J$5)-INT(($B156/J$5)))*(INDEX('D Fleet'!$K$5:$K$36,INT(($B156/J$5))+2)-INDEX('D Fleet'!$K$5:$K$36,INT(($B156/J$5))+1)),0)</f>
        <v/>
      </c>
      <c r="K156" s="276">
        <f>IFERROR(INDEX('D Fleet'!$F$5:$F$62,MATCH(K$3-$B156,'D Fleet'!$B$5:$B$62,0)),0)*IFERROR(INDEX('D Fleet'!$K$5:$K$36,INT(($B156/K$5))+1)+(($B156/K$5)-INT(($B156/K$5)))*(INDEX('D Fleet'!$K$5:$K$36,INT(($B156/K$5))+2)-INDEX('D Fleet'!$K$5:$K$36,INT(($B156/K$5))+1)),0)</f>
        <v/>
      </c>
      <c r="L156" s="276">
        <f>IFERROR(INDEX('D Fleet'!$F$5:$F$62,MATCH(L$3-$B156,'D Fleet'!$B$5:$B$62,0)),0)*IFERROR(INDEX('D Fleet'!$K$5:$K$36,INT(($B156/L$5))+1)+(($B156/L$5)-INT(($B156/L$5)))*(INDEX('D Fleet'!$K$5:$K$36,INT(($B156/L$5))+2)-INDEX('D Fleet'!$K$5:$K$36,INT(($B156/L$5))+1)),0)</f>
        <v/>
      </c>
      <c r="M156" s="276">
        <f>IFERROR(INDEX('D Fleet'!$F$5:$F$62,MATCH(M$3-$B156,'D Fleet'!$B$5:$B$62,0)),0)*IFERROR(INDEX('D Fleet'!$K$5:$K$36,INT(($B156/M$5))+1)+(($B156/M$5)-INT(($B156/M$5)))*(INDEX('D Fleet'!$K$5:$K$36,INT(($B156/M$5))+2)-INDEX('D Fleet'!$K$5:$K$36,INT(($B156/M$5))+1)),0)</f>
        <v/>
      </c>
      <c r="N156" s="276">
        <f>IFERROR(INDEX('D Fleet'!$F$5:$F$62,MATCH(N$3-$B156,'D Fleet'!$B$5:$B$62,0)),0)*IFERROR(INDEX('D Fleet'!$K$5:$K$36,INT(($B156/N$5))+1)+(($B156/N$5)-INT(($B156/N$5)))*(INDEX('D Fleet'!$K$5:$K$36,INT(($B156/N$5))+2)-INDEX('D Fleet'!$K$5:$K$36,INT(($B156/N$5))+1)),0)</f>
        <v/>
      </c>
      <c r="P156" s="276">
        <f>E156*$D156*'E1 Fleet'!$D$100</f>
        <v/>
      </c>
      <c r="Q156" s="276">
        <f>F156*$D156*'E1 Fleet'!$D$100</f>
        <v/>
      </c>
      <c r="R156" s="276">
        <f>G156*$D156*'E1 Fleet'!$D$100</f>
        <v/>
      </c>
      <c r="S156" s="276">
        <f>H156*$D156*'E1 Fleet'!$D$100</f>
        <v/>
      </c>
      <c r="T156" s="276">
        <f>I156*$D156*'E1 Fleet'!$D$100</f>
        <v/>
      </c>
      <c r="U156" s="276">
        <f>J156*$D156*'E1 Fleet'!$D$100</f>
        <v/>
      </c>
      <c r="V156" s="276">
        <f>K156*$D156*'E1 Fleet'!$D$100</f>
        <v/>
      </c>
      <c r="W156" s="276">
        <f>L156*$D156*'E1 Fleet'!$D$100</f>
        <v/>
      </c>
      <c r="X156" s="276">
        <f>M156*$D156*'E1 Fleet'!$D$100</f>
        <v/>
      </c>
      <c r="Y156" s="276">
        <f>N156*$D156*'E1 Fleet'!$D$100</f>
        <v/>
      </c>
    </row>
    <row r="157">
      <c r="A157" t="inlineStr">
        <is>
          <t>Van</t>
        </is>
      </c>
      <c r="B157" t="n">
        <v>12</v>
      </c>
      <c r="C157" t="n">
        <v>3</v>
      </c>
      <c r="D157" s="275">
        <f>IF($B157=0,'E1 Fleet'!$D$93,1)*EXP(-'E1 Fleet'!$D$94*MAX($B157-6,0))</f>
        <v/>
      </c>
      <c r="E157" s="276">
        <f>IFERROR(INDEX('D Fleet'!$F$5:$F$62,MATCH(E$3-$B157,'D Fleet'!$B$5:$B$62,0)),0)*IFERROR(INDEX('D Fleet'!$K$5:$K$36,INT(($B157/E$5))+1)+(($B157/E$5)-INT(($B157/E$5)))*(INDEX('D Fleet'!$K$5:$K$36,INT(($B157/E$5))+2)-INDEX('D Fleet'!$K$5:$K$36,INT(($B157/E$5))+1)),0)</f>
        <v/>
      </c>
      <c r="F157" s="276">
        <f>IFERROR(INDEX('D Fleet'!$F$5:$F$62,MATCH(F$3-$B157,'D Fleet'!$B$5:$B$62,0)),0)*IFERROR(INDEX('D Fleet'!$K$5:$K$36,INT(($B157/F$5))+1)+(($B157/F$5)-INT(($B157/F$5)))*(INDEX('D Fleet'!$K$5:$K$36,INT(($B157/F$5))+2)-INDEX('D Fleet'!$K$5:$K$36,INT(($B157/F$5))+1)),0)</f>
        <v/>
      </c>
      <c r="G157" s="276">
        <f>IFERROR(INDEX('D Fleet'!$F$5:$F$62,MATCH(G$3-$B157,'D Fleet'!$B$5:$B$62,0)),0)*IFERROR(INDEX('D Fleet'!$K$5:$K$36,INT(($B157/G$5))+1)+(($B157/G$5)-INT(($B157/G$5)))*(INDEX('D Fleet'!$K$5:$K$36,INT(($B157/G$5))+2)-INDEX('D Fleet'!$K$5:$K$36,INT(($B157/G$5))+1)),0)</f>
        <v/>
      </c>
      <c r="H157" s="276">
        <f>IFERROR(INDEX('D Fleet'!$F$5:$F$62,MATCH(H$3-$B157,'D Fleet'!$B$5:$B$62,0)),0)*IFERROR(INDEX('D Fleet'!$K$5:$K$36,INT(($B157/H$5))+1)+(($B157/H$5)-INT(($B157/H$5)))*(INDEX('D Fleet'!$K$5:$K$36,INT(($B157/H$5))+2)-INDEX('D Fleet'!$K$5:$K$36,INT(($B157/H$5))+1)),0)</f>
        <v/>
      </c>
      <c r="I157" s="276">
        <f>IFERROR(INDEX('D Fleet'!$F$5:$F$62,MATCH(I$3-$B157,'D Fleet'!$B$5:$B$62,0)),0)*IFERROR(INDEX('D Fleet'!$K$5:$K$36,INT(($B157/I$5))+1)+(($B157/I$5)-INT(($B157/I$5)))*(INDEX('D Fleet'!$K$5:$K$36,INT(($B157/I$5))+2)-INDEX('D Fleet'!$K$5:$K$36,INT(($B157/I$5))+1)),0)</f>
        <v/>
      </c>
      <c r="J157" s="276">
        <f>IFERROR(INDEX('D Fleet'!$F$5:$F$62,MATCH(J$3-$B157,'D Fleet'!$B$5:$B$62,0)),0)*IFERROR(INDEX('D Fleet'!$K$5:$K$36,INT(($B157/J$5))+1)+(($B157/J$5)-INT(($B157/J$5)))*(INDEX('D Fleet'!$K$5:$K$36,INT(($B157/J$5))+2)-INDEX('D Fleet'!$K$5:$K$36,INT(($B157/J$5))+1)),0)</f>
        <v/>
      </c>
      <c r="K157" s="276">
        <f>IFERROR(INDEX('D Fleet'!$F$5:$F$62,MATCH(K$3-$B157,'D Fleet'!$B$5:$B$62,0)),0)*IFERROR(INDEX('D Fleet'!$K$5:$K$36,INT(($B157/K$5))+1)+(($B157/K$5)-INT(($B157/K$5)))*(INDEX('D Fleet'!$K$5:$K$36,INT(($B157/K$5))+2)-INDEX('D Fleet'!$K$5:$K$36,INT(($B157/K$5))+1)),0)</f>
        <v/>
      </c>
      <c r="L157" s="276">
        <f>IFERROR(INDEX('D Fleet'!$F$5:$F$62,MATCH(L$3-$B157,'D Fleet'!$B$5:$B$62,0)),0)*IFERROR(INDEX('D Fleet'!$K$5:$K$36,INT(($B157/L$5))+1)+(($B157/L$5)-INT(($B157/L$5)))*(INDEX('D Fleet'!$K$5:$K$36,INT(($B157/L$5))+2)-INDEX('D Fleet'!$K$5:$K$36,INT(($B157/L$5))+1)),0)</f>
        <v/>
      </c>
      <c r="M157" s="276">
        <f>IFERROR(INDEX('D Fleet'!$F$5:$F$62,MATCH(M$3-$B157,'D Fleet'!$B$5:$B$62,0)),0)*IFERROR(INDEX('D Fleet'!$K$5:$K$36,INT(($B157/M$5))+1)+(($B157/M$5)-INT(($B157/M$5)))*(INDEX('D Fleet'!$K$5:$K$36,INT(($B157/M$5))+2)-INDEX('D Fleet'!$K$5:$K$36,INT(($B157/M$5))+1)),0)</f>
        <v/>
      </c>
      <c r="N157" s="276">
        <f>IFERROR(INDEX('D Fleet'!$F$5:$F$62,MATCH(N$3-$B157,'D Fleet'!$B$5:$B$62,0)),0)*IFERROR(INDEX('D Fleet'!$K$5:$K$36,INT(($B157/N$5))+1)+(($B157/N$5)-INT(($B157/N$5)))*(INDEX('D Fleet'!$K$5:$K$36,INT(($B157/N$5))+2)-INDEX('D Fleet'!$K$5:$K$36,INT(($B157/N$5))+1)),0)</f>
        <v/>
      </c>
      <c r="P157" s="276">
        <f>E157*$D157*'E1 Fleet'!$D$100</f>
        <v/>
      </c>
      <c r="Q157" s="276">
        <f>F157*$D157*'E1 Fleet'!$D$100</f>
        <v/>
      </c>
      <c r="R157" s="276">
        <f>G157*$D157*'E1 Fleet'!$D$100</f>
        <v/>
      </c>
      <c r="S157" s="276">
        <f>H157*$D157*'E1 Fleet'!$D$100</f>
        <v/>
      </c>
      <c r="T157" s="276">
        <f>I157*$D157*'E1 Fleet'!$D$100</f>
        <v/>
      </c>
      <c r="U157" s="276">
        <f>J157*$D157*'E1 Fleet'!$D$100</f>
        <v/>
      </c>
      <c r="V157" s="276">
        <f>K157*$D157*'E1 Fleet'!$D$100</f>
        <v/>
      </c>
      <c r="W157" s="276">
        <f>L157*$D157*'E1 Fleet'!$D$100</f>
        <v/>
      </c>
      <c r="X157" s="276">
        <f>M157*$D157*'E1 Fleet'!$D$100</f>
        <v/>
      </c>
      <c r="Y157" s="276">
        <f>N157*$D157*'E1 Fleet'!$D$100</f>
        <v/>
      </c>
    </row>
    <row r="158">
      <c r="A158" t="inlineStr">
        <is>
          <t>Van</t>
        </is>
      </c>
      <c r="B158" t="n">
        <v>13</v>
      </c>
      <c r="C158" t="n">
        <v>3</v>
      </c>
      <c r="D158" s="275">
        <f>IF($B158=0,'E1 Fleet'!$D$93,1)*EXP(-'E1 Fleet'!$D$94*MAX($B158-6,0))</f>
        <v/>
      </c>
      <c r="E158" s="276">
        <f>IFERROR(INDEX('D Fleet'!$F$5:$F$62,MATCH(E$3-$B158,'D Fleet'!$B$5:$B$62,0)),0)*IFERROR(INDEX('D Fleet'!$K$5:$K$36,INT(($B158/E$5))+1)+(($B158/E$5)-INT(($B158/E$5)))*(INDEX('D Fleet'!$K$5:$K$36,INT(($B158/E$5))+2)-INDEX('D Fleet'!$K$5:$K$36,INT(($B158/E$5))+1)),0)</f>
        <v/>
      </c>
      <c r="F158" s="276">
        <f>IFERROR(INDEX('D Fleet'!$F$5:$F$62,MATCH(F$3-$B158,'D Fleet'!$B$5:$B$62,0)),0)*IFERROR(INDEX('D Fleet'!$K$5:$K$36,INT(($B158/F$5))+1)+(($B158/F$5)-INT(($B158/F$5)))*(INDEX('D Fleet'!$K$5:$K$36,INT(($B158/F$5))+2)-INDEX('D Fleet'!$K$5:$K$36,INT(($B158/F$5))+1)),0)</f>
        <v/>
      </c>
      <c r="G158" s="276">
        <f>IFERROR(INDEX('D Fleet'!$F$5:$F$62,MATCH(G$3-$B158,'D Fleet'!$B$5:$B$62,0)),0)*IFERROR(INDEX('D Fleet'!$K$5:$K$36,INT(($B158/G$5))+1)+(($B158/G$5)-INT(($B158/G$5)))*(INDEX('D Fleet'!$K$5:$K$36,INT(($B158/G$5))+2)-INDEX('D Fleet'!$K$5:$K$36,INT(($B158/G$5))+1)),0)</f>
        <v/>
      </c>
      <c r="H158" s="276">
        <f>IFERROR(INDEX('D Fleet'!$F$5:$F$62,MATCH(H$3-$B158,'D Fleet'!$B$5:$B$62,0)),0)*IFERROR(INDEX('D Fleet'!$K$5:$K$36,INT(($B158/H$5))+1)+(($B158/H$5)-INT(($B158/H$5)))*(INDEX('D Fleet'!$K$5:$K$36,INT(($B158/H$5))+2)-INDEX('D Fleet'!$K$5:$K$36,INT(($B158/H$5))+1)),0)</f>
        <v/>
      </c>
      <c r="I158" s="276">
        <f>IFERROR(INDEX('D Fleet'!$F$5:$F$62,MATCH(I$3-$B158,'D Fleet'!$B$5:$B$62,0)),0)*IFERROR(INDEX('D Fleet'!$K$5:$K$36,INT(($B158/I$5))+1)+(($B158/I$5)-INT(($B158/I$5)))*(INDEX('D Fleet'!$K$5:$K$36,INT(($B158/I$5))+2)-INDEX('D Fleet'!$K$5:$K$36,INT(($B158/I$5))+1)),0)</f>
        <v/>
      </c>
      <c r="J158" s="276">
        <f>IFERROR(INDEX('D Fleet'!$F$5:$F$62,MATCH(J$3-$B158,'D Fleet'!$B$5:$B$62,0)),0)*IFERROR(INDEX('D Fleet'!$K$5:$K$36,INT(($B158/J$5))+1)+(($B158/J$5)-INT(($B158/J$5)))*(INDEX('D Fleet'!$K$5:$K$36,INT(($B158/J$5))+2)-INDEX('D Fleet'!$K$5:$K$36,INT(($B158/J$5))+1)),0)</f>
        <v/>
      </c>
      <c r="K158" s="276">
        <f>IFERROR(INDEX('D Fleet'!$F$5:$F$62,MATCH(K$3-$B158,'D Fleet'!$B$5:$B$62,0)),0)*IFERROR(INDEX('D Fleet'!$K$5:$K$36,INT(($B158/K$5))+1)+(($B158/K$5)-INT(($B158/K$5)))*(INDEX('D Fleet'!$K$5:$K$36,INT(($B158/K$5))+2)-INDEX('D Fleet'!$K$5:$K$36,INT(($B158/K$5))+1)),0)</f>
        <v/>
      </c>
      <c r="L158" s="276">
        <f>IFERROR(INDEX('D Fleet'!$F$5:$F$62,MATCH(L$3-$B158,'D Fleet'!$B$5:$B$62,0)),0)*IFERROR(INDEX('D Fleet'!$K$5:$K$36,INT(($B158/L$5))+1)+(($B158/L$5)-INT(($B158/L$5)))*(INDEX('D Fleet'!$K$5:$K$36,INT(($B158/L$5))+2)-INDEX('D Fleet'!$K$5:$K$36,INT(($B158/L$5))+1)),0)</f>
        <v/>
      </c>
      <c r="M158" s="276">
        <f>IFERROR(INDEX('D Fleet'!$F$5:$F$62,MATCH(M$3-$B158,'D Fleet'!$B$5:$B$62,0)),0)*IFERROR(INDEX('D Fleet'!$K$5:$K$36,INT(($B158/M$5))+1)+(($B158/M$5)-INT(($B158/M$5)))*(INDEX('D Fleet'!$K$5:$K$36,INT(($B158/M$5))+2)-INDEX('D Fleet'!$K$5:$K$36,INT(($B158/M$5))+1)),0)</f>
        <v/>
      </c>
      <c r="N158" s="276">
        <f>IFERROR(INDEX('D Fleet'!$F$5:$F$62,MATCH(N$3-$B158,'D Fleet'!$B$5:$B$62,0)),0)*IFERROR(INDEX('D Fleet'!$K$5:$K$36,INT(($B158/N$5))+1)+(($B158/N$5)-INT(($B158/N$5)))*(INDEX('D Fleet'!$K$5:$K$36,INT(($B158/N$5))+2)-INDEX('D Fleet'!$K$5:$K$36,INT(($B158/N$5))+1)),0)</f>
        <v/>
      </c>
      <c r="P158" s="276">
        <f>E158*$D158*'E1 Fleet'!$D$100</f>
        <v/>
      </c>
      <c r="Q158" s="276">
        <f>F158*$D158*'E1 Fleet'!$D$100</f>
        <v/>
      </c>
      <c r="R158" s="276">
        <f>G158*$D158*'E1 Fleet'!$D$100</f>
        <v/>
      </c>
      <c r="S158" s="276">
        <f>H158*$D158*'E1 Fleet'!$D$100</f>
        <v/>
      </c>
      <c r="T158" s="276">
        <f>I158*$D158*'E1 Fleet'!$D$100</f>
        <v/>
      </c>
      <c r="U158" s="276">
        <f>J158*$D158*'E1 Fleet'!$D$100</f>
        <v/>
      </c>
      <c r="V158" s="276">
        <f>K158*$D158*'E1 Fleet'!$D$100</f>
        <v/>
      </c>
      <c r="W158" s="276">
        <f>L158*$D158*'E1 Fleet'!$D$100</f>
        <v/>
      </c>
      <c r="X158" s="276">
        <f>M158*$D158*'E1 Fleet'!$D$100</f>
        <v/>
      </c>
      <c r="Y158" s="276">
        <f>N158*$D158*'E1 Fleet'!$D$100</f>
        <v/>
      </c>
    </row>
    <row r="159">
      <c r="A159" t="inlineStr">
        <is>
          <t>Van</t>
        </is>
      </c>
      <c r="B159" t="n">
        <v>14</v>
      </c>
      <c r="C159" t="n">
        <v>3</v>
      </c>
      <c r="D159" s="275">
        <f>IF($B159=0,'E1 Fleet'!$D$93,1)*EXP(-'E1 Fleet'!$D$94*MAX($B159-6,0))</f>
        <v/>
      </c>
      <c r="E159" s="276">
        <f>IFERROR(INDEX('D Fleet'!$F$5:$F$62,MATCH(E$3-$B159,'D Fleet'!$B$5:$B$62,0)),0)*IFERROR(INDEX('D Fleet'!$K$5:$K$36,INT(($B159/E$5))+1)+(($B159/E$5)-INT(($B159/E$5)))*(INDEX('D Fleet'!$K$5:$K$36,INT(($B159/E$5))+2)-INDEX('D Fleet'!$K$5:$K$36,INT(($B159/E$5))+1)),0)</f>
        <v/>
      </c>
      <c r="F159" s="276">
        <f>IFERROR(INDEX('D Fleet'!$F$5:$F$62,MATCH(F$3-$B159,'D Fleet'!$B$5:$B$62,0)),0)*IFERROR(INDEX('D Fleet'!$K$5:$K$36,INT(($B159/F$5))+1)+(($B159/F$5)-INT(($B159/F$5)))*(INDEX('D Fleet'!$K$5:$K$36,INT(($B159/F$5))+2)-INDEX('D Fleet'!$K$5:$K$36,INT(($B159/F$5))+1)),0)</f>
        <v/>
      </c>
      <c r="G159" s="276">
        <f>IFERROR(INDEX('D Fleet'!$F$5:$F$62,MATCH(G$3-$B159,'D Fleet'!$B$5:$B$62,0)),0)*IFERROR(INDEX('D Fleet'!$K$5:$K$36,INT(($B159/G$5))+1)+(($B159/G$5)-INT(($B159/G$5)))*(INDEX('D Fleet'!$K$5:$K$36,INT(($B159/G$5))+2)-INDEX('D Fleet'!$K$5:$K$36,INT(($B159/G$5))+1)),0)</f>
        <v/>
      </c>
      <c r="H159" s="276">
        <f>IFERROR(INDEX('D Fleet'!$F$5:$F$62,MATCH(H$3-$B159,'D Fleet'!$B$5:$B$62,0)),0)*IFERROR(INDEX('D Fleet'!$K$5:$K$36,INT(($B159/H$5))+1)+(($B159/H$5)-INT(($B159/H$5)))*(INDEX('D Fleet'!$K$5:$K$36,INT(($B159/H$5))+2)-INDEX('D Fleet'!$K$5:$K$36,INT(($B159/H$5))+1)),0)</f>
        <v/>
      </c>
      <c r="I159" s="276">
        <f>IFERROR(INDEX('D Fleet'!$F$5:$F$62,MATCH(I$3-$B159,'D Fleet'!$B$5:$B$62,0)),0)*IFERROR(INDEX('D Fleet'!$K$5:$K$36,INT(($B159/I$5))+1)+(($B159/I$5)-INT(($B159/I$5)))*(INDEX('D Fleet'!$K$5:$K$36,INT(($B159/I$5))+2)-INDEX('D Fleet'!$K$5:$K$36,INT(($B159/I$5))+1)),0)</f>
        <v/>
      </c>
      <c r="J159" s="276">
        <f>IFERROR(INDEX('D Fleet'!$F$5:$F$62,MATCH(J$3-$B159,'D Fleet'!$B$5:$B$62,0)),0)*IFERROR(INDEX('D Fleet'!$K$5:$K$36,INT(($B159/J$5))+1)+(($B159/J$5)-INT(($B159/J$5)))*(INDEX('D Fleet'!$K$5:$K$36,INT(($B159/J$5))+2)-INDEX('D Fleet'!$K$5:$K$36,INT(($B159/J$5))+1)),0)</f>
        <v/>
      </c>
      <c r="K159" s="276">
        <f>IFERROR(INDEX('D Fleet'!$F$5:$F$62,MATCH(K$3-$B159,'D Fleet'!$B$5:$B$62,0)),0)*IFERROR(INDEX('D Fleet'!$K$5:$K$36,INT(($B159/K$5))+1)+(($B159/K$5)-INT(($B159/K$5)))*(INDEX('D Fleet'!$K$5:$K$36,INT(($B159/K$5))+2)-INDEX('D Fleet'!$K$5:$K$36,INT(($B159/K$5))+1)),0)</f>
        <v/>
      </c>
      <c r="L159" s="276">
        <f>IFERROR(INDEX('D Fleet'!$F$5:$F$62,MATCH(L$3-$B159,'D Fleet'!$B$5:$B$62,0)),0)*IFERROR(INDEX('D Fleet'!$K$5:$K$36,INT(($B159/L$5))+1)+(($B159/L$5)-INT(($B159/L$5)))*(INDEX('D Fleet'!$K$5:$K$36,INT(($B159/L$5))+2)-INDEX('D Fleet'!$K$5:$K$36,INT(($B159/L$5))+1)),0)</f>
        <v/>
      </c>
      <c r="M159" s="276">
        <f>IFERROR(INDEX('D Fleet'!$F$5:$F$62,MATCH(M$3-$B159,'D Fleet'!$B$5:$B$62,0)),0)*IFERROR(INDEX('D Fleet'!$K$5:$K$36,INT(($B159/M$5))+1)+(($B159/M$5)-INT(($B159/M$5)))*(INDEX('D Fleet'!$K$5:$K$36,INT(($B159/M$5))+2)-INDEX('D Fleet'!$K$5:$K$36,INT(($B159/M$5))+1)),0)</f>
        <v/>
      </c>
      <c r="N159" s="276">
        <f>IFERROR(INDEX('D Fleet'!$F$5:$F$62,MATCH(N$3-$B159,'D Fleet'!$B$5:$B$62,0)),0)*IFERROR(INDEX('D Fleet'!$K$5:$K$36,INT(($B159/N$5))+1)+(($B159/N$5)-INT(($B159/N$5)))*(INDEX('D Fleet'!$K$5:$K$36,INT(($B159/N$5))+2)-INDEX('D Fleet'!$K$5:$K$36,INT(($B159/N$5))+1)),0)</f>
        <v/>
      </c>
      <c r="P159" s="276">
        <f>E159*$D159*'E1 Fleet'!$D$100</f>
        <v/>
      </c>
      <c r="Q159" s="276">
        <f>F159*$D159*'E1 Fleet'!$D$100</f>
        <v/>
      </c>
      <c r="R159" s="276">
        <f>G159*$D159*'E1 Fleet'!$D$100</f>
        <v/>
      </c>
      <c r="S159" s="276">
        <f>H159*$D159*'E1 Fleet'!$D$100</f>
        <v/>
      </c>
      <c r="T159" s="276">
        <f>I159*$D159*'E1 Fleet'!$D$100</f>
        <v/>
      </c>
      <c r="U159" s="276">
        <f>J159*$D159*'E1 Fleet'!$D$100</f>
        <v/>
      </c>
      <c r="V159" s="276">
        <f>K159*$D159*'E1 Fleet'!$D$100</f>
        <v/>
      </c>
      <c r="W159" s="276">
        <f>L159*$D159*'E1 Fleet'!$D$100</f>
        <v/>
      </c>
      <c r="X159" s="276">
        <f>M159*$D159*'E1 Fleet'!$D$100</f>
        <v/>
      </c>
      <c r="Y159" s="276">
        <f>N159*$D159*'E1 Fleet'!$D$100</f>
        <v/>
      </c>
    </row>
    <row r="160">
      <c r="A160" t="inlineStr">
        <is>
          <t>Van</t>
        </is>
      </c>
      <c r="B160" t="n">
        <v>15</v>
      </c>
      <c r="C160" t="n">
        <v>3</v>
      </c>
      <c r="D160" s="275">
        <f>IF($B160=0,'E1 Fleet'!$D$93,1)*EXP(-'E1 Fleet'!$D$94*MAX($B160-6,0))</f>
        <v/>
      </c>
      <c r="E160" s="276">
        <f>IFERROR(INDEX('D Fleet'!$F$5:$F$62,MATCH(E$3-$B160,'D Fleet'!$B$5:$B$62,0)),0)*IFERROR(INDEX('D Fleet'!$K$5:$K$36,INT(($B160/E$5))+1)+(($B160/E$5)-INT(($B160/E$5)))*(INDEX('D Fleet'!$K$5:$K$36,INT(($B160/E$5))+2)-INDEX('D Fleet'!$K$5:$K$36,INT(($B160/E$5))+1)),0)</f>
        <v/>
      </c>
      <c r="F160" s="276">
        <f>IFERROR(INDEX('D Fleet'!$F$5:$F$62,MATCH(F$3-$B160,'D Fleet'!$B$5:$B$62,0)),0)*IFERROR(INDEX('D Fleet'!$K$5:$K$36,INT(($B160/F$5))+1)+(($B160/F$5)-INT(($B160/F$5)))*(INDEX('D Fleet'!$K$5:$K$36,INT(($B160/F$5))+2)-INDEX('D Fleet'!$K$5:$K$36,INT(($B160/F$5))+1)),0)</f>
        <v/>
      </c>
      <c r="G160" s="276">
        <f>IFERROR(INDEX('D Fleet'!$F$5:$F$62,MATCH(G$3-$B160,'D Fleet'!$B$5:$B$62,0)),0)*IFERROR(INDEX('D Fleet'!$K$5:$K$36,INT(($B160/G$5))+1)+(($B160/G$5)-INT(($B160/G$5)))*(INDEX('D Fleet'!$K$5:$K$36,INT(($B160/G$5))+2)-INDEX('D Fleet'!$K$5:$K$36,INT(($B160/G$5))+1)),0)</f>
        <v/>
      </c>
      <c r="H160" s="276">
        <f>IFERROR(INDEX('D Fleet'!$F$5:$F$62,MATCH(H$3-$B160,'D Fleet'!$B$5:$B$62,0)),0)*IFERROR(INDEX('D Fleet'!$K$5:$K$36,INT(($B160/H$5))+1)+(($B160/H$5)-INT(($B160/H$5)))*(INDEX('D Fleet'!$K$5:$K$36,INT(($B160/H$5))+2)-INDEX('D Fleet'!$K$5:$K$36,INT(($B160/H$5))+1)),0)</f>
        <v/>
      </c>
      <c r="I160" s="276">
        <f>IFERROR(INDEX('D Fleet'!$F$5:$F$62,MATCH(I$3-$B160,'D Fleet'!$B$5:$B$62,0)),0)*IFERROR(INDEX('D Fleet'!$K$5:$K$36,INT(($B160/I$5))+1)+(($B160/I$5)-INT(($B160/I$5)))*(INDEX('D Fleet'!$K$5:$K$36,INT(($B160/I$5))+2)-INDEX('D Fleet'!$K$5:$K$36,INT(($B160/I$5))+1)),0)</f>
        <v/>
      </c>
      <c r="J160" s="276">
        <f>IFERROR(INDEX('D Fleet'!$F$5:$F$62,MATCH(J$3-$B160,'D Fleet'!$B$5:$B$62,0)),0)*IFERROR(INDEX('D Fleet'!$K$5:$K$36,INT(($B160/J$5))+1)+(($B160/J$5)-INT(($B160/J$5)))*(INDEX('D Fleet'!$K$5:$K$36,INT(($B160/J$5))+2)-INDEX('D Fleet'!$K$5:$K$36,INT(($B160/J$5))+1)),0)</f>
        <v/>
      </c>
      <c r="K160" s="276">
        <f>IFERROR(INDEX('D Fleet'!$F$5:$F$62,MATCH(K$3-$B160,'D Fleet'!$B$5:$B$62,0)),0)*IFERROR(INDEX('D Fleet'!$K$5:$K$36,INT(($B160/K$5))+1)+(($B160/K$5)-INT(($B160/K$5)))*(INDEX('D Fleet'!$K$5:$K$36,INT(($B160/K$5))+2)-INDEX('D Fleet'!$K$5:$K$36,INT(($B160/K$5))+1)),0)</f>
        <v/>
      </c>
      <c r="L160" s="276">
        <f>IFERROR(INDEX('D Fleet'!$F$5:$F$62,MATCH(L$3-$B160,'D Fleet'!$B$5:$B$62,0)),0)*IFERROR(INDEX('D Fleet'!$K$5:$K$36,INT(($B160/L$5))+1)+(($B160/L$5)-INT(($B160/L$5)))*(INDEX('D Fleet'!$K$5:$K$36,INT(($B160/L$5))+2)-INDEX('D Fleet'!$K$5:$K$36,INT(($B160/L$5))+1)),0)</f>
        <v/>
      </c>
      <c r="M160" s="276">
        <f>IFERROR(INDEX('D Fleet'!$F$5:$F$62,MATCH(M$3-$B160,'D Fleet'!$B$5:$B$62,0)),0)*IFERROR(INDEX('D Fleet'!$K$5:$K$36,INT(($B160/M$5))+1)+(($B160/M$5)-INT(($B160/M$5)))*(INDEX('D Fleet'!$K$5:$K$36,INT(($B160/M$5))+2)-INDEX('D Fleet'!$K$5:$K$36,INT(($B160/M$5))+1)),0)</f>
        <v/>
      </c>
      <c r="N160" s="276">
        <f>IFERROR(INDEX('D Fleet'!$F$5:$F$62,MATCH(N$3-$B160,'D Fleet'!$B$5:$B$62,0)),0)*IFERROR(INDEX('D Fleet'!$K$5:$K$36,INT(($B160/N$5))+1)+(($B160/N$5)-INT(($B160/N$5)))*(INDEX('D Fleet'!$K$5:$K$36,INT(($B160/N$5))+2)-INDEX('D Fleet'!$K$5:$K$36,INT(($B160/N$5))+1)),0)</f>
        <v/>
      </c>
      <c r="P160" s="276">
        <f>E160*$D160*'E1 Fleet'!$D$100</f>
        <v/>
      </c>
      <c r="Q160" s="276">
        <f>F160*$D160*'E1 Fleet'!$D$100</f>
        <v/>
      </c>
      <c r="R160" s="276">
        <f>G160*$D160*'E1 Fleet'!$D$100</f>
        <v/>
      </c>
      <c r="S160" s="276">
        <f>H160*$D160*'E1 Fleet'!$D$100</f>
        <v/>
      </c>
      <c r="T160" s="276">
        <f>I160*$D160*'E1 Fleet'!$D$100</f>
        <v/>
      </c>
      <c r="U160" s="276">
        <f>J160*$D160*'E1 Fleet'!$D$100</f>
        <v/>
      </c>
      <c r="V160" s="276">
        <f>K160*$D160*'E1 Fleet'!$D$100</f>
        <v/>
      </c>
      <c r="W160" s="276">
        <f>L160*$D160*'E1 Fleet'!$D$100</f>
        <v/>
      </c>
      <c r="X160" s="276">
        <f>M160*$D160*'E1 Fleet'!$D$100</f>
        <v/>
      </c>
      <c r="Y160" s="276">
        <f>N160*$D160*'E1 Fleet'!$D$100</f>
        <v/>
      </c>
    </row>
    <row r="161">
      <c r="A161" t="inlineStr">
        <is>
          <t>Van</t>
        </is>
      </c>
      <c r="B161" t="n">
        <v>16</v>
      </c>
      <c r="C161" t="n">
        <v>3</v>
      </c>
      <c r="D161" s="275">
        <f>IF($B161=0,'E1 Fleet'!$D$93,1)*EXP(-'E1 Fleet'!$D$94*MAX($B161-6,0))</f>
        <v/>
      </c>
      <c r="E161" s="276">
        <f>IFERROR(INDEX('D Fleet'!$F$5:$F$62,MATCH(E$3-$B161,'D Fleet'!$B$5:$B$62,0)),0)*IFERROR(INDEX('D Fleet'!$K$5:$K$36,INT(($B161/E$5))+1)+(($B161/E$5)-INT(($B161/E$5)))*(INDEX('D Fleet'!$K$5:$K$36,INT(($B161/E$5))+2)-INDEX('D Fleet'!$K$5:$K$36,INT(($B161/E$5))+1)),0)</f>
        <v/>
      </c>
      <c r="F161" s="276">
        <f>IFERROR(INDEX('D Fleet'!$F$5:$F$62,MATCH(F$3-$B161,'D Fleet'!$B$5:$B$62,0)),0)*IFERROR(INDEX('D Fleet'!$K$5:$K$36,INT(($B161/F$5))+1)+(($B161/F$5)-INT(($B161/F$5)))*(INDEX('D Fleet'!$K$5:$K$36,INT(($B161/F$5))+2)-INDEX('D Fleet'!$K$5:$K$36,INT(($B161/F$5))+1)),0)</f>
        <v/>
      </c>
      <c r="G161" s="276">
        <f>IFERROR(INDEX('D Fleet'!$F$5:$F$62,MATCH(G$3-$B161,'D Fleet'!$B$5:$B$62,0)),0)*IFERROR(INDEX('D Fleet'!$K$5:$K$36,INT(($B161/G$5))+1)+(($B161/G$5)-INT(($B161/G$5)))*(INDEX('D Fleet'!$K$5:$K$36,INT(($B161/G$5))+2)-INDEX('D Fleet'!$K$5:$K$36,INT(($B161/G$5))+1)),0)</f>
        <v/>
      </c>
      <c r="H161" s="276">
        <f>IFERROR(INDEX('D Fleet'!$F$5:$F$62,MATCH(H$3-$B161,'D Fleet'!$B$5:$B$62,0)),0)*IFERROR(INDEX('D Fleet'!$K$5:$K$36,INT(($B161/H$5))+1)+(($B161/H$5)-INT(($B161/H$5)))*(INDEX('D Fleet'!$K$5:$K$36,INT(($B161/H$5))+2)-INDEX('D Fleet'!$K$5:$K$36,INT(($B161/H$5))+1)),0)</f>
        <v/>
      </c>
      <c r="I161" s="276">
        <f>IFERROR(INDEX('D Fleet'!$F$5:$F$62,MATCH(I$3-$B161,'D Fleet'!$B$5:$B$62,0)),0)*IFERROR(INDEX('D Fleet'!$K$5:$K$36,INT(($B161/I$5))+1)+(($B161/I$5)-INT(($B161/I$5)))*(INDEX('D Fleet'!$K$5:$K$36,INT(($B161/I$5))+2)-INDEX('D Fleet'!$K$5:$K$36,INT(($B161/I$5))+1)),0)</f>
        <v/>
      </c>
      <c r="J161" s="276">
        <f>IFERROR(INDEX('D Fleet'!$F$5:$F$62,MATCH(J$3-$B161,'D Fleet'!$B$5:$B$62,0)),0)*IFERROR(INDEX('D Fleet'!$K$5:$K$36,INT(($B161/J$5))+1)+(($B161/J$5)-INT(($B161/J$5)))*(INDEX('D Fleet'!$K$5:$K$36,INT(($B161/J$5))+2)-INDEX('D Fleet'!$K$5:$K$36,INT(($B161/J$5))+1)),0)</f>
        <v/>
      </c>
      <c r="K161" s="276">
        <f>IFERROR(INDEX('D Fleet'!$F$5:$F$62,MATCH(K$3-$B161,'D Fleet'!$B$5:$B$62,0)),0)*IFERROR(INDEX('D Fleet'!$K$5:$K$36,INT(($B161/K$5))+1)+(($B161/K$5)-INT(($B161/K$5)))*(INDEX('D Fleet'!$K$5:$K$36,INT(($B161/K$5))+2)-INDEX('D Fleet'!$K$5:$K$36,INT(($B161/K$5))+1)),0)</f>
        <v/>
      </c>
      <c r="L161" s="276">
        <f>IFERROR(INDEX('D Fleet'!$F$5:$F$62,MATCH(L$3-$B161,'D Fleet'!$B$5:$B$62,0)),0)*IFERROR(INDEX('D Fleet'!$K$5:$K$36,INT(($B161/L$5))+1)+(($B161/L$5)-INT(($B161/L$5)))*(INDEX('D Fleet'!$K$5:$K$36,INT(($B161/L$5))+2)-INDEX('D Fleet'!$K$5:$K$36,INT(($B161/L$5))+1)),0)</f>
        <v/>
      </c>
      <c r="M161" s="276">
        <f>IFERROR(INDEX('D Fleet'!$F$5:$F$62,MATCH(M$3-$B161,'D Fleet'!$B$5:$B$62,0)),0)*IFERROR(INDEX('D Fleet'!$K$5:$K$36,INT(($B161/M$5))+1)+(($B161/M$5)-INT(($B161/M$5)))*(INDEX('D Fleet'!$K$5:$K$36,INT(($B161/M$5))+2)-INDEX('D Fleet'!$K$5:$K$36,INT(($B161/M$5))+1)),0)</f>
        <v/>
      </c>
      <c r="N161" s="276">
        <f>IFERROR(INDEX('D Fleet'!$F$5:$F$62,MATCH(N$3-$B161,'D Fleet'!$B$5:$B$62,0)),0)*IFERROR(INDEX('D Fleet'!$K$5:$K$36,INT(($B161/N$5))+1)+(($B161/N$5)-INT(($B161/N$5)))*(INDEX('D Fleet'!$K$5:$K$36,INT(($B161/N$5))+2)-INDEX('D Fleet'!$K$5:$K$36,INT(($B161/N$5))+1)),0)</f>
        <v/>
      </c>
      <c r="P161" s="276">
        <f>E161*$D161*'E1 Fleet'!$D$100</f>
        <v/>
      </c>
      <c r="Q161" s="276">
        <f>F161*$D161*'E1 Fleet'!$D$100</f>
        <v/>
      </c>
      <c r="R161" s="276">
        <f>G161*$D161*'E1 Fleet'!$D$100</f>
        <v/>
      </c>
      <c r="S161" s="276">
        <f>H161*$D161*'E1 Fleet'!$D$100</f>
        <v/>
      </c>
      <c r="T161" s="276">
        <f>I161*$D161*'E1 Fleet'!$D$100</f>
        <v/>
      </c>
      <c r="U161" s="276">
        <f>J161*$D161*'E1 Fleet'!$D$100</f>
        <v/>
      </c>
      <c r="V161" s="276">
        <f>K161*$D161*'E1 Fleet'!$D$100</f>
        <v/>
      </c>
      <c r="W161" s="276">
        <f>L161*$D161*'E1 Fleet'!$D$100</f>
        <v/>
      </c>
      <c r="X161" s="276">
        <f>M161*$D161*'E1 Fleet'!$D$100</f>
        <v/>
      </c>
      <c r="Y161" s="276">
        <f>N161*$D161*'E1 Fleet'!$D$100</f>
        <v/>
      </c>
    </row>
    <row r="162">
      <c r="A162" t="inlineStr">
        <is>
          <t>Van</t>
        </is>
      </c>
      <c r="B162" t="n">
        <v>17</v>
      </c>
      <c r="C162" t="n">
        <v>3</v>
      </c>
      <c r="D162" s="275">
        <f>IF($B162=0,'E1 Fleet'!$D$93,1)*EXP(-'E1 Fleet'!$D$94*MAX($B162-6,0))</f>
        <v/>
      </c>
      <c r="E162" s="276">
        <f>IFERROR(INDEX('D Fleet'!$F$5:$F$62,MATCH(E$3-$B162,'D Fleet'!$B$5:$B$62,0)),0)*IFERROR(INDEX('D Fleet'!$K$5:$K$36,INT(($B162/E$5))+1)+(($B162/E$5)-INT(($B162/E$5)))*(INDEX('D Fleet'!$K$5:$K$36,INT(($B162/E$5))+2)-INDEX('D Fleet'!$K$5:$K$36,INT(($B162/E$5))+1)),0)</f>
        <v/>
      </c>
      <c r="F162" s="276">
        <f>IFERROR(INDEX('D Fleet'!$F$5:$F$62,MATCH(F$3-$B162,'D Fleet'!$B$5:$B$62,0)),0)*IFERROR(INDEX('D Fleet'!$K$5:$K$36,INT(($B162/F$5))+1)+(($B162/F$5)-INT(($B162/F$5)))*(INDEX('D Fleet'!$K$5:$K$36,INT(($B162/F$5))+2)-INDEX('D Fleet'!$K$5:$K$36,INT(($B162/F$5))+1)),0)</f>
        <v/>
      </c>
      <c r="G162" s="276">
        <f>IFERROR(INDEX('D Fleet'!$F$5:$F$62,MATCH(G$3-$B162,'D Fleet'!$B$5:$B$62,0)),0)*IFERROR(INDEX('D Fleet'!$K$5:$K$36,INT(($B162/G$5))+1)+(($B162/G$5)-INT(($B162/G$5)))*(INDEX('D Fleet'!$K$5:$K$36,INT(($B162/G$5))+2)-INDEX('D Fleet'!$K$5:$K$36,INT(($B162/G$5))+1)),0)</f>
        <v/>
      </c>
      <c r="H162" s="276">
        <f>IFERROR(INDEX('D Fleet'!$F$5:$F$62,MATCH(H$3-$B162,'D Fleet'!$B$5:$B$62,0)),0)*IFERROR(INDEX('D Fleet'!$K$5:$K$36,INT(($B162/H$5))+1)+(($B162/H$5)-INT(($B162/H$5)))*(INDEX('D Fleet'!$K$5:$K$36,INT(($B162/H$5))+2)-INDEX('D Fleet'!$K$5:$K$36,INT(($B162/H$5))+1)),0)</f>
        <v/>
      </c>
      <c r="I162" s="276">
        <f>IFERROR(INDEX('D Fleet'!$F$5:$F$62,MATCH(I$3-$B162,'D Fleet'!$B$5:$B$62,0)),0)*IFERROR(INDEX('D Fleet'!$K$5:$K$36,INT(($B162/I$5))+1)+(($B162/I$5)-INT(($B162/I$5)))*(INDEX('D Fleet'!$K$5:$K$36,INT(($B162/I$5))+2)-INDEX('D Fleet'!$K$5:$K$36,INT(($B162/I$5))+1)),0)</f>
        <v/>
      </c>
      <c r="J162" s="276">
        <f>IFERROR(INDEX('D Fleet'!$F$5:$F$62,MATCH(J$3-$B162,'D Fleet'!$B$5:$B$62,0)),0)*IFERROR(INDEX('D Fleet'!$K$5:$K$36,INT(($B162/J$5))+1)+(($B162/J$5)-INT(($B162/J$5)))*(INDEX('D Fleet'!$K$5:$K$36,INT(($B162/J$5))+2)-INDEX('D Fleet'!$K$5:$K$36,INT(($B162/J$5))+1)),0)</f>
        <v/>
      </c>
      <c r="K162" s="276">
        <f>IFERROR(INDEX('D Fleet'!$F$5:$F$62,MATCH(K$3-$B162,'D Fleet'!$B$5:$B$62,0)),0)*IFERROR(INDEX('D Fleet'!$K$5:$K$36,INT(($B162/K$5))+1)+(($B162/K$5)-INT(($B162/K$5)))*(INDEX('D Fleet'!$K$5:$K$36,INT(($B162/K$5))+2)-INDEX('D Fleet'!$K$5:$K$36,INT(($B162/K$5))+1)),0)</f>
        <v/>
      </c>
      <c r="L162" s="276">
        <f>IFERROR(INDEX('D Fleet'!$F$5:$F$62,MATCH(L$3-$B162,'D Fleet'!$B$5:$B$62,0)),0)*IFERROR(INDEX('D Fleet'!$K$5:$K$36,INT(($B162/L$5))+1)+(($B162/L$5)-INT(($B162/L$5)))*(INDEX('D Fleet'!$K$5:$K$36,INT(($B162/L$5))+2)-INDEX('D Fleet'!$K$5:$K$36,INT(($B162/L$5))+1)),0)</f>
        <v/>
      </c>
      <c r="M162" s="276">
        <f>IFERROR(INDEX('D Fleet'!$F$5:$F$62,MATCH(M$3-$B162,'D Fleet'!$B$5:$B$62,0)),0)*IFERROR(INDEX('D Fleet'!$K$5:$K$36,INT(($B162/M$5))+1)+(($B162/M$5)-INT(($B162/M$5)))*(INDEX('D Fleet'!$K$5:$K$36,INT(($B162/M$5))+2)-INDEX('D Fleet'!$K$5:$K$36,INT(($B162/M$5))+1)),0)</f>
        <v/>
      </c>
      <c r="N162" s="276">
        <f>IFERROR(INDEX('D Fleet'!$F$5:$F$62,MATCH(N$3-$B162,'D Fleet'!$B$5:$B$62,0)),0)*IFERROR(INDEX('D Fleet'!$K$5:$K$36,INT(($B162/N$5))+1)+(($B162/N$5)-INT(($B162/N$5)))*(INDEX('D Fleet'!$K$5:$K$36,INT(($B162/N$5))+2)-INDEX('D Fleet'!$K$5:$K$36,INT(($B162/N$5))+1)),0)</f>
        <v/>
      </c>
      <c r="P162" s="276">
        <f>E162*$D162*'E1 Fleet'!$D$100</f>
        <v/>
      </c>
      <c r="Q162" s="276">
        <f>F162*$D162*'E1 Fleet'!$D$100</f>
        <v/>
      </c>
      <c r="R162" s="276">
        <f>G162*$D162*'E1 Fleet'!$D$100</f>
        <v/>
      </c>
      <c r="S162" s="276">
        <f>H162*$D162*'E1 Fleet'!$D$100</f>
        <v/>
      </c>
      <c r="T162" s="276">
        <f>I162*$D162*'E1 Fleet'!$D$100</f>
        <v/>
      </c>
      <c r="U162" s="276">
        <f>J162*$D162*'E1 Fleet'!$D$100</f>
        <v/>
      </c>
      <c r="V162" s="276">
        <f>K162*$D162*'E1 Fleet'!$D$100</f>
        <v/>
      </c>
      <c r="W162" s="276">
        <f>L162*$D162*'E1 Fleet'!$D$100</f>
        <v/>
      </c>
      <c r="X162" s="276">
        <f>M162*$D162*'E1 Fleet'!$D$100</f>
        <v/>
      </c>
      <c r="Y162" s="276">
        <f>N162*$D162*'E1 Fleet'!$D$100</f>
        <v/>
      </c>
    </row>
    <row r="163">
      <c r="A163" t="inlineStr">
        <is>
          <t>Van</t>
        </is>
      </c>
      <c r="B163" t="n">
        <v>18</v>
      </c>
      <c r="C163" t="n">
        <v>3</v>
      </c>
      <c r="D163" s="275">
        <f>IF($B163=0,'E1 Fleet'!$D$93,1)*EXP(-'E1 Fleet'!$D$94*MAX($B163-6,0))</f>
        <v/>
      </c>
      <c r="E163" s="276">
        <f>IFERROR(INDEX('D Fleet'!$F$5:$F$62,MATCH(E$3-$B163,'D Fleet'!$B$5:$B$62,0)),0)*IFERROR(INDEX('D Fleet'!$K$5:$K$36,INT(($B163/E$5))+1)+(($B163/E$5)-INT(($B163/E$5)))*(INDEX('D Fleet'!$K$5:$K$36,INT(($B163/E$5))+2)-INDEX('D Fleet'!$K$5:$K$36,INT(($B163/E$5))+1)),0)</f>
        <v/>
      </c>
      <c r="F163" s="276">
        <f>IFERROR(INDEX('D Fleet'!$F$5:$F$62,MATCH(F$3-$B163,'D Fleet'!$B$5:$B$62,0)),0)*IFERROR(INDEX('D Fleet'!$K$5:$K$36,INT(($B163/F$5))+1)+(($B163/F$5)-INT(($B163/F$5)))*(INDEX('D Fleet'!$K$5:$K$36,INT(($B163/F$5))+2)-INDEX('D Fleet'!$K$5:$K$36,INT(($B163/F$5))+1)),0)</f>
        <v/>
      </c>
      <c r="G163" s="276">
        <f>IFERROR(INDEX('D Fleet'!$F$5:$F$62,MATCH(G$3-$B163,'D Fleet'!$B$5:$B$62,0)),0)*IFERROR(INDEX('D Fleet'!$K$5:$K$36,INT(($B163/G$5))+1)+(($B163/G$5)-INT(($B163/G$5)))*(INDEX('D Fleet'!$K$5:$K$36,INT(($B163/G$5))+2)-INDEX('D Fleet'!$K$5:$K$36,INT(($B163/G$5))+1)),0)</f>
        <v/>
      </c>
      <c r="H163" s="276">
        <f>IFERROR(INDEX('D Fleet'!$F$5:$F$62,MATCH(H$3-$B163,'D Fleet'!$B$5:$B$62,0)),0)*IFERROR(INDEX('D Fleet'!$K$5:$K$36,INT(($B163/H$5))+1)+(($B163/H$5)-INT(($B163/H$5)))*(INDEX('D Fleet'!$K$5:$K$36,INT(($B163/H$5))+2)-INDEX('D Fleet'!$K$5:$K$36,INT(($B163/H$5))+1)),0)</f>
        <v/>
      </c>
      <c r="I163" s="276">
        <f>IFERROR(INDEX('D Fleet'!$F$5:$F$62,MATCH(I$3-$B163,'D Fleet'!$B$5:$B$62,0)),0)*IFERROR(INDEX('D Fleet'!$K$5:$K$36,INT(($B163/I$5))+1)+(($B163/I$5)-INT(($B163/I$5)))*(INDEX('D Fleet'!$K$5:$K$36,INT(($B163/I$5))+2)-INDEX('D Fleet'!$K$5:$K$36,INT(($B163/I$5))+1)),0)</f>
        <v/>
      </c>
      <c r="J163" s="276">
        <f>IFERROR(INDEX('D Fleet'!$F$5:$F$62,MATCH(J$3-$B163,'D Fleet'!$B$5:$B$62,0)),0)*IFERROR(INDEX('D Fleet'!$K$5:$K$36,INT(($B163/J$5))+1)+(($B163/J$5)-INT(($B163/J$5)))*(INDEX('D Fleet'!$K$5:$K$36,INT(($B163/J$5))+2)-INDEX('D Fleet'!$K$5:$K$36,INT(($B163/J$5))+1)),0)</f>
        <v/>
      </c>
      <c r="K163" s="276">
        <f>IFERROR(INDEX('D Fleet'!$F$5:$F$62,MATCH(K$3-$B163,'D Fleet'!$B$5:$B$62,0)),0)*IFERROR(INDEX('D Fleet'!$K$5:$K$36,INT(($B163/K$5))+1)+(($B163/K$5)-INT(($B163/K$5)))*(INDEX('D Fleet'!$K$5:$K$36,INT(($B163/K$5))+2)-INDEX('D Fleet'!$K$5:$K$36,INT(($B163/K$5))+1)),0)</f>
        <v/>
      </c>
      <c r="L163" s="276">
        <f>IFERROR(INDEX('D Fleet'!$F$5:$F$62,MATCH(L$3-$B163,'D Fleet'!$B$5:$B$62,0)),0)*IFERROR(INDEX('D Fleet'!$K$5:$K$36,INT(($B163/L$5))+1)+(($B163/L$5)-INT(($B163/L$5)))*(INDEX('D Fleet'!$K$5:$K$36,INT(($B163/L$5))+2)-INDEX('D Fleet'!$K$5:$K$36,INT(($B163/L$5))+1)),0)</f>
        <v/>
      </c>
      <c r="M163" s="276">
        <f>IFERROR(INDEX('D Fleet'!$F$5:$F$62,MATCH(M$3-$B163,'D Fleet'!$B$5:$B$62,0)),0)*IFERROR(INDEX('D Fleet'!$K$5:$K$36,INT(($B163/M$5))+1)+(($B163/M$5)-INT(($B163/M$5)))*(INDEX('D Fleet'!$K$5:$K$36,INT(($B163/M$5))+2)-INDEX('D Fleet'!$K$5:$K$36,INT(($B163/M$5))+1)),0)</f>
        <v/>
      </c>
      <c r="N163" s="276">
        <f>IFERROR(INDEX('D Fleet'!$F$5:$F$62,MATCH(N$3-$B163,'D Fleet'!$B$5:$B$62,0)),0)*IFERROR(INDEX('D Fleet'!$K$5:$K$36,INT(($B163/N$5))+1)+(($B163/N$5)-INT(($B163/N$5)))*(INDEX('D Fleet'!$K$5:$K$36,INT(($B163/N$5))+2)-INDEX('D Fleet'!$K$5:$K$36,INT(($B163/N$5))+1)),0)</f>
        <v/>
      </c>
      <c r="P163" s="276">
        <f>E163*$D163*'E1 Fleet'!$D$100</f>
        <v/>
      </c>
      <c r="Q163" s="276">
        <f>F163*$D163*'E1 Fleet'!$D$100</f>
        <v/>
      </c>
      <c r="R163" s="276">
        <f>G163*$D163*'E1 Fleet'!$D$100</f>
        <v/>
      </c>
      <c r="S163" s="276">
        <f>H163*$D163*'E1 Fleet'!$D$100</f>
        <v/>
      </c>
      <c r="T163" s="276">
        <f>I163*$D163*'E1 Fleet'!$D$100</f>
        <v/>
      </c>
      <c r="U163" s="276">
        <f>J163*$D163*'E1 Fleet'!$D$100</f>
        <v/>
      </c>
      <c r="V163" s="276">
        <f>K163*$D163*'E1 Fleet'!$D$100</f>
        <v/>
      </c>
      <c r="W163" s="276">
        <f>L163*$D163*'E1 Fleet'!$D$100</f>
        <v/>
      </c>
      <c r="X163" s="276">
        <f>M163*$D163*'E1 Fleet'!$D$100</f>
        <v/>
      </c>
      <c r="Y163" s="276">
        <f>N163*$D163*'E1 Fleet'!$D$100</f>
        <v/>
      </c>
    </row>
    <row r="164">
      <c r="A164" t="inlineStr">
        <is>
          <t>Van</t>
        </is>
      </c>
      <c r="B164" t="n">
        <v>19</v>
      </c>
      <c r="C164" t="n">
        <v>3</v>
      </c>
      <c r="D164" s="275">
        <f>IF($B164=0,'E1 Fleet'!$D$93,1)*EXP(-'E1 Fleet'!$D$94*MAX($B164-6,0))</f>
        <v/>
      </c>
      <c r="E164" s="276">
        <f>IFERROR(INDEX('D Fleet'!$F$5:$F$62,MATCH(E$3-$B164,'D Fleet'!$B$5:$B$62,0)),0)*IFERROR(INDEX('D Fleet'!$K$5:$K$36,INT(($B164/E$5))+1)+(($B164/E$5)-INT(($B164/E$5)))*(INDEX('D Fleet'!$K$5:$K$36,INT(($B164/E$5))+2)-INDEX('D Fleet'!$K$5:$K$36,INT(($B164/E$5))+1)),0)</f>
        <v/>
      </c>
      <c r="F164" s="276">
        <f>IFERROR(INDEX('D Fleet'!$F$5:$F$62,MATCH(F$3-$B164,'D Fleet'!$B$5:$B$62,0)),0)*IFERROR(INDEX('D Fleet'!$K$5:$K$36,INT(($B164/F$5))+1)+(($B164/F$5)-INT(($B164/F$5)))*(INDEX('D Fleet'!$K$5:$K$36,INT(($B164/F$5))+2)-INDEX('D Fleet'!$K$5:$K$36,INT(($B164/F$5))+1)),0)</f>
        <v/>
      </c>
      <c r="G164" s="276">
        <f>IFERROR(INDEX('D Fleet'!$F$5:$F$62,MATCH(G$3-$B164,'D Fleet'!$B$5:$B$62,0)),0)*IFERROR(INDEX('D Fleet'!$K$5:$K$36,INT(($B164/G$5))+1)+(($B164/G$5)-INT(($B164/G$5)))*(INDEX('D Fleet'!$K$5:$K$36,INT(($B164/G$5))+2)-INDEX('D Fleet'!$K$5:$K$36,INT(($B164/G$5))+1)),0)</f>
        <v/>
      </c>
      <c r="H164" s="276">
        <f>IFERROR(INDEX('D Fleet'!$F$5:$F$62,MATCH(H$3-$B164,'D Fleet'!$B$5:$B$62,0)),0)*IFERROR(INDEX('D Fleet'!$K$5:$K$36,INT(($B164/H$5))+1)+(($B164/H$5)-INT(($B164/H$5)))*(INDEX('D Fleet'!$K$5:$K$36,INT(($B164/H$5))+2)-INDEX('D Fleet'!$K$5:$K$36,INT(($B164/H$5))+1)),0)</f>
        <v/>
      </c>
      <c r="I164" s="276">
        <f>IFERROR(INDEX('D Fleet'!$F$5:$F$62,MATCH(I$3-$B164,'D Fleet'!$B$5:$B$62,0)),0)*IFERROR(INDEX('D Fleet'!$K$5:$K$36,INT(($B164/I$5))+1)+(($B164/I$5)-INT(($B164/I$5)))*(INDEX('D Fleet'!$K$5:$K$36,INT(($B164/I$5))+2)-INDEX('D Fleet'!$K$5:$K$36,INT(($B164/I$5))+1)),0)</f>
        <v/>
      </c>
      <c r="J164" s="276">
        <f>IFERROR(INDEX('D Fleet'!$F$5:$F$62,MATCH(J$3-$B164,'D Fleet'!$B$5:$B$62,0)),0)*IFERROR(INDEX('D Fleet'!$K$5:$K$36,INT(($B164/J$5))+1)+(($B164/J$5)-INT(($B164/J$5)))*(INDEX('D Fleet'!$K$5:$K$36,INT(($B164/J$5))+2)-INDEX('D Fleet'!$K$5:$K$36,INT(($B164/J$5))+1)),0)</f>
        <v/>
      </c>
      <c r="K164" s="276">
        <f>IFERROR(INDEX('D Fleet'!$F$5:$F$62,MATCH(K$3-$B164,'D Fleet'!$B$5:$B$62,0)),0)*IFERROR(INDEX('D Fleet'!$K$5:$K$36,INT(($B164/K$5))+1)+(($B164/K$5)-INT(($B164/K$5)))*(INDEX('D Fleet'!$K$5:$K$36,INT(($B164/K$5))+2)-INDEX('D Fleet'!$K$5:$K$36,INT(($B164/K$5))+1)),0)</f>
        <v/>
      </c>
      <c r="L164" s="276">
        <f>IFERROR(INDEX('D Fleet'!$F$5:$F$62,MATCH(L$3-$B164,'D Fleet'!$B$5:$B$62,0)),0)*IFERROR(INDEX('D Fleet'!$K$5:$K$36,INT(($B164/L$5))+1)+(($B164/L$5)-INT(($B164/L$5)))*(INDEX('D Fleet'!$K$5:$K$36,INT(($B164/L$5))+2)-INDEX('D Fleet'!$K$5:$K$36,INT(($B164/L$5))+1)),0)</f>
        <v/>
      </c>
      <c r="M164" s="276">
        <f>IFERROR(INDEX('D Fleet'!$F$5:$F$62,MATCH(M$3-$B164,'D Fleet'!$B$5:$B$62,0)),0)*IFERROR(INDEX('D Fleet'!$K$5:$K$36,INT(($B164/M$5))+1)+(($B164/M$5)-INT(($B164/M$5)))*(INDEX('D Fleet'!$K$5:$K$36,INT(($B164/M$5))+2)-INDEX('D Fleet'!$K$5:$K$36,INT(($B164/M$5))+1)),0)</f>
        <v/>
      </c>
      <c r="N164" s="276">
        <f>IFERROR(INDEX('D Fleet'!$F$5:$F$62,MATCH(N$3-$B164,'D Fleet'!$B$5:$B$62,0)),0)*IFERROR(INDEX('D Fleet'!$K$5:$K$36,INT(($B164/N$5))+1)+(($B164/N$5)-INT(($B164/N$5)))*(INDEX('D Fleet'!$K$5:$K$36,INT(($B164/N$5))+2)-INDEX('D Fleet'!$K$5:$K$36,INT(($B164/N$5))+1)),0)</f>
        <v/>
      </c>
      <c r="P164" s="276">
        <f>E164*$D164*'E1 Fleet'!$D$100</f>
        <v/>
      </c>
      <c r="Q164" s="276">
        <f>F164*$D164*'E1 Fleet'!$D$100</f>
        <v/>
      </c>
      <c r="R164" s="276">
        <f>G164*$D164*'E1 Fleet'!$D$100</f>
        <v/>
      </c>
      <c r="S164" s="276">
        <f>H164*$D164*'E1 Fleet'!$D$100</f>
        <v/>
      </c>
      <c r="T164" s="276">
        <f>I164*$D164*'E1 Fleet'!$D$100</f>
        <v/>
      </c>
      <c r="U164" s="276">
        <f>J164*$D164*'E1 Fleet'!$D$100</f>
        <v/>
      </c>
      <c r="V164" s="276">
        <f>K164*$D164*'E1 Fleet'!$D$100</f>
        <v/>
      </c>
      <c r="W164" s="276">
        <f>L164*$D164*'E1 Fleet'!$D$100</f>
        <v/>
      </c>
      <c r="X164" s="276">
        <f>M164*$D164*'E1 Fleet'!$D$100</f>
        <v/>
      </c>
      <c r="Y164" s="276">
        <f>N164*$D164*'E1 Fleet'!$D$100</f>
        <v/>
      </c>
    </row>
    <row r="165">
      <c r="A165" t="inlineStr">
        <is>
          <t>Van</t>
        </is>
      </c>
      <c r="B165" t="n">
        <v>20</v>
      </c>
      <c r="C165" t="n">
        <v>3</v>
      </c>
      <c r="D165" s="275">
        <f>IF($B165=0,'E1 Fleet'!$D$93,1)*EXP(-'E1 Fleet'!$D$94*MAX($B165-6,0))</f>
        <v/>
      </c>
      <c r="E165" s="276">
        <f>IFERROR(INDEX('D Fleet'!$F$5:$F$62,MATCH(E$3-$B165,'D Fleet'!$B$5:$B$62,0)),0)*IFERROR(INDEX('D Fleet'!$K$5:$K$36,INT(($B165/E$5))+1)+(($B165/E$5)-INT(($B165/E$5)))*(INDEX('D Fleet'!$K$5:$K$36,INT(($B165/E$5))+2)-INDEX('D Fleet'!$K$5:$K$36,INT(($B165/E$5))+1)),0)</f>
        <v/>
      </c>
      <c r="F165" s="276">
        <f>IFERROR(INDEX('D Fleet'!$F$5:$F$62,MATCH(F$3-$B165,'D Fleet'!$B$5:$B$62,0)),0)*IFERROR(INDEX('D Fleet'!$K$5:$K$36,INT(($B165/F$5))+1)+(($B165/F$5)-INT(($B165/F$5)))*(INDEX('D Fleet'!$K$5:$K$36,INT(($B165/F$5))+2)-INDEX('D Fleet'!$K$5:$K$36,INT(($B165/F$5))+1)),0)</f>
        <v/>
      </c>
      <c r="G165" s="276">
        <f>IFERROR(INDEX('D Fleet'!$F$5:$F$62,MATCH(G$3-$B165,'D Fleet'!$B$5:$B$62,0)),0)*IFERROR(INDEX('D Fleet'!$K$5:$K$36,INT(($B165/G$5))+1)+(($B165/G$5)-INT(($B165/G$5)))*(INDEX('D Fleet'!$K$5:$K$36,INT(($B165/G$5))+2)-INDEX('D Fleet'!$K$5:$K$36,INT(($B165/G$5))+1)),0)</f>
        <v/>
      </c>
      <c r="H165" s="276">
        <f>IFERROR(INDEX('D Fleet'!$F$5:$F$62,MATCH(H$3-$B165,'D Fleet'!$B$5:$B$62,0)),0)*IFERROR(INDEX('D Fleet'!$K$5:$K$36,INT(($B165/H$5))+1)+(($B165/H$5)-INT(($B165/H$5)))*(INDEX('D Fleet'!$K$5:$K$36,INT(($B165/H$5))+2)-INDEX('D Fleet'!$K$5:$K$36,INT(($B165/H$5))+1)),0)</f>
        <v/>
      </c>
      <c r="I165" s="276">
        <f>IFERROR(INDEX('D Fleet'!$F$5:$F$62,MATCH(I$3-$B165,'D Fleet'!$B$5:$B$62,0)),0)*IFERROR(INDEX('D Fleet'!$K$5:$K$36,INT(($B165/I$5))+1)+(($B165/I$5)-INT(($B165/I$5)))*(INDEX('D Fleet'!$K$5:$K$36,INT(($B165/I$5))+2)-INDEX('D Fleet'!$K$5:$K$36,INT(($B165/I$5))+1)),0)</f>
        <v/>
      </c>
      <c r="J165" s="276">
        <f>IFERROR(INDEX('D Fleet'!$F$5:$F$62,MATCH(J$3-$B165,'D Fleet'!$B$5:$B$62,0)),0)*IFERROR(INDEX('D Fleet'!$K$5:$K$36,INT(($B165/J$5))+1)+(($B165/J$5)-INT(($B165/J$5)))*(INDEX('D Fleet'!$K$5:$K$36,INT(($B165/J$5))+2)-INDEX('D Fleet'!$K$5:$K$36,INT(($B165/J$5))+1)),0)</f>
        <v/>
      </c>
      <c r="K165" s="276">
        <f>IFERROR(INDEX('D Fleet'!$F$5:$F$62,MATCH(K$3-$B165,'D Fleet'!$B$5:$B$62,0)),0)*IFERROR(INDEX('D Fleet'!$K$5:$K$36,INT(($B165/K$5))+1)+(($B165/K$5)-INT(($B165/K$5)))*(INDEX('D Fleet'!$K$5:$K$36,INT(($B165/K$5))+2)-INDEX('D Fleet'!$K$5:$K$36,INT(($B165/K$5))+1)),0)</f>
        <v/>
      </c>
      <c r="L165" s="276">
        <f>IFERROR(INDEX('D Fleet'!$F$5:$F$62,MATCH(L$3-$B165,'D Fleet'!$B$5:$B$62,0)),0)*IFERROR(INDEX('D Fleet'!$K$5:$K$36,INT(($B165/L$5))+1)+(($B165/L$5)-INT(($B165/L$5)))*(INDEX('D Fleet'!$K$5:$K$36,INT(($B165/L$5))+2)-INDEX('D Fleet'!$K$5:$K$36,INT(($B165/L$5))+1)),0)</f>
        <v/>
      </c>
      <c r="M165" s="276">
        <f>IFERROR(INDEX('D Fleet'!$F$5:$F$62,MATCH(M$3-$B165,'D Fleet'!$B$5:$B$62,0)),0)*IFERROR(INDEX('D Fleet'!$K$5:$K$36,INT(($B165/M$5))+1)+(($B165/M$5)-INT(($B165/M$5)))*(INDEX('D Fleet'!$K$5:$K$36,INT(($B165/M$5))+2)-INDEX('D Fleet'!$K$5:$K$36,INT(($B165/M$5))+1)),0)</f>
        <v/>
      </c>
      <c r="N165" s="276">
        <f>IFERROR(INDEX('D Fleet'!$F$5:$F$62,MATCH(N$3-$B165,'D Fleet'!$B$5:$B$62,0)),0)*IFERROR(INDEX('D Fleet'!$K$5:$K$36,INT(($B165/N$5))+1)+(($B165/N$5)-INT(($B165/N$5)))*(INDEX('D Fleet'!$K$5:$K$36,INT(($B165/N$5))+2)-INDEX('D Fleet'!$K$5:$K$36,INT(($B165/N$5))+1)),0)</f>
        <v/>
      </c>
      <c r="P165" s="276">
        <f>E165*$D165*'E1 Fleet'!$D$100</f>
        <v/>
      </c>
      <c r="Q165" s="276">
        <f>F165*$D165*'E1 Fleet'!$D$100</f>
        <v/>
      </c>
      <c r="R165" s="276">
        <f>G165*$D165*'E1 Fleet'!$D$100</f>
        <v/>
      </c>
      <c r="S165" s="276">
        <f>H165*$D165*'E1 Fleet'!$D$100</f>
        <v/>
      </c>
      <c r="T165" s="276">
        <f>I165*$D165*'E1 Fleet'!$D$100</f>
        <v/>
      </c>
      <c r="U165" s="276">
        <f>J165*$D165*'E1 Fleet'!$D$100</f>
        <v/>
      </c>
      <c r="V165" s="276">
        <f>K165*$D165*'E1 Fleet'!$D$100</f>
        <v/>
      </c>
      <c r="W165" s="276">
        <f>L165*$D165*'E1 Fleet'!$D$100</f>
        <v/>
      </c>
      <c r="X165" s="276">
        <f>M165*$D165*'E1 Fleet'!$D$100</f>
        <v/>
      </c>
      <c r="Y165" s="276">
        <f>N165*$D165*'E1 Fleet'!$D$100</f>
        <v/>
      </c>
    </row>
    <row r="166">
      <c r="A166" t="inlineStr">
        <is>
          <t>Van</t>
        </is>
      </c>
      <c r="B166" t="n">
        <v>21</v>
      </c>
      <c r="C166" t="n">
        <v>3</v>
      </c>
      <c r="D166" s="275">
        <f>IF($B166=0,'E1 Fleet'!$D$93,1)*EXP(-'E1 Fleet'!$D$94*MAX($B166-6,0))</f>
        <v/>
      </c>
      <c r="E166" s="276">
        <f>IFERROR(INDEX('D Fleet'!$F$5:$F$62,MATCH(E$3-$B166,'D Fleet'!$B$5:$B$62,0)),0)*IFERROR(INDEX('D Fleet'!$K$5:$K$36,INT(($B166/E$5))+1)+(($B166/E$5)-INT(($B166/E$5)))*(INDEX('D Fleet'!$K$5:$K$36,INT(($B166/E$5))+2)-INDEX('D Fleet'!$K$5:$K$36,INT(($B166/E$5))+1)),0)</f>
        <v/>
      </c>
      <c r="F166" s="276">
        <f>IFERROR(INDEX('D Fleet'!$F$5:$F$62,MATCH(F$3-$B166,'D Fleet'!$B$5:$B$62,0)),0)*IFERROR(INDEX('D Fleet'!$K$5:$K$36,INT(($B166/F$5))+1)+(($B166/F$5)-INT(($B166/F$5)))*(INDEX('D Fleet'!$K$5:$K$36,INT(($B166/F$5))+2)-INDEX('D Fleet'!$K$5:$K$36,INT(($B166/F$5))+1)),0)</f>
        <v/>
      </c>
      <c r="G166" s="276">
        <f>IFERROR(INDEX('D Fleet'!$F$5:$F$62,MATCH(G$3-$B166,'D Fleet'!$B$5:$B$62,0)),0)*IFERROR(INDEX('D Fleet'!$K$5:$K$36,INT(($B166/G$5))+1)+(($B166/G$5)-INT(($B166/G$5)))*(INDEX('D Fleet'!$K$5:$K$36,INT(($B166/G$5))+2)-INDEX('D Fleet'!$K$5:$K$36,INT(($B166/G$5))+1)),0)</f>
        <v/>
      </c>
      <c r="H166" s="276">
        <f>IFERROR(INDEX('D Fleet'!$F$5:$F$62,MATCH(H$3-$B166,'D Fleet'!$B$5:$B$62,0)),0)*IFERROR(INDEX('D Fleet'!$K$5:$K$36,INT(($B166/H$5))+1)+(($B166/H$5)-INT(($B166/H$5)))*(INDEX('D Fleet'!$K$5:$K$36,INT(($B166/H$5))+2)-INDEX('D Fleet'!$K$5:$K$36,INT(($B166/H$5))+1)),0)</f>
        <v/>
      </c>
      <c r="I166" s="276">
        <f>IFERROR(INDEX('D Fleet'!$F$5:$F$62,MATCH(I$3-$B166,'D Fleet'!$B$5:$B$62,0)),0)*IFERROR(INDEX('D Fleet'!$K$5:$K$36,INT(($B166/I$5))+1)+(($B166/I$5)-INT(($B166/I$5)))*(INDEX('D Fleet'!$K$5:$K$36,INT(($B166/I$5))+2)-INDEX('D Fleet'!$K$5:$K$36,INT(($B166/I$5))+1)),0)</f>
        <v/>
      </c>
      <c r="J166" s="276">
        <f>IFERROR(INDEX('D Fleet'!$F$5:$F$62,MATCH(J$3-$B166,'D Fleet'!$B$5:$B$62,0)),0)*IFERROR(INDEX('D Fleet'!$K$5:$K$36,INT(($B166/J$5))+1)+(($B166/J$5)-INT(($B166/J$5)))*(INDEX('D Fleet'!$K$5:$K$36,INT(($B166/J$5))+2)-INDEX('D Fleet'!$K$5:$K$36,INT(($B166/J$5))+1)),0)</f>
        <v/>
      </c>
      <c r="K166" s="276">
        <f>IFERROR(INDEX('D Fleet'!$F$5:$F$62,MATCH(K$3-$B166,'D Fleet'!$B$5:$B$62,0)),0)*IFERROR(INDEX('D Fleet'!$K$5:$K$36,INT(($B166/K$5))+1)+(($B166/K$5)-INT(($B166/K$5)))*(INDEX('D Fleet'!$K$5:$K$36,INT(($B166/K$5))+2)-INDEX('D Fleet'!$K$5:$K$36,INT(($B166/K$5))+1)),0)</f>
        <v/>
      </c>
      <c r="L166" s="276">
        <f>IFERROR(INDEX('D Fleet'!$F$5:$F$62,MATCH(L$3-$B166,'D Fleet'!$B$5:$B$62,0)),0)*IFERROR(INDEX('D Fleet'!$K$5:$K$36,INT(($B166/L$5))+1)+(($B166/L$5)-INT(($B166/L$5)))*(INDEX('D Fleet'!$K$5:$K$36,INT(($B166/L$5))+2)-INDEX('D Fleet'!$K$5:$K$36,INT(($B166/L$5))+1)),0)</f>
        <v/>
      </c>
      <c r="M166" s="276">
        <f>IFERROR(INDEX('D Fleet'!$F$5:$F$62,MATCH(M$3-$B166,'D Fleet'!$B$5:$B$62,0)),0)*IFERROR(INDEX('D Fleet'!$K$5:$K$36,INT(($B166/M$5))+1)+(($B166/M$5)-INT(($B166/M$5)))*(INDEX('D Fleet'!$K$5:$K$36,INT(($B166/M$5))+2)-INDEX('D Fleet'!$K$5:$K$36,INT(($B166/M$5))+1)),0)</f>
        <v/>
      </c>
      <c r="N166" s="276">
        <f>IFERROR(INDEX('D Fleet'!$F$5:$F$62,MATCH(N$3-$B166,'D Fleet'!$B$5:$B$62,0)),0)*IFERROR(INDEX('D Fleet'!$K$5:$K$36,INT(($B166/N$5))+1)+(($B166/N$5)-INT(($B166/N$5)))*(INDEX('D Fleet'!$K$5:$K$36,INT(($B166/N$5))+2)-INDEX('D Fleet'!$K$5:$K$36,INT(($B166/N$5))+1)),0)</f>
        <v/>
      </c>
      <c r="P166" s="276">
        <f>E166*$D166*'E1 Fleet'!$D$100</f>
        <v/>
      </c>
      <c r="Q166" s="276">
        <f>F166*$D166*'E1 Fleet'!$D$100</f>
        <v/>
      </c>
      <c r="R166" s="276">
        <f>G166*$D166*'E1 Fleet'!$D$100</f>
        <v/>
      </c>
      <c r="S166" s="276">
        <f>H166*$D166*'E1 Fleet'!$D$100</f>
        <v/>
      </c>
      <c r="T166" s="276">
        <f>I166*$D166*'E1 Fleet'!$D$100</f>
        <v/>
      </c>
      <c r="U166" s="276">
        <f>J166*$D166*'E1 Fleet'!$D$100</f>
        <v/>
      </c>
      <c r="V166" s="276">
        <f>K166*$D166*'E1 Fleet'!$D$100</f>
        <v/>
      </c>
      <c r="W166" s="276">
        <f>L166*$D166*'E1 Fleet'!$D$100</f>
        <v/>
      </c>
      <c r="X166" s="276">
        <f>M166*$D166*'E1 Fleet'!$D$100</f>
        <v/>
      </c>
      <c r="Y166" s="276">
        <f>N166*$D166*'E1 Fleet'!$D$100</f>
        <v/>
      </c>
    </row>
    <row r="167">
      <c r="A167" t="inlineStr">
        <is>
          <t>Van</t>
        </is>
      </c>
      <c r="B167" t="n">
        <v>22</v>
      </c>
      <c r="C167" t="n">
        <v>3</v>
      </c>
      <c r="D167" s="275">
        <f>IF($B167=0,'E1 Fleet'!$D$93,1)*EXP(-'E1 Fleet'!$D$94*MAX($B167-6,0))</f>
        <v/>
      </c>
      <c r="E167" s="276">
        <f>IFERROR(INDEX('D Fleet'!$F$5:$F$62,MATCH(E$3-$B167,'D Fleet'!$B$5:$B$62,0)),0)*IFERROR(INDEX('D Fleet'!$K$5:$K$36,INT(($B167/E$5))+1)+(($B167/E$5)-INT(($B167/E$5)))*(INDEX('D Fleet'!$K$5:$K$36,INT(($B167/E$5))+2)-INDEX('D Fleet'!$K$5:$K$36,INT(($B167/E$5))+1)),0)</f>
        <v/>
      </c>
      <c r="F167" s="276">
        <f>IFERROR(INDEX('D Fleet'!$F$5:$F$62,MATCH(F$3-$B167,'D Fleet'!$B$5:$B$62,0)),0)*IFERROR(INDEX('D Fleet'!$K$5:$K$36,INT(($B167/F$5))+1)+(($B167/F$5)-INT(($B167/F$5)))*(INDEX('D Fleet'!$K$5:$K$36,INT(($B167/F$5))+2)-INDEX('D Fleet'!$K$5:$K$36,INT(($B167/F$5))+1)),0)</f>
        <v/>
      </c>
      <c r="G167" s="276">
        <f>IFERROR(INDEX('D Fleet'!$F$5:$F$62,MATCH(G$3-$B167,'D Fleet'!$B$5:$B$62,0)),0)*IFERROR(INDEX('D Fleet'!$K$5:$K$36,INT(($B167/G$5))+1)+(($B167/G$5)-INT(($B167/G$5)))*(INDEX('D Fleet'!$K$5:$K$36,INT(($B167/G$5))+2)-INDEX('D Fleet'!$K$5:$K$36,INT(($B167/G$5))+1)),0)</f>
        <v/>
      </c>
      <c r="H167" s="276">
        <f>IFERROR(INDEX('D Fleet'!$F$5:$F$62,MATCH(H$3-$B167,'D Fleet'!$B$5:$B$62,0)),0)*IFERROR(INDEX('D Fleet'!$K$5:$K$36,INT(($B167/H$5))+1)+(($B167/H$5)-INT(($B167/H$5)))*(INDEX('D Fleet'!$K$5:$K$36,INT(($B167/H$5))+2)-INDEX('D Fleet'!$K$5:$K$36,INT(($B167/H$5))+1)),0)</f>
        <v/>
      </c>
      <c r="I167" s="276">
        <f>IFERROR(INDEX('D Fleet'!$F$5:$F$62,MATCH(I$3-$B167,'D Fleet'!$B$5:$B$62,0)),0)*IFERROR(INDEX('D Fleet'!$K$5:$K$36,INT(($B167/I$5))+1)+(($B167/I$5)-INT(($B167/I$5)))*(INDEX('D Fleet'!$K$5:$K$36,INT(($B167/I$5))+2)-INDEX('D Fleet'!$K$5:$K$36,INT(($B167/I$5))+1)),0)</f>
        <v/>
      </c>
      <c r="J167" s="276">
        <f>IFERROR(INDEX('D Fleet'!$F$5:$F$62,MATCH(J$3-$B167,'D Fleet'!$B$5:$B$62,0)),0)*IFERROR(INDEX('D Fleet'!$K$5:$K$36,INT(($B167/J$5))+1)+(($B167/J$5)-INT(($B167/J$5)))*(INDEX('D Fleet'!$K$5:$K$36,INT(($B167/J$5))+2)-INDEX('D Fleet'!$K$5:$K$36,INT(($B167/J$5))+1)),0)</f>
        <v/>
      </c>
      <c r="K167" s="276">
        <f>IFERROR(INDEX('D Fleet'!$F$5:$F$62,MATCH(K$3-$B167,'D Fleet'!$B$5:$B$62,0)),0)*IFERROR(INDEX('D Fleet'!$K$5:$K$36,INT(($B167/K$5))+1)+(($B167/K$5)-INT(($B167/K$5)))*(INDEX('D Fleet'!$K$5:$K$36,INT(($B167/K$5))+2)-INDEX('D Fleet'!$K$5:$K$36,INT(($B167/K$5))+1)),0)</f>
        <v/>
      </c>
      <c r="L167" s="276">
        <f>IFERROR(INDEX('D Fleet'!$F$5:$F$62,MATCH(L$3-$B167,'D Fleet'!$B$5:$B$62,0)),0)*IFERROR(INDEX('D Fleet'!$K$5:$K$36,INT(($B167/L$5))+1)+(($B167/L$5)-INT(($B167/L$5)))*(INDEX('D Fleet'!$K$5:$K$36,INT(($B167/L$5))+2)-INDEX('D Fleet'!$K$5:$K$36,INT(($B167/L$5))+1)),0)</f>
        <v/>
      </c>
      <c r="M167" s="276">
        <f>IFERROR(INDEX('D Fleet'!$F$5:$F$62,MATCH(M$3-$B167,'D Fleet'!$B$5:$B$62,0)),0)*IFERROR(INDEX('D Fleet'!$K$5:$K$36,INT(($B167/M$5))+1)+(($B167/M$5)-INT(($B167/M$5)))*(INDEX('D Fleet'!$K$5:$K$36,INT(($B167/M$5))+2)-INDEX('D Fleet'!$K$5:$K$36,INT(($B167/M$5))+1)),0)</f>
        <v/>
      </c>
      <c r="N167" s="276">
        <f>IFERROR(INDEX('D Fleet'!$F$5:$F$62,MATCH(N$3-$B167,'D Fleet'!$B$5:$B$62,0)),0)*IFERROR(INDEX('D Fleet'!$K$5:$K$36,INT(($B167/N$5))+1)+(($B167/N$5)-INT(($B167/N$5)))*(INDEX('D Fleet'!$K$5:$K$36,INT(($B167/N$5))+2)-INDEX('D Fleet'!$K$5:$K$36,INT(($B167/N$5))+1)),0)</f>
        <v/>
      </c>
      <c r="P167" s="276">
        <f>E167*$D167*'E1 Fleet'!$D$100</f>
        <v/>
      </c>
      <c r="Q167" s="276">
        <f>F167*$D167*'E1 Fleet'!$D$100</f>
        <v/>
      </c>
      <c r="R167" s="276">
        <f>G167*$D167*'E1 Fleet'!$D$100</f>
        <v/>
      </c>
      <c r="S167" s="276">
        <f>H167*$D167*'E1 Fleet'!$D$100</f>
        <v/>
      </c>
      <c r="T167" s="276">
        <f>I167*$D167*'E1 Fleet'!$D$100</f>
        <v/>
      </c>
      <c r="U167" s="276">
        <f>J167*$D167*'E1 Fleet'!$D$100</f>
        <v/>
      </c>
      <c r="V167" s="276">
        <f>K167*$D167*'E1 Fleet'!$D$100</f>
        <v/>
      </c>
      <c r="W167" s="276">
        <f>L167*$D167*'E1 Fleet'!$D$100</f>
        <v/>
      </c>
      <c r="X167" s="276">
        <f>M167*$D167*'E1 Fleet'!$D$100</f>
        <v/>
      </c>
      <c r="Y167" s="276">
        <f>N167*$D167*'E1 Fleet'!$D$100</f>
        <v/>
      </c>
    </row>
    <row r="168">
      <c r="A168" t="inlineStr">
        <is>
          <t>Van</t>
        </is>
      </c>
      <c r="B168" t="n">
        <v>23</v>
      </c>
      <c r="C168" t="n">
        <v>3</v>
      </c>
      <c r="D168" s="275">
        <f>IF($B168=0,'E1 Fleet'!$D$93,1)*EXP(-'E1 Fleet'!$D$94*MAX($B168-6,0))</f>
        <v/>
      </c>
      <c r="E168" s="276">
        <f>IFERROR(INDEX('D Fleet'!$F$5:$F$62,MATCH(E$3-$B168,'D Fleet'!$B$5:$B$62,0)),0)*IFERROR(INDEX('D Fleet'!$K$5:$K$36,INT(($B168/E$5))+1)+(($B168/E$5)-INT(($B168/E$5)))*(INDEX('D Fleet'!$K$5:$K$36,INT(($B168/E$5))+2)-INDEX('D Fleet'!$K$5:$K$36,INT(($B168/E$5))+1)),0)</f>
        <v/>
      </c>
      <c r="F168" s="276">
        <f>IFERROR(INDEX('D Fleet'!$F$5:$F$62,MATCH(F$3-$B168,'D Fleet'!$B$5:$B$62,0)),0)*IFERROR(INDEX('D Fleet'!$K$5:$K$36,INT(($B168/F$5))+1)+(($B168/F$5)-INT(($B168/F$5)))*(INDEX('D Fleet'!$K$5:$K$36,INT(($B168/F$5))+2)-INDEX('D Fleet'!$K$5:$K$36,INT(($B168/F$5))+1)),0)</f>
        <v/>
      </c>
      <c r="G168" s="276">
        <f>IFERROR(INDEX('D Fleet'!$F$5:$F$62,MATCH(G$3-$B168,'D Fleet'!$B$5:$B$62,0)),0)*IFERROR(INDEX('D Fleet'!$K$5:$K$36,INT(($B168/G$5))+1)+(($B168/G$5)-INT(($B168/G$5)))*(INDEX('D Fleet'!$K$5:$K$36,INT(($B168/G$5))+2)-INDEX('D Fleet'!$K$5:$K$36,INT(($B168/G$5))+1)),0)</f>
        <v/>
      </c>
      <c r="H168" s="276">
        <f>IFERROR(INDEX('D Fleet'!$F$5:$F$62,MATCH(H$3-$B168,'D Fleet'!$B$5:$B$62,0)),0)*IFERROR(INDEX('D Fleet'!$K$5:$K$36,INT(($B168/H$5))+1)+(($B168/H$5)-INT(($B168/H$5)))*(INDEX('D Fleet'!$K$5:$K$36,INT(($B168/H$5))+2)-INDEX('D Fleet'!$K$5:$K$36,INT(($B168/H$5))+1)),0)</f>
        <v/>
      </c>
      <c r="I168" s="276">
        <f>IFERROR(INDEX('D Fleet'!$F$5:$F$62,MATCH(I$3-$B168,'D Fleet'!$B$5:$B$62,0)),0)*IFERROR(INDEX('D Fleet'!$K$5:$K$36,INT(($B168/I$5))+1)+(($B168/I$5)-INT(($B168/I$5)))*(INDEX('D Fleet'!$K$5:$K$36,INT(($B168/I$5))+2)-INDEX('D Fleet'!$K$5:$K$36,INT(($B168/I$5))+1)),0)</f>
        <v/>
      </c>
      <c r="J168" s="276">
        <f>IFERROR(INDEX('D Fleet'!$F$5:$F$62,MATCH(J$3-$B168,'D Fleet'!$B$5:$B$62,0)),0)*IFERROR(INDEX('D Fleet'!$K$5:$K$36,INT(($B168/J$5))+1)+(($B168/J$5)-INT(($B168/J$5)))*(INDEX('D Fleet'!$K$5:$K$36,INT(($B168/J$5))+2)-INDEX('D Fleet'!$K$5:$K$36,INT(($B168/J$5))+1)),0)</f>
        <v/>
      </c>
      <c r="K168" s="276">
        <f>IFERROR(INDEX('D Fleet'!$F$5:$F$62,MATCH(K$3-$B168,'D Fleet'!$B$5:$B$62,0)),0)*IFERROR(INDEX('D Fleet'!$K$5:$K$36,INT(($B168/K$5))+1)+(($B168/K$5)-INT(($B168/K$5)))*(INDEX('D Fleet'!$K$5:$K$36,INT(($B168/K$5))+2)-INDEX('D Fleet'!$K$5:$K$36,INT(($B168/K$5))+1)),0)</f>
        <v/>
      </c>
      <c r="L168" s="276">
        <f>IFERROR(INDEX('D Fleet'!$F$5:$F$62,MATCH(L$3-$B168,'D Fleet'!$B$5:$B$62,0)),0)*IFERROR(INDEX('D Fleet'!$K$5:$K$36,INT(($B168/L$5))+1)+(($B168/L$5)-INT(($B168/L$5)))*(INDEX('D Fleet'!$K$5:$K$36,INT(($B168/L$5))+2)-INDEX('D Fleet'!$K$5:$K$36,INT(($B168/L$5))+1)),0)</f>
        <v/>
      </c>
      <c r="M168" s="276">
        <f>IFERROR(INDEX('D Fleet'!$F$5:$F$62,MATCH(M$3-$B168,'D Fleet'!$B$5:$B$62,0)),0)*IFERROR(INDEX('D Fleet'!$K$5:$K$36,INT(($B168/M$5))+1)+(($B168/M$5)-INT(($B168/M$5)))*(INDEX('D Fleet'!$K$5:$K$36,INT(($B168/M$5))+2)-INDEX('D Fleet'!$K$5:$K$36,INT(($B168/M$5))+1)),0)</f>
        <v/>
      </c>
      <c r="N168" s="276">
        <f>IFERROR(INDEX('D Fleet'!$F$5:$F$62,MATCH(N$3-$B168,'D Fleet'!$B$5:$B$62,0)),0)*IFERROR(INDEX('D Fleet'!$K$5:$K$36,INT(($B168/N$5))+1)+(($B168/N$5)-INT(($B168/N$5)))*(INDEX('D Fleet'!$K$5:$K$36,INT(($B168/N$5))+2)-INDEX('D Fleet'!$K$5:$K$36,INT(($B168/N$5))+1)),0)</f>
        <v/>
      </c>
      <c r="P168" s="276">
        <f>E168*$D168*'E1 Fleet'!$D$100</f>
        <v/>
      </c>
      <c r="Q168" s="276">
        <f>F168*$D168*'E1 Fleet'!$D$100</f>
        <v/>
      </c>
      <c r="R168" s="276">
        <f>G168*$D168*'E1 Fleet'!$D$100</f>
        <v/>
      </c>
      <c r="S168" s="276">
        <f>H168*$D168*'E1 Fleet'!$D$100</f>
        <v/>
      </c>
      <c r="T168" s="276">
        <f>I168*$D168*'E1 Fleet'!$D$100</f>
        <v/>
      </c>
      <c r="U168" s="276">
        <f>J168*$D168*'E1 Fleet'!$D$100</f>
        <v/>
      </c>
      <c r="V168" s="276">
        <f>K168*$D168*'E1 Fleet'!$D$100</f>
        <v/>
      </c>
      <c r="W168" s="276">
        <f>L168*$D168*'E1 Fleet'!$D$100</f>
        <v/>
      </c>
      <c r="X168" s="276">
        <f>M168*$D168*'E1 Fleet'!$D$100</f>
        <v/>
      </c>
      <c r="Y168" s="276">
        <f>N168*$D168*'E1 Fleet'!$D$100</f>
        <v/>
      </c>
    </row>
    <row r="169">
      <c r="A169" t="inlineStr">
        <is>
          <t>Van</t>
        </is>
      </c>
      <c r="B169" t="n">
        <v>24</v>
      </c>
      <c r="C169" t="n">
        <v>3</v>
      </c>
      <c r="D169" s="275">
        <f>IF($B169=0,'E1 Fleet'!$D$93,1)*EXP(-'E1 Fleet'!$D$94*MAX($B169-6,0))</f>
        <v/>
      </c>
      <c r="E169" s="276">
        <f>IFERROR(INDEX('D Fleet'!$F$5:$F$62,MATCH(E$3-$B169,'D Fleet'!$B$5:$B$62,0)),0)*IFERROR(INDEX('D Fleet'!$K$5:$K$36,INT(($B169/E$5))+1)+(($B169/E$5)-INT(($B169/E$5)))*(INDEX('D Fleet'!$K$5:$K$36,INT(($B169/E$5))+2)-INDEX('D Fleet'!$K$5:$K$36,INT(($B169/E$5))+1)),0)</f>
        <v/>
      </c>
      <c r="F169" s="276">
        <f>IFERROR(INDEX('D Fleet'!$F$5:$F$62,MATCH(F$3-$B169,'D Fleet'!$B$5:$B$62,0)),0)*IFERROR(INDEX('D Fleet'!$K$5:$K$36,INT(($B169/F$5))+1)+(($B169/F$5)-INT(($B169/F$5)))*(INDEX('D Fleet'!$K$5:$K$36,INT(($B169/F$5))+2)-INDEX('D Fleet'!$K$5:$K$36,INT(($B169/F$5))+1)),0)</f>
        <v/>
      </c>
      <c r="G169" s="276">
        <f>IFERROR(INDEX('D Fleet'!$F$5:$F$62,MATCH(G$3-$B169,'D Fleet'!$B$5:$B$62,0)),0)*IFERROR(INDEX('D Fleet'!$K$5:$K$36,INT(($B169/G$5))+1)+(($B169/G$5)-INT(($B169/G$5)))*(INDEX('D Fleet'!$K$5:$K$36,INT(($B169/G$5))+2)-INDEX('D Fleet'!$K$5:$K$36,INT(($B169/G$5))+1)),0)</f>
        <v/>
      </c>
      <c r="H169" s="276">
        <f>IFERROR(INDEX('D Fleet'!$F$5:$F$62,MATCH(H$3-$B169,'D Fleet'!$B$5:$B$62,0)),0)*IFERROR(INDEX('D Fleet'!$K$5:$K$36,INT(($B169/H$5))+1)+(($B169/H$5)-INT(($B169/H$5)))*(INDEX('D Fleet'!$K$5:$K$36,INT(($B169/H$5))+2)-INDEX('D Fleet'!$K$5:$K$36,INT(($B169/H$5))+1)),0)</f>
        <v/>
      </c>
      <c r="I169" s="276">
        <f>IFERROR(INDEX('D Fleet'!$F$5:$F$62,MATCH(I$3-$B169,'D Fleet'!$B$5:$B$62,0)),0)*IFERROR(INDEX('D Fleet'!$K$5:$K$36,INT(($B169/I$5))+1)+(($B169/I$5)-INT(($B169/I$5)))*(INDEX('D Fleet'!$K$5:$K$36,INT(($B169/I$5))+2)-INDEX('D Fleet'!$K$5:$K$36,INT(($B169/I$5))+1)),0)</f>
        <v/>
      </c>
      <c r="J169" s="276">
        <f>IFERROR(INDEX('D Fleet'!$F$5:$F$62,MATCH(J$3-$B169,'D Fleet'!$B$5:$B$62,0)),0)*IFERROR(INDEX('D Fleet'!$K$5:$K$36,INT(($B169/J$5))+1)+(($B169/J$5)-INT(($B169/J$5)))*(INDEX('D Fleet'!$K$5:$K$36,INT(($B169/J$5))+2)-INDEX('D Fleet'!$K$5:$K$36,INT(($B169/J$5))+1)),0)</f>
        <v/>
      </c>
      <c r="K169" s="276">
        <f>IFERROR(INDEX('D Fleet'!$F$5:$F$62,MATCH(K$3-$B169,'D Fleet'!$B$5:$B$62,0)),0)*IFERROR(INDEX('D Fleet'!$K$5:$K$36,INT(($B169/K$5))+1)+(($B169/K$5)-INT(($B169/K$5)))*(INDEX('D Fleet'!$K$5:$K$36,INT(($B169/K$5))+2)-INDEX('D Fleet'!$K$5:$K$36,INT(($B169/K$5))+1)),0)</f>
        <v/>
      </c>
      <c r="L169" s="276">
        <f>IFERROR(INDEX('D Fleet'!$F$5:$F$62,MATCH(L$3-$B169,'D Fleet'!$B$5:$B$62,0)),0)*IFERROR(INDEX('D Fleet'!$K$5:$K$36,INT(($B169/L$5))+1)+(($B169/L$5)-INT(($B169/L$5)))*(INDEX('D Fleet'!$K$5:$K$36,INT(($B169/L$5))+2)-INDEX('D Fleet'!$K$5:$K$36,INT(($B169/L$5))+1)),0)</f>
        <v/>
      </c>
      <c r="M169" s="276">
        <f>IFERROR(INDEX('D Fleet'!$F$5:$F$62,MATCH(M$3-$B169,'D Fleet'!$B$5:$B$62,0)),0)*IFERROR(INDEX('D Fleet'!$K$5:$K$36,INT(($B169/M$5))+1)+(($B169/M$5)-INT(($B169/M$5)))*(INDEX('D Fleet'!$K$5:$K$36,INT(($B169/M$5))+2)-INDEX('D Fleet'!$K$5:$K$36,INT(($B169/M$5))+1)),0)</f>
        <v/>
      </c>
      <c r="N169" s="276">
        <f>IFERROR(INDEX('D Fleet'!$F$5:$F$62,MATCH(N$3-$B169,'D Fleet'!$B$5:$B$62,0)),0)*IFERROR(INDEX('D Fleet'!$K$5:$K$36,INT(($B169/N$5))+1)+(($B169/N$5)-INT(($B169/N$5)))*(INDEX('D Fleet'!$K$5:$K$36,INT(($B169/N$5))+2)-INDEX('D Fleet'!$K$5:$K$36,INT(($B169/N$5))+1)),0)</f>
        <v/>
      </c>
      <c r="P169" s="276">
        <f>E169*$D169*'E1 Fleet'!$D$100</f>
        <v/>
      </c>
      <c r="Q169" s="276">
        <f>F169*$D169*'E1 Fleet'!$D$100</f>
        <v/>
      </c>
      <c r="R169" s="276">
        <f>G169*$D169*'E1 Fleet'!$D$100</f>
        <v/>
      </c>
      <c r="S169" s="276">
        <f>H169*$D169*'E1 Fleet'!$D$100</f>
        <v/>
      </c>
      <c r="T169" s="276">
        <f>I169*$D169*'E1 Fleet'!$D$100</f>
        <v/>
      </c>
      <c r="U169" s="276">
        <f>J169*$D169*'E1 Fleet'!$D$100</f>
        <v/>
      </c>
      <c r="V169" s="276">
        <f>K169*$D169*'E1 Fleet'!$D$100</f>
        <v/>
      </c>
      <c r="W169" s="276">
        <f>L169*$D169*'E1 Fleet'!$D$100</f>
        <v/>
      </c>
      <c r="X169" s="276">
        <f>M169*$D169*'E1 Fleet'!$D$100</f>
        <v/>
      </c>
      <c r="Y169" s="276">
        <f>N169*$D169*'E1 Fleet'!$D$100</f>
        <v/>
      </c>
    </row>
    <row r="170">
      <c r="A170" t="inlineStr">
        <is>
          <t>Van</t>
        </is>
      </c>
      <c r="B170" t="n">
        <v>25</v>
      </c>
      <c r="C170" t="n">
        <v>3</v>
      </c>
      <c r="D170" s="275">
        <f>IF($B170=0,'E1 Fleet'!$D$93,1)*EXP(-'E1 Fleet'!$D$94*MAX($B170-6,0))</f>
        <v/>
      </c>
      <c r="E170" s="276">
        <f>IFERROR(INDEX('D Fleet'!$F$5:$F$62,MATCH(E$3-$B170,'D Fleet'!$B$5:$B$62,0)),0)*IFERROR(INDEX('D Fleet'!$K$5:$K$36,INT(($B170/E$5))+1)+(($B170/E$5)-INT(($B170/E$5)))*(INDEX('D Fleet'!$K$5:$K$36,INT(($B170/E$5))+2)-INDEX('D Fleet'!$K$5:$K$36,INT(($B170/E$5))+1)),0)</f>
        <v/>
      </c>
      <c r="F170" s="276">
        <f>IFERROR(INDEX('D Fleet'!$F$5:$F$62,MATCH(F$3-$B170,'D Fleet'!$B$5:$B$62,0)),0)*IFERROR(INDEX('D Fleet'!$K$5:$K$36,INT(($B170/F$5))+1)+(($B170/F$5)-INT(($B170/F$5)))*(INDEX('D Fleet'!$K$5:$K$36,INT(($B170/F$5))+2)-INDEX('D Fleet'!$K$5:$K$36,INT(($B170/F$5))+1)),0)</f>
        <v/>
      </c>
      <c r="G170" s="276">
        <f>IFERROR(INDEX('D Fleet'!$F$5:$F$62,MATCH(G$3-$B170,'D Fleet'!$B$5:$B$62,0)),0)*IFERROR(INDEX('D Fleet'!$K$5:$K$36,INT(($B170/G$5))+1)+(($B170/G$5)-INT(($B170/G$5)))*(INDEX('D Fleet'!$K$5:$K$36,INT(($B170/G$5))+2)-INDEX('D Fleet'!$K$5:$K$36,INT(($B170/G$5))+1)),0)</f>
        <v/>
      </c>
      <c r="H170" s="276">
        <f>IFERROR(INDEX('D Fleet'!$F$5:$F$62,MATCH(H$3-$B170,'D Fleet'!$B$5:$B$62,0)),0)*IFERROR(INDEX('D Fleet'!$K$5:$K$36,INT(($B170/H$5))+1)+(($B170/H$5)-INT(($B170/H$5)))*(INDEX('D Fleet'!$K$5:$K$36,INT(($B170/H$5))+2)-INDEX('D Fleet'!$K$5:$K$36,INT(($B170/H$5))+1)),0)</f>
        <v/>
      </c>
      <c r="I170" s="276">
        <f>IFERROR(INDEX('D Fleet'!$F$5:$F$62,MATCH(I$3-$B170,'D Fleet'!$B$5:$B$62,0)),0)*IFERROR(INDEX('D Fleet'!$K$5:$K$36,INT(($B170/I$5))+1)+(($B170/I$5)-INT(($B170/I$5)))*(INDEX('D Fleet'!$K$5:$K$36,INT(($B170/I$5))+2)-INDEX('D Fleet'!$K$5:$K$36,INT(($B170/I$5))+1)),0)</f>
        <v/>
      </c>
      <c r="J170" s="276">
        <f>IFERROR(INDEX('D Fleet'!$F$5:$F$62,MATCH(J$3-$B170,'D Fleet'!$B$5:$B$62,0)),0)*IFERROR(INDEX('D Fleet'!$K$5:$K$36,INT(($B170/J$5))+1)+(($B170/J$5)-INT(($B170/J$5)))*(INDEX('D Fleet'!$K$5:$K$36,INT(($B170/J$5))+2)-INDEX('D Fleet'!$K$5:$K$36,INT(($B170/J$5))+1)),0)</f>
        <v/>
      </c>
      <c r="K170" s="276">
        <f>IFERROR(INDEX('D Fleet'!$F$5:$F$62,MATCH(K$3-$B170,'D Fleet'!$B$5:$B$62,0)),0)*IFERROR(INDEX('D Fleet'!$K$5:$K$36,INT(($B170/K$5))+1)+(($B170/K$5)-INT(($B170/K$5)))*(INDEX('D Fleet'!$K$5:$K$36,INT(($B170/K$5))+2)-INDEX('D Fleet'!$K$5:$K$36,INT(($B170/K$5))+1)),0)</f>
        <v/>
      </c>
      <c r="L170" s="276">
        <f>IFERROR(INDEX('D Fleet'!$F$5:$F$62,MATCH(L$3-$B170,'D Fleet'!$B$5:$B$62,0)),0)*IFERROR(INDEX('D Fleet'!$K$5:$K$36,INT(($B170/L$5))+1)+(($B170/L$5)-INT(($B170/L$5)))*(INDEX('D Fleet'!$K$5:$K$36,INT(($B170/L$5))+2)-INDEX('D Fleet'!$K$5:$K$36,INT(($B170/L$5))+1)),0)</f>
        <v/>
      </c>
      <c r="M170" s="276">
        <f>IFERROR(INDEX('D Fleet'!$F$5:$F$62,MATCH(M$3-$B170,'D Fleet'!$B$5:$B$62,0)),0)*IFERROR(INDEX('D Fleet'!$K$5:$K$36,INT(($B170/M$5))+1)+(($B170/M$5)-INT(($B170/M$5)))*(INDEX('D Fleet'!$K$5:$K$36,INT(($B170/M$5))+2)-INDEX('D Fleet'!$K$5:$K$36,INT(($B170/M$5))+1)),0)</f>
        <v/>
      </c>
      <c r="N170" s="276">
        <f>IFERROR(INDEX('D Fleet'!$F$5:$F$62,MATCH(N$3-$B170,'D Fleet'!$B$5:$B$62,0)),0)*IFERROR(INDEX('D Fleet'!$K$5:$K$36,INT(($B170/N$5))+1)+(($B170/N$5)-INT(($B170/N$5)))*(INDEX('D Fleet'!$K$5:$K$36,INT(($B170/N$5))+2)-INDEX('D Fleet'!$K$5:$K$36,INT(($B170/N$5))+1)),0)</f>
        <v/>
      </c>
      <c r="P170" s="276">
        <f>E170*$D170*'E1 Fleet'!$D$100</f>
        <v/>
      </c>
      <c r="Q170" s="276">
        <f>F170*$D170*'E1 Fleet'!$D$100</f>
        <v/>
      </c>
      <c r="R170" s="276">
        <f>G170*$D170*'E1 Fleet'!$D$100</f>
        <v/>
      </c>
      <c r="S170" s="276">
        <f>H170*$D170*'E1 Fleet'!$D$100</f>
        <v/>
      </c>
      <c r="T170" s="276">
        <f>I170*$D170*'E1 Fleet'!$D$100</f>
        <v/>
      </c>
      <c r="U170" s="276">
        <f>J170*$D170*'E1 Fleet'!$D$100</f>
        <v/>
      </c>
      <c r="V170" s="276">
        <f>K170*$D170*'E1 Fleet'!$D$100</f>
        <v/>
      </c>
      <c r="W170" s="276">
        <f>L170*$D170*'E1 Fleet'!$D$100</f>
        <v/>
      </c>
      <c r="X170" s="276">
        <f>M170*$D170*'E1 Fleet'!$D$100</f>
        <v/>
      </c>
      <c r="Y170" s="276">
        <f>N170*$D170*'E1 Fleet'!$D$100</f>
        <v/>
      </c>
    </row>
    <row r="171">
      <c r="A171" t="inlineStr">
        <is>
          <t>Van</t>
        </is>
      </c>
      <c r="B171" t="n">
        <v>26</v>
      </c>
      <c r="C171" t="n">
        <v>3</v>
      </c>
      <c r="D171" s="275">
        <f>IF($B171=0,'E1 Fleet'!$D$93,1)*EXP(-'E1 Fleet'!$D$94*MAX($B171-6,0))</f>
        <v/>
      </c>
      <c r="E171" s="276">
        <f>IFERROR(INDEX('D Fleet'!$F$5:$F$62,MATCH(E$3-$B171,'D Fleet'!$B$5:$B$62,0)),0)*IFERROR(INDEX('D Fleet'!$K$5:$K$36,INT(($B171/E$5))+1)+(($B171/E$5)-INT(($B171/E$5)))*(INDEX('D Fleet'!$K$5:$K$36,INT(($B171/E$5))+2)-INDEX('D Fleet'!$K$5:$K$36,INT(($B171/E$5))+1)),0)</f>
        <v/>
      </c>
      <c r="F171" s="276">
        <f>IFERROR(INDEX('D Fleet'!$F$5:$F$62,MATCH(F$3-$B171,'D Fleet'!$B$5:$B$62,0)),0)*IFERROR(INDEX('D Fleet'!$K$5:$K$36,INT(($B171/F$5))+1)+(($B171/F$5)-INT(($B171/F$5)))*(INDEX('D Fleet'!$K$5:$K$36,INT(($B171/F$5))+2)-INDEX('D Fleet'!$K$5:$K$36,INT(($B171/F$5))+1)),0)</f>
        <v/>
      </c>
      <c r="G171" s="276">
        <f>IFERROR(INDEX('D Fleet'!$F$5:$F$62,MATCH(G$3-$B171,'D Fleet'!$B$5:$B$62,0)),0)*IFERROR(INDEX('D Fleet'!$K$5:$K$36,INT(($B171/G$5))+1)+(($B171/G$5)-INT(($B171/G$5)))*(INDEX('D Fleet'!$K$5:$K$36,INT(($B171/G$5))+2)-INDEX('D Fleet'!$K$5:$K$36,INT(($B171/G$5))+1)),0)</f>
        <v/>
      </c>
      <c r="H171" s="276">
        <f>IFERROR(INDEX('D Fleet'!$F$5:$F$62,MATCH(H$3-$B171,'D Fleet'!$B$5:$B$62,0)),0)*IFERROR(INDEX('D Fleet'!$K$5:$K$36,INT(($B171/H$5))+1)+(($B171/H$5)-INT(($B171/H$5)))*(INDEX('D Fleet'!$K$5:$K$36,INT(($B171/H$5))+2)-INDEX('D Fleet'!$K$5:$K$36,INT(($B171/H$5))+1)),0)</f>
        <v/>
      </c>
      <c r="I171" s="276">
        <f>IFERROR(INDEX('D Fleet'!$F$5:$F$62,MATCH(I$3-$B171,'D Fleet'!$B$5:$B$62,0)),0)*IFERROR(INDEX('D Fleet'!$K$5:$K$36,INT(($B171/I$5))+1)+(($B171/I$5)-INT(($B171/I$5)))*(INDEX('D Fleet'!$K$5:$K$36,INT(($B171/I$5))+2)-INDEX('D Fleet'!$K$5:$K$36,INT(($B171/I$5))+1)),0)</f>
        <v/>
      </c>
      <c r="J171" s="276">
        <f>IFERROR(INDEX('D Fleet'!$F$5:$F$62,MATCH(J$3-$B171,'D Fleet'!$B$5:$B$62,0)),0)*IFERROR(INDEX('D Fleet'!$K$5:$K$36,INT(($B171/J$5))+1)+(($B171/J$5)-INT(($B171/J$5)))*(INDEX('D Fleet'!$K$5:$K$36,INT(($B171/J$5))+2)-INDEX('D Fleet'!$K$5:$K$36,INT(($B171/J$5))+1)),0)</f>
        <v/>
      </c>
      <c r="K171" s="276">
        <f>IFERROR(INDEX('D Fleet'!$F$5:$F$62,MATCH(K$3-$B171,'D Fleet'!$B$5:$B$62,0)),0)*IFERROR(INDEX('D Fleet'!$K$5:$K$36,INT(($B171/K$5))+1)+(($B171/K$5)-INT(($B171/K$5)))*(INDEX('D Fleet'!$K$5:$K$36,INT(($B171/K$5))+2)-INDEX('D Fleet'!$K$5:$K$36,INT(($B171/K$5))+1)),0)</f>
        <v/>
      </c>
      <c r="L171" s="276">
        <f>IFERROR(INDEX('D Fleet'!$F$5:$F$62,MATCH(L$3-$B171,'D Fleet'!$B$5:$B$62,0)),0)*IFERROR(INDEX('D Fleet'!$K$5:$K$36,INT(($B171/L$5))+1)+(($B171/L$5)-INT(($B171/L$5)))*(INDEX('D Fleet'!$K$5:$K$36,INT(($B171/L$5))+2)-INDEX('D Fleet'!$K$5:$K$36,INT(($B171/L$5))+1)),0)</f>
        <v/>
      </c>
      <c r="M171" s="276">
        <f>IFERROR(INDEX('D Fleet'!$F$5:$F$62,MATCH(M$3-$B171,'D Fleet'!$B$5:$B$62,0)),0)*IFERROR(INDEX('D Fleet'!$K$5:$K$36,INT(($B171/M$5))+1)+(($B171/M$5)-INT(($B171/M$5)))*(INDEX('D Fleet'!$K$5:$K$36,INT(($B171/M$5))+2)-INDEX('D Fleet'!$K$5:$K$36,INT(($B171/M$5))+1)),0)</f>
        <v/>
      </c>
      <c r="N171" s="276">
        <f>IFERROR(INDEX('D Fleet'!$F$5:$F$62,MATCH(N$3-$B171,'D Fleet'!$B$5:$B$62,0)),0)*IFERROR(INDEX('D Fleet'!$K$5:$K$36,INT(($B171/N$5))+1)+(($B171/N$5)-INT(($B171/N$5)))*(INDEX('D Fleet'!$K$5:$K$36,INT(($B171/N$5))+2)-INDEX('D Fleet'!$K$5:$K$36,INT(($B171/N$5))+1)),0)</f>
        <v/>
      </c>
      <c r="P171" s="276">
        <f>E171*$D171*'E1 Fleet'!$D$100</f>
        <v/>
      </c>
      <c r="Q171" s="276">
        <f>F171*$D171*'E1 Fleet'!$D$100</f>
        <v/>
      </c>
      <c r="R171" s="276">
        <f>G171*$D171*'E1 Fleet'!$D$100</f>
        <v/>
      </c>
      <c r="S171" s="276">
        <f>H171*$D171*'E1 Fleet'!$D$100</f>
        <v/>
      </c>
      <c r="T171" s="276">
        <f>I171*$D171*'E1 Fleet'!$D$100</f>
        <v/>
      </c>
      <c r="U171" s="276">
        <f>J171*$D171*'E1 Fleet'!$D$100</f>
        <v/>
      </c>
      <c r="V171" s="276">
        <f>K171*$D171*'E1 Fleet'!$D$100</f>
        <v/>
      </c>
      <c r="W171" s="276">
        <f>L171*$D171*'E1 Fleet'!$D$100</f>
        <v/>
      </c>
      <c r="X171" s="276">
        <f>M171*$D171*'E1 Fleet'!$D$100</f>
        <v/>
      </c>
      <c r="Y171" s="276">
        <f>N171*$D171*'E1 Fleet'!$D$100</f>
        <v/>
      </c>
    </row>
    <row r="172">
      <c r="A172" t="inlineStr">
        <is>
          <t>Van</t>
        </is>
      </c>
      <c r="B172" t="n">
        <v>27</v>
      </c>
      <c r="C172" t="n">
        <v>3</v>
      </c>
      <c r="D172" s="275">
        <f>IF($B172=0,'E1 Fleet'!$D$93,1)*EXP(-'E1 Fleet'!$D$94*MAX($B172-6,0))</f>
        <v/>
      </c>
      <c r="E172" s="276">
        <f>IFERROR(INDEX('D Fleet'!$F$5:$F$62,MATCH(E$3-$B172,'D Fleet'!$B$5:$B$62,0)),0)*IFERROR(INDEX('D Fleet'!$K$5:$K$36,INT(($B172/E$5))+1)+(($B172/E$5)-INT(($B172/E$5)))*(INDEX('D Fleet'!$K$5:$K$36,INT(($B172/E$5))+2)-INDEX('D Fleet'!$K$5:$K$36,INT(($B172/E$5))+1)),0)</f>
        <v/>
      </c>
      <c r="F172" s="276">
        <f>IFERROR(INDEX('D Fleet'!$F$5:$F$62,MATCH(F$3-$B172,'D Fleet'!$B$5:$B$62,0)),0)*IFERROR(INDEX('D Fleet'!$K$5:$K$36,INT(($B172/F$5))+1)+(($B172/F$5)-INT(($B172/F$5)))*(INDEX('D Fleet'!$K$5:$K$36,INT(($B172/F$5))+2)-INDEX('D Fleet'!$K$5:$K$36,INT(($B172/F$5))+1)),0)</f>
        <v/>
      </c>
      <c r="G172" s="276">
        <f>IFERROR(INDEX('D Fleet'!$F$5:$F$62,MATCH(G$3-$B172,'D Fleet'!$B$5:$B$62,0)),0)*IFERROR(INDEX('D Fleet'!$K$5:$K$36,INT(($B172/G$5))+1)+(($B172/G$5)-INT(($B172/G$5)))*(INDEX('D Fleet'!$K$5:$K$36,INT(($B172/G$5))+2)-INDEX('D Fleet'!$K$5:$K$36,INT(($B172/G$5))+1)),0)</f>
        <v/>
      </c>
      <c r="H172" s="276">
        <f>IFERROR(INDEX('D Fleet'!$F$5:$F$62,MATCH(H$3-$B172,'D Fleet'!$B$5:$B$62,0)),0)*IFERROR(INDEX('D Fleet'!$K$5:$K$36,INT(($B172/H$5))+1)+(($B172/H$5)-INT(($B172/H$5)))*(INDEX('D Fleet'!$K$5:$K$36,INT(($B172/H$5))+2)-INDEX('D Fleet'!$K$5:$K$36,INT(($B172/H$5))+1)),0)</f>
        <v/>
      </c>
      <c r="I172" s="276">
        <f>IFERROR(INDEX('D Fleet'!$F$5:$F$62,MATCH(I$3-$B172,'D Fleet'!$B$5:$B$62,0)),0)*IFERROR(INDEX('D Fleet'!$K$5:$K$36,INT(($B172/I$5))+1)+(($B172/I$5)-INT(($B172/I$5)))*(INDEX('D Fleet'!$K$5:$K$36,INT(($B172/I$5))+2)-INDEX('D Fleet'!$K$5:$K$36,INT(($B172/I$5))+1)),0)</f>
        <v/>
      </c>
      <c r="J172" s="276">
        <f>IFERROR(INDEX('D Fleet'!$F$5:$F$62,MATCH(J$3-$B172,'D Fleet'!$B$5:$B$62,0)),0)*IFERROR(INDEX('D Fleet'!$K$5:$K$36,INT(($B172/J$5))+1)+(($B172/J$5)-INT(($B172/J$5)))*(INDEX('D Fleet'!$K$5:$K$36,INT(($B172/J$5))+2)-INDEX('D Fleet'!$K$5:$K$36,INT(($B172/J$5))+1)),0)</f>
        <v/>
      </c>
      <c r="K172" s="276">
        <f>IFERROR(INDEX('D Fleet'!$F$5:$F$62,MATCH(K$3-$B172,'D Fleet'!$B$5:$B$62,0)),0)*IFERROR(INDEX('D Fleet'!$K$5:$K$36,INT(($B172/K$5))+1)+(($B172/K$5)-INT(($B172/K$5)))*(INDEX('D Fleet'!$K$5:$K$36,INT(($B172/K$5))+2)-INDEX('D Fleet'!$K$5:$K$36,INT(($B172/K$5))+1)),0)</f>
        <v/>
      </c>
      <c r="L172" s="276">
        <f>IFERROR(INDEX('D Fleet'!$F$5:$F$62,MATCH(L$3-$B172,'D Fleet'!$B$5:$B$62,0)),0)*IFERROR(INDEX('D Fleet'!$K$5:$K$36,INT(($B172/L$5))+1)+(($B172/L$5)-INT(($B172/L$5)))*(INDEX('D Fleet'!$K$5:$K$36,INT(($B172/L$5))+2)-INDEX('D Fleet'!$K$5:$K$36,INT(($B172/L$5))+1)),0)</f>
        <v/>
      </c>
      <c r="M172" s="276">
        <f>IFERROR(INDEX('D Fleet'!$F$5:$F$62,MATCH(M$3-$B172,'D Fleet'!$B$5:$B$62,0)),0)*IFERROR(INDEX('D Fleet'!$K$5:$K$36,INT(($B172/M$5))+1)+(($B172/M$5)-INT(($B172/M$5)))*(INDEX('D Fleet'!$K$5:$K$36,INT(($B172/M$5))+2)-INDEX('D Fleet'!$K$5:$K$36,INT(($B172/M$5))+1)),0)</f>
        <v/>
      </c>
      <c r="N172" s="276">
        <f>IFERROR(INDEX('D Fleet'!$F$5:$F$62,MATCH(N$3-$B172,'D Fleet'!$B$5:$B$62,0)),0)*IFERROR(INDEX('D Fleet'!$K$5:$K$36,INT(($B172/N$5))+1)+(($B172/N$5)-INT(($B172/N$5)))*(INDEX('D Fleet'!$K$5:$K$36,INT(($B172/N$5))+2)-INDEX('D Fleet'!$K$5:$K$36,INT(($B172/N$5))+1)),0)</f>
        <v/>
      </c>
      <c r="P172" s="276">
        <f>E172*$D172*'E1 Fleet'!$D$100</f>
        <v/>
      </c>
      <c r="Q172" s="276">
        <f>F172*$D172*'E1 Fleet'!$D$100</f>
        <v/>
      </c>
      <c r="R172" s="276">
        <f>G172*$D172*'E1 Fleet'!$D$100</f>
        <v/>
      </c>
      <c r="S172" s="276">
        <f>H172*$D172*'E1 Fleet'!$D$100</f>
        <v/>
      </c>
      <c r="T172" s="276">
        <f>I172*$D172*'E1 Fleet'!$D$100</f>
        <v/>
      </c>
      <c r="U172" s="276">
        <f>J172*$D172*'E1 Fleet'!$D$100</f>
        <v/>
      </c>
      <c r="V172" s="276">
        <f>K172*$D172*'E1 Fleet'!$D$100</f>
        <v/>
      </c>
      <c r="W172" s="276">
        <f>L172*$D172*'E1 Fleet'!$D$100</f>
        <v/>
      </c>
      <c r="X172" s="276">
        <f>M172*$D172*'E1 Fleet'!$D$100</f>
        <v/>
      </c>
      <c r="Y172" s="276">
        <f>N172*$D172*'E1 Fleet'!$D$100</f>
        <v/>
      </c>
    </row>
    <row r="173">
      <c r="A173" t="inlineStr">
        <is>
          <t>Van</t>
        </is>
      </c>
      <c r="B173" t="n">
        <v>28</v>
      </c>
      <c r="C173" t="n">
        <v>3</v>
      </c>
      <c r="D173" s="275">
        <f>IF($B173=0,'E1 Fleet'!$D$93,1)*EXP(-'E1 Fleet'!$D$94*MAX($B173-6,0))</f>
        <v/>
      </c>
      <c r="E173" s="276">
        <f>IFERROR(INDEX('D Fleet'!$F$5:$F$62,MATCH(E$3-$B173,'D Fleet'!$B$5:$B$62,0)),0)*IFERROR(INDEX('D Fleet'!$K$5:$K$36,INT(($B173/E$5))+1)+(($B173/E$5)-INT(($B173/E$5)))*(INDEX('D Fleet'!$K$5:$K$36,INT(($B173/E$5))+2)-INDEX('D Fleet'!$K$5:$K$36,INT(($B173/E$5))+1)),0)</f>
        <v/>
      </c>
      <c r="F173" s="276">
        <f>IFERROR(INDEX('D Fleet'!$F$5:$F$62,MATCH(F$3-$B173,'D Fleet'!$B$5:$B$62,0)),0)*IFERROR(INDEX('D Fleet'!$K$5:$K$36,INT(($B173/F$5))+1)+(($B173/F$5)-INT(($B173/F$5)))*(INDEX('D Fleet'!$K$5:$K$36,INT(($B173/F$5))+2)-INDEX('D Fleet'!$K$5:$K$36,INT(($B173/F$5))+1)),0)</f>
        <v/>
      </c>
      <c r="G173" s="276">
        <f>IFERROR(INDEX('D Fleet'!$F$5:$F$62,MATCH(G$3-$B173,'D Fleet'!$B$5:$B$62,0)),0)*IFERROR(INDEX('D Fleet'!$K$5:$K$36,INT(($B173/G$5))+1)+(($B173/G$5)-INT(($B173/G$5)))*(INDEX('D Fleet'!$K$5:$K$36,INT(($B173/G$5))+2)-INDEX('D Fleet'!$K$5:$K$36,INT(($B173/G$5))+1)),0)</f>
        <v/>
      </c>
      <c r="H173" s="276">
        <f>IFERROR(INDEX('D Fleet'!$F$5:$F$62,MATCH(H$3-$B173,'D Fleet'!$B$5:$B$62,0)),0)*IFERROR(INDEX('D Fleet'!$K$5:$K$36,INT(($B173/H$5))+1)+(($B173/H$5)-INT(($B173/H$5)))*(INDEX('D Fleet'!$K$5:$K$36,INT(($B173/H$5))+2)-INDEX('D Fleet'!$K$5:$K$36,INT(($B173/H$5))+1)),0)</f>
        <v/>
      </c>
      <c r="I173" s="276">
        <f>IFERROR(INDEX('D Fleet'!$F$5:$F$62,MATCH(I$3-$B173,'D Fleet'!$B$5:$B$62,0)),0)*IFERROR(INDEX('D Fleet'!$K$5:$K$36,INT(($B173/I$5))+1)+(($B173/I$5)-INT(($B173/I$5)))*(INDEX('D Fleet'!$K$5:$K$36,INT(($B173/I$5))+2)-INDEX('D Fleet'!$K$5:$K$36,INT(($B173/I$5))+1)),0)</f>
        <v/>
      </c>
      <c r="J173" s="276">
        <f>IFERROR(INDEX('D Fleet'!$F$5:$F$62,MATCH(J$3-$B173,'D Fleet'!$B$5:$B$62,0)),0)*IFERROR(INDEX('D Fleet'!$K$5:$K$36,INT(($B173/J$5))+1)+(($B173/J$5)-INT(($B173/J$5)))*(INDEX('D Fleet'!$K$5:$K$36,INT(($B173/J$5))+2)-INDEX('D Fleet'!$K$5:$K$36,INT(($B173/J$5))+1)),0)</f>
        <v/>
      </c>
      <c r="K173" s="276">
        <f>IFERROR(INDEX('D Fleet'!$F$5:$F$62,MATCH(K$3-$B173,'D Fleet'!$B$5:$B$62,0)),0)*IFERROR(INDEX('D Fleet'!$K$5:$K$36,INT(($B173/K$5))+1)+(($B173/K$5)-INT(($B173/K$5)))*(INDEX('D Fleet'!$K$5:$K$36,INT(($B173/K$5))+2)-INDEX('D Fleet'!$K$5:$K$36,INT(($B173/K$5))+1)),0)</f>
        <v/>
      </c>
      <c r="L173" s="276">
        <f>IFERROR(INDEX('D Fleet'!$F$5:$F$62,MATCH(L$3-$B173,'D Fleet'!$B$5:$B$62,0)),0)*IFERROR(INDEX('D Fleet'!$K$5:$K$36,INT(($B173/L$5))+1)+(($B173/L$5)-INT(($B173/L$5)))*(INDEX('D Fleet'!$K$5:$K$36,INT(($B173/L$5))+2)-INDEX('D Fleet'!$K$5:$K$36,INT(($B173/L$5))+1)),0)</f>
        <v/>
      </c>
      <c r="M173" s="276">
        <f>IFERROR(INDEX('D Fleet'!$F$5:$F$62,MATCH(M$3-$B173,'D Fleet'!$B$5:$B$62,0)),0)*IFERROR(INDEX('D Fleet'!$K$5:$K$36,INT(($B173/M$5))+1)+(($B173/M$5)-INT(($B173/M$5)))*(INDEX('D Fleet'!$K$5:$K$36,INT(($B173/M$5))+2)-INDEX('D Fleet'!$K$5:$K$36,INT(($B173/M$5))+1)),0)</f>
        <v/>
      </c>
      <c r="N173" s="276">
        <f>IFERROR(INDEX('D Fleet'!$F$5:$F$62,MATCH(N$3-$B173,'D Fleet'!$B$5:$B$62,0)),0)*IFERROR(INDEX('D Fleet'!$K$5:$K$36,INT(($B173/N$5))+1)+(($B173/N$5)-INT(($B173/N$5)))*(INDEX('D Fleet'!$K$5:$K$36,INT(($B173/N$5))+2)-INDEX('D Fleet'!$K$5:$K$36,INT(($B173/N$5))+1)),0)</f>
        <v/>
      </c>
      <c r="P173" s="276">
        <f>E173*$D173*'E1 Fleet'!$D$100</f>
        <v/>
      </c>
      <c r="Q173" s="276">
        <f>F173*$D173*'E1 Fleet'!$D$100</f>
        <v/>
      </c>
      <c r="R173" s="276">
        <f>G173*$D173*'E1 Fleet'!$D$100</f>
        <v/>
      </c>
      <c r="S173" s="276">
        <f>H173*$D173*'E1 Fleet'!$D$100</f>
        <v/>
      </c>
      <c r="T173" s="276">
        <f>I173*$D173*'E1 Fleet'!$D$100</f>
        <v/>
      </c>
      <c r="U173" s="276">
        <f>J173*$D173*'E1 Fleet'!$D$100</f>
        <v/>
      </c>
      <c r="V173" s="276">
        <f>K173*$D173*'E1 Fleet'!$D$100</f>
        <v/>
      </c>
      <c r="W173" s="276">
        <f>L173*$D173*'E1 Fleet'!$D$100</f>
        <v/>
      </c>
      <c r="X173" s="276">
        <f>M173*$D173*'E1 Fleet'!$D$100</f>
        <v/>
      </c>
      <c r="Y173" s="276">
        <f>N173*$D173*'E1 Fleet'!$D$100</f>
        <v/>
      </c>
    </row>
    <row r="174">
      <c r="A174" t="inlineStr">
        <is>
          <t>Van</t>
        </is>
      </c>
      <c r="B174" t="n">
        <v>29</v>
      </c>
      <c r="C174" t="n">
        <v>3</v>
      </c>
      <c r="D174" s="275">
        <f>IF($B174=0,'E1 Fleet'!$D$93,1)*EXP(-'E1 Fleet'!$D$94*MAX($B174-6,0))</f>
        <v/>
      </c>
      <c r="E174" s="276">
        <f>IFERROR(INDEX('D Fleet'!$F$5:$F$62,MATCH(E$3-$B174,'D Fleet'!$B$5:$B$62,0)),0)*IFERROR(INDEX('D Fleet'!$K$5:$K$36,INT(($B174/E$5))+1)+(($B174/E$5)-INT(($B174/E$5)))*(INDEX('D Fleet'!$K$5:$K$36,INT(($B174/E$5))+2)-INDEX('D Fleet'!$K$5:$K$36,INT(($B174/E$5))+1)),0)</f>
        <v/>
      </c>
      <c r="F174" s="276">
        <f>IFERROR(INDEX('D Fleet'!$F$5:$F$62,MATCH(F$3-$B174,'D Fleet'!$B$5:$B$62,0)),0)*IFERROR(INDEX('D Fleet'!$K$5:$K$36,INT(($B174/F$5))+1)+(($B174/F$5)-INT(($B174/F$5)))*(INDEX('D Fleet'!$K$5:$K$36,INT(($B174/F$5))+2)-INDEX('D Fleet'!$K$5:$K$36,INT(($B174/F$5))+1)),0)</f>
        <v/>
      </c>
      <c r="G174" s="276">
        <f>IFERROR(INDEX('D Fleet'!$F$5:$F$62,MATCH(G$3-$B174,'D Fleet'!$B$5:$B$62,0)),0)*IFERROR(INDEX('D Fleet'!$K$5:$K$36,INT(($B174/G$5))+1)+(($B174/G$5)-INT(($B174/G$5)))*(INDEX('D Fleet'!$K$5:$K$36,INT(($B174/G$5))+2)-INDEX('D Fleet'!$K$5:$K$36,INT(($B174/G$5))+1)),0)</f>
        <v/>
      </c>
      <c r="H174" s="276">
        <f>IFERROR(INDEX('D Fleet'!$F$5:$F$62,MATCH(H$3-$B174,'D Fleet'!$B$5:$B$62,0)),0)*IFERROR(INDEX('D Fleet'!$K$5:$K$36,INT(($B174/H$5))+1)+(($B174/H$5)-INT(($B174/H$5)))*(INDEX('D Fleet'!$K$5:$K$36,INT(($B174/H$5))+2)-INDEX('D Fleet'!$K$5:$K$36,INT(($B174/H$5))+1)),0)</f>
        <v/>
      </c>
      <c r="I174" s="276">
        <f>IFERROR(INDEX('D Fleet'!$F$5:$F$62,MATCH(I$3-$B174,'D Fleet'!$B$5:$B$62,0)),0)*IFERROR(INDEX('D Fleet'!$K$5:$K$36,INT(($B174/I$5))+1)+(($B174/I$5)-INT(($B174/I$5)))*(INDEX('D Fleet'!$K$5:$K$36,INT(($B174/I$5))+2)-INDEX('D Fleet'!$K$5:$K$36,INT(($B174/I$5))+1)),0)</f>
        <v/>
      </c>
      <c r="J174" s="276">
        <f>IFERROR(INDEX('D Fleet'!$F$5:$F$62,MATCH(J$3-$B174,'D Fleet'!$B$5:$B$62,0)),0)*IFERROR(INDEX('D Fleet'!$K$5:$K$36,INT(($B174/J$5))+1)+(($B174/J$5)-INT(($B174/J$5)))*(INDEX('D Fleet'!$K$5:$K$36,INT(($B174/J$5))+2)-INDEX('D Fleet'!$K$5:$K$36,INT(($B174/J$5))+1)),0)</f>
        <v/>
      </c>
      <c r="K174" s="276">
        <f>IFERROR(INDEX('D Fleet'!$F$5:$F$62,MATCH(K$3-$B174,'D Fleet'!$B$5:$B$62,0)),0)*IFERROR(INDEX('D Fleet'!$K$5:$K$36,INT(($B174/K$5))+1)+(($B174/K$5)-INT(($B174/K$5)))*(INDEX('D Fleet'!$K$5:$K$36,INT(($B174/K$5))+2)-INDEX('D Fleet'!$K$5:$K$36,INT(($B174/K$5))+1)),0)</f>
        <v/>
      </c>
      <c r="L174" s="276">
        <f>IFERROR(INDEX('D Fleet'!$F$5:$F$62,MATCH(L$3-$B174,'D Fleet'!$B$5:$B$62,0)),0)*IFERROR(INDEX('D Fleet'!$K$5:$K$36,INT(($B174/L$5))+1)+(($B174/L$5)-INT(($B174/L$5)))*(INDEX('D Fleet'!$K$5:$K$36,INT(($B174/L$5))+2)-INDEX('D Fleet'!$K$5:$K$36,INT(($B174/L$5))+1)),0)</f>
        <v/>
      </c>
      <c r="M174" s="276">
        <f>IFERROR(INDEX('D Fleet'!$F$5:$F$62,MATCH(M$3-$B174,'D Fleet'!$B$5:$B$62,0)),0)*IFERROR(INDEX('D Fleet'!$K$5:$K$36,INT(($B174/M$5))+1)+(($B174/M$5)-INT(($B174/M$5)))*(INDEX('D Fleet'!$K$5:$K$36,INT(($B174/M$5))+2)-INDEX('D Fleet'!$K$5:$K$36,INT(($B174/M$5))+1)),0)</f>
        <v/>
      </c>
      <c r="N174" s="276">
        <f>IFERROR(INDEX('D Fleet'!$F$5:$F$62,MATCH(N$3-$B174,'D Fleet'!$B$5:$B$62,0)),0)*IFERROR(INDEX('D Fleet'!$K$5:$K$36,INT(($B174/N$5))+1)+(($B174/N$5)-INT(($B174/N$5)))*(INDEX('D Fleet'!$K$5:$K$36,INT(($B174/N$5))+2)-INDEX('D Fleet'!$K$5:$K$36,INT(($B174/N$5))+1)),0)</f>
        <v/>
      </c>
      <c r="P174" s="276">
        <f>E174*$D174*'E1 Fleet'!$D$100</f>
        <v/>
      </c>
      <c r="Q174" s="276">
        <f>F174*$D174*'E1 Fleet'!$D$100</f>
        <v/>
      </c>
      <c r="R174" s="276">
        <f>G174*$D174*'E1 Fleet'!$D$100</f>
        <v/>
      </c>
      <c r="S174" s="276">
        <f>H174*$D174*'E1 Fleet'!$D$100</f>
        <v/>
      </c>
      <c r="T174" s="276">
        <f>I174*$D174*'E1 Fleet'!$D$100</f>
        <v/>
      </c>
      <c r="U174" s="276">
        <f>J174*$D174*'E1 Fleet'!$D$100</f>
        <v/>
      </c>
      <c r="V174" s="276">
        <f>K174*$D174*'E1 Fleet'!$D$100</f>
        <v/>
      </c>
      <c r="W174" s="276">
        <f>L174*$D174*'E1 Fleet'!$D$100</f>
        <v/>
      </c>
      <c r="X174" s="276">
        <f>M174*$D174*'E1 Fleet'!$D$100</f>
        <v/>
      </c>
      <c r="Y174" s="276">
        <f>N174*$D174*'E1 Fleet'!$D$100</f>
        <v/>
      </c>
    </row>
    <row r="175">
      <c r="A175" t="inlineStr">
        <is>
          <t>Van</t>
        </is>
      </c>
      <c r="B175" t="n">
        <v>30</v>
      </c>
      <c r="C175" t="n">
        <v>3</v>
      </c>
      <c r="D175" s="275">
        <f>IF($B175=0,'E1 Fleet'!$D$93,1)*EXP(-'E1 Fleet'!$D$94*MAX($B175-6,0))</f>
        <v/>
      </c>
      <c r="E175" s="276">
        <f>IFERROR(INDEX('D Fleet'!$F$5:$F$62,MATCH(E$3-$B175,'D Fleet'!$B$5:$B$62,0)),0)*IFERROR(INDEX('D Fleet'!$K$5:$K$36,INT(($B175/E$5))+1)+(($B175/E$5)-INT(($B175/E$5)))*(INDEX('D Fleet'!$K$5:$K$36,INT(($B175/E$5))+2)-INDEX('D Fleet'!$K$5:$K$36,INT(($B175/E$5))+1)),0)</f>
        <v/>
      </c>
      <c r="F175" s="276">
        <f>IFERROR(INDEX('D Fleet'!$F$5:$F$62,MATCH(F$3-$B175,'D Fleet'!$B$5:$B$62,0)),0)*IFERROR(INDEX('D Fleet'!$K$5:$K$36,INT(($B175/F$5))+1)+(($B175/F$5)-INT(($B175/F$5)))*(INDEX('D Fleet'!$K$5:$K$36,INT(($B175/F$5))+2)-INDEX('D Fleet'!$K$5:$K$36,INT(($B175/F$5))+1)),0)</f>
        <v/>
      </c>
      <c r="G175" s="276">
        <f>IFERROR(INDEX('D Fleet'!$F$5:$F$62,MATCH(G$3-$B175,'D Fleet'!$B$5:$B$62,0)),0)*IFERROR(INDEX('D Fleet'!$K$5:$K$36,INT(($B175/G$5))+1)+(($B175/G$5)-INT(($B175/G$5)))*(INDEX('D Fleet'!$K$5:$K$36,INT(($B175/G$5))+2)-INDEX('D Fleet'!$K$5:$K$36,INT(($B175/G$5))+1)),0)</f>
        <v/>
      </c>
      <c r="H175" s="276">
        <f>IFERROR(INDEX('D Fleet'!$F$5:$F$62,MATCH(H$3-$B175,'D Fleet'!$B$5:$B$62,0)),0)*IFERROR(INDEX('D Fleet'!$K$5:$K$36,INT(($B175/H$5))+1)+(($B175/H$5)-INT(($B175/H$5)))*(INDEX('D Fleet'!$K$5:$K$36,INT(($B175/H$5))+2)-INDEX('D Fleet'!$K$5:$K$36,INT(($B175/H$5))+1)),0)</f>
        <v/>
      </c>
      <c r="I175" s="276">
        <f>IFERROR(INDEX('D Fleet'!$F$5:$F$62,MATCH(I$3-$B175,'D Fleet'!$B$5:$B$62,0)),0)*IFERROR(INDEX('D Fleet'!$K$5:$K$36,INT(($B175/I$5))+1)+(($B175/I$5)-INT(($B175/I$5)))*(INDEX('D Fleet'!$K$5:$K$36,INT(($B175/I$5))+2)-INDEX('D Fleet'!$K$5:$K$36,INT(($B175/I$5))+1)),0)</f>
        <v/>
      </c>
      <c r="J175" s="276">
        <f>IFERROR(INDEX('D Fleet'!$F$5:$F$62,MATCH(J$3-$B175,'D Fleet'!$B$5:$B$62,0)),0)*IFERROR(INDEX('D Fleet'!$K$5:$K$36,INT(($B175/J$5))+1)+(($B175/J$5)-INT(($B175/J$5)))*(INDEX('D Fleet'!$K$5:$K$36,INT(($B175/J$5))+2)-INDEX('D Fleet'!$K$5:$K$36,INT(($B175/J$5))+1)),0)</f>
        <v/>
      </c>
      <c r="K175" s="276">
        <f>IFERROR(INDEX('D Fleet'!$F$5:$F$62,MATCH(K$3-$B175,'D Fleet'!$B$5:$B$62,0)),0)*IFERROR(INDEX('D Fleet'!$K$5:$K$36,INT(($B175/K$5))+1)+(($B175/K$5)-INT(($B175/K$5)))*(INDEX('D Fleet'!$K$5:$K$36,INT(($B175/K$5))+2)-INDEX('D Fleet'!$K$5:$K$36,INT(($B175/K$5))+1)),0)</f>
        <v/>
      </c>
      <c r="L175" s="276">
        <f>IFERROR(INDEX('D Fleet'!$F$5:$F$62,MATCH(L$3-$B175,'D Fleet'!$B$5:$B$62,0)),0)*IFERROR(INDEX('D Fleet'!$K$5:$K$36,INT(($B175/L$5))+1)+(($B175/L$5)-INT(($B175/L$5)))*(INDEX('D Fleet'!$K$5:$K$36,INT(($B175/L$5))+2)-INDEX('D Fleet'!$K$5:$K$36,INT(($B175/L$5))+1)),0)</f>
        <v/>
      </c>
      <c r="M175" s="276">
        <f>IFERROR(INDEX('D Fleet'!$F$5:$F$62,MATCH(M$3-$B175,'D Fleet'!$B$5:$B$62,0)),0)*IFERROR(INDEX('D Fleet'!$K$5:$K$36,INT(($B175/M$5))+1)+(($B175/M$5)-INT(($B175/M$5)))*(INDEX('D Fleet'!$K$5:$K$36,INT(($B175/M$5))+2)-INDEX('D Fleet'!$K$5:$K$36,INT(($B175/M$5))+1)),0)</f>
        <v/>
      </c>
      <c r="N175" s="276">
        <f>IFERROR(INDEX('D Fleet'!$F$5:$F$62,MATCH(N$3-$B175,'D Fleet'!$B$5:$B$62,0)),0)*IFERROR(INDEX('D Fleet'!$K$5:$K$36,INT(($B175/N$5))+1)+(($B175/N$5)-INT(($B175/N$5)))*(INDEX('D Fleet'!$K$5:$K$36,INT(($B175/N$5))+2)-INDEX('D Fleet'!$K$5:$K$36,INT(($B175/N$5))+1)),0)</f>
        <v/>
      </c>
      <c r="P175" s="276">
        <f>E175*$D175*'E1 Fleet'!$D$100</f>
        <v/>
      </c>
      <c r="Q175" s="276">
        <f>F175*$D175*'E1 Fleet'!$D$100</f>
        <v/>
      </c>
      <c r="R175" s="276">
        <f>G175*$D175*'E1 Fleet'!$D$100</f>
        <v/>
      </c>
      <c r="S175" s="276">
        <f>H175*$D175*'E1 Fleet'!$D$100</f>
        <v/>
      </c>
      <c r="T175" s="276">
        <f>I175*$D175*'E1 Fleet'!$D$100</f>
        <v/>
      </c>
      <c r="U175" s="276">
        <f>J175*$D175*'E1 Fleet'!$D$100</f>
        <v/>
      </c>
      <c r="V175" s="276">
        <f>K175*$D175*'E1 Fleet'!$D$100</f>
        <v/>
      </c>
      <c r="W175" s="276">
        <f>L175*$D175*'E1 Fleet'!$D$100</f>
        <v/>
      </c>
      <c r="X175" s="276">
        <f>M175*$D175*'E1 Fleet'!$D$100</f>
        <v/>
      </c>
      <c r="Y175" s="276">
        <f>N175*$D175*'E1 Fleet'!$D$100</f>
        <v/>
      </c>
    </row>
    <row r="176">
      <c r="A176" t="inlineStr">
        <is>
          <t>Van</t>
        </is>
      </c>
      <c r="B176" t="n">
        <v>31</v>
      </c>
      <c r="C176" t="n">
        <v>3</v>
      </c>
      <c r="D176" s="275">
        <f>IF($B176=0,'E1 Fleet'!$D$93,1)*EXP(-'E1 Fleet'!$D$94*MAX($B176-6,0))</f>
        <v/>
      </c>
      <c r="E176" s="276">
        <f>IFERROR(INDEX('D Fleet'!$F$5:$F$62,MATCH(E$3-$B176,'D Fleet'!$B$5:$B$62,0)),0)*IFERROR(INDEX('D Fleet'!$K$5:$K$36,INT(($B176/E$5))+1)+(($B176/E$5)-INT(($B176/E$5)))*(INDEX('D Fleet'!$K$5:$K$36,INT(($B176/E$5))+2)-INDEX('D Fleet'!$K$5:$K$36,INT(($B176/E$5))+1)),0)</f>
        <v/>
      </c>
      <c r="F176" s="276">
        <f>IFERROR(INDEX('D Fleet'!$F$5:$F$62,MATCH(F$3-$B176,'D Fleet'!$B$5:$B$62,0)),0)*IFERROR(INDEX('D Fleet'!$K$5:$K$36,INT(($B176/F$5))+1)+(($B176/F$5)-INT(($B176/F$5)))*(INDEX('D Fleet'!$K$5:$K$36,INT(($B176/F$5))+2)-INDEX('D Fleet'!$K$5:$K$36,INT(($B176/F$5))+1)),0)</f>
        <v/>
      </c>
      <c r="G176" s="276">
        <f>IFERROR(INDEX('D Fleet'!$F$5:$F$62,MATCH(G$3-$B176,'D Fleet'!$B$5:$B$62,0)),0)*IFERROR(INDEX('D Fleet'!$K$5:$K$36,INT(($B176/G$5))+1)+(($B176/G$5)-INT(($B176/G$5)))*(INDEX('D Fleet'!$K$5:$K$36,INT(($B176/G$5))+2)-INDEX('D Fleet'!$K$5:$K$36,INT(($B176/G$5))+1)),0)</f>
        <v/>
      </c>
      <c r="H176" s="276">
        <f>IFERROR(INDEX('D Fleet'!$F$5:$F$62,MATCH(H$3-$B176,'D Fleet'!$B$5:$B$62,0)),0)*IFERROR(INDEX('D Fleet'!$K$5:$K$36,INT(($B176/H$5))+1)+(($B176/H$5)-INT(($B176/H$5)))*(INDEX('D Fleet'!$K$5:$K$36,INT(($B176/H$5))+2)-INDEX('D Fleet'!$K$5:$K$36,INT(($B176/H$5))+1)),0)</f>
        <v/>
      </c>
      <c r="I176" s="276">
        <f>IFERROR(INDEX('D Fleet'!$F$5:$F$62,MATCH(I$3-$B176,'D Fleet'!$B$5:$B$62,0)),0)*IFERROR(INDEX('D Fleet'!$K$5:$K$36,INT(($B176/I$5))+1)+(($B176/I$5)-INT(($B176/I$5)))*(INDEX('D Fleet'!$K$5:$K$36,INT(($B176/I$5))+2)-INDEX('D Fleet'!$K$5:$K$36,INT(($B176/I$5))+1)),0)</f>
        <v/>
      </c>
      <c r="J176" s="276">
        <f>IFERROR(INDEX('D Fleet'!$F$5:$F$62,MATCH(J$3-$B176,'D Fleet'!$B$5:$B$62,0)),0)*IFERROR(INDEX('D Fleet'!$K$5:$K$36,INT(($B176/J$5))+1)+(($B176/J$5)-INT(($B176/J$5)))*(INDEX('D Fleet'!$K$5:$K$36,INT(($B176/J$5))+2)-INDEX('D Fleet'!$K$5:$K$36,INT(($B176/J$5))+1)),0)</f>
        <v/>
      </c>
      <c r="K176" s="276">
        <f>IFERROR(INDEX('D Fleet'!$F$5:$F$62,MATCH(K$3-$B176,'D Fleet'!$B$5:$B$62,0)),0)*IFERROR(INDEX('D Fleet'!$K$5:$K$36,INT(($B176/K$5))+1)+(($B176/K$5)-INT(($B176/K$5)))*(INDEX('D Fleet'!$K$5:$K$36,INT(($B176/K$5))+2)-INDEX('D Fleet'!$K$5:$K$36,INT(($B176/K$5))+1)),0)</f>
        <v/>
      </c>
      <c r="L176" s="276">
        <f>IFERROR(INDEX('D Fleet'!$F$5:$F$62,MATCH(L$3-$B176,'D Fleet'!$B$5:$B$62,0)),0)*IFERROR(INDEX('D Fleet'!$K$5:$K$36,INT(($B176/L$5))+1)+(($B176/L$5)-INT(($B176/L$5)))*(INDEX('D Fleet'!$K$5:$K$36,INT(($B176/L$5))+2)-INDEX('D Fleet'!$K$5:$K$36,INT(($B176/L$5))+1)),0)</f>
        <v/>
      </c>
      <c r="M176" s="276">
        <f>IFERROR(INDEX('D Fleet'!$F$5:$F$62,MATCH(M$3-$B176,'D Fleet'!$B$5:$B$62,0)),0)*IFERROR(INDEX('D Fleet'!$K$5:$K$36,INT(($B176/M$5))+1)+(($B176/M$5)-INT(($B176/M$5)))*(INDEX('D Fleet'!$K$5:$K$36,INT(($B176/M$5))+2)-INDEX('D Fleet'!$K$5:$K$36,INT(($B176/M$5))+1)),0)</f>
        <v/>
      </c>
      <c r="N176" s="276">
        <f>IFERROR(INDEX('D Fleet'!$F$5:$F$62,MATCH(N$3-$B176,'D Fleet'!$B$5:$B$62,0)),0)*IFERROR(INDEX('D Fleet'!$K$5:$K$36,INT(($B176/N$5))+1)+(($B176/N$5)-INT(($B176/N$5)))*(INDEX('D Fleet'!$K$5:$K$36,INT(($B176/N$5))+2)-INDEX('D Fleet'!$K$5:$K$36,INT(($B176/N$5))+1)),0)</f>
        <v/>
      </c>
      <c r="P176" s="276">
        <f>E176*$D176*'E1 Fleet'!$D$100</f>
        <v/>
      </c>
      <c r="Q176" s="276">
        <f>F176*$D176*'E1 Fleet'!$D$100</f>
        <v/>
      </c>
      <c r="R176" s="276">
        <f>G176*$D176*'E1 Fleet'!$D$100</f>
        <v/>
      </c>
      <c r="S176" s="276">
        <f>H176*$D176*'E1 Fleet'!$D$100</f>
        <v/>
      </c>
      <c r="T176" s="276">
        <f>I176*$D176*'E1 Fleet'!$D$100</f>
        <v/>
      </c>
      <c r="U176" s="276">
        <f>J176*$D176*'E1 Fleet'!$D$100</f>
        <v/>
      </c>
      <c r="V176" s="276">
        <f>K176*$D176*'E1 Fleet'!$D$100</f>
        <v/>
      </c>
      <c r="W176" s="276">
        <f>L176*$D176*'E1 Fleet'!$D$100</f>
        <v/>
      </c>
      <c r="X176" s="276">
        <f>M176*$D176*'E1 Fleet'!$D$100</f>
        <v/>
      </c>
      <c r="Y176" s="276">
        <f>N176*$D176*'E1 Fleet'!$D$100</f>
        <v/>
      </c>
    </row>
    <row r="177">
      <c r="A177" t="inlineStr">
        <is>
          <t>Van</t>
        </is>
      </c>
      <c r="B177" t="n">
        <v>32</v>
      </c>
      <c r="C177" t="n">
        <v>3</v>
      </c>
      <c r="D177" s="275">
        <f>IF($B177=0,'E1 Fleet'!$D$93,1)*EXP(-'E1 Fleet'!$D$94*MAX($B177-6,0))</f>
        <v/>
      </c>
      <c r="E177" s="276">
        <f>IFERROR(INDEX('D Fleet'!$F$5:$F$62,MATCH(E$3-$B177,'D Fleet'!$B$5:$B$62,0)),0)*IFERROR(INDEX('D Fleet'!$K$5:$K$36,INT(($B177/E$5))+1)+(($B177/E$5)-INT(($B177/E$5)))*(INDEX('D Fleet'!$K$5:$K$36,INT(($B177/E$5))+2)-INDEX('D Fleet'!$K$5:$K$36,INT(($B177/E$5))+1)),0)</f>
        <v/>
      </c>
      <c r="F177" s="276">
        <f>IFERROR(INDEX('D Fleet'!$F$5:$F$62,MATCH(F$3-$B177,'D Fleet'!$B$5:$B$62,0)),0)*IFERROR(INDEX('D Fleet'!$K$5:$K$36,INT(($B177/F$5))+1)+(($B177/F$5)-INT(($B177/F$5)))*(INDEX('D Fleet'!$K$5:$K$36,INT(($B177/F$5))+2)-INDEX('D Fleet'!$K$5:$K$36,INT(($B177/F$5))+1)),0)</f>
        <v/>
      </c>
      <c r="G177" s="276">
        <f>IFERROR(INDEX('D Fleet'!$F$5:$F$62,MATCH(G$3-$B177,'D Fleet'!$B$5:$B$62,0)),0)*IFERROR(INDEX('D Fleet'!$K$5:$K$36,INT(($B177/G$5))+1)+(($B177/G$5)-INT(($B177/G$5)))*(INDEX('D Fleet'!$K$5:$K$36,INT(($B177/G$5))+2)-INDEX('D Fleet'!$K$5:$K$36,INT(($B177/G$5))+1)),0)</f>
        <v/>
      </c>
      <c r="H177" s="276">
        <f>IFERROR(INDEX('D Fleet'!$F$5:$F$62,MATCH(H$3-$B177,'D Fleet'!$B$5:$B$62,0)),0)*IFERROR(INDEX('D Fleet'!$K$5:$K$36,INT(($B177/H$5))+1)+(($B177/H$5)-INT(($B177/H$5)))*(INDEX('D Fleet'!$K$5:$K$36,INT(($B177/H$5))+2)-INDEX('D Fleet'!$K$5:$K$36,INT(($B177/H$5))+1)),0)</f>
        <v/>
      </c>
      <c r="I177" s="276">
        <f>IFERROR(INDEX('D Fleet'!$F$5:$F$62,MATCH(I$3-$B177,'D Fleet'!$B$5:$B$62,0)),0)*IFERROR(INDEX('D Fleet'!$K$5:$K$36,INT(($B177/I$5))+1)+(($B177/I$5)-INT(($B177/I$5)))*(INDEX('D Fleet'!$K$5:$K$36,INT(($B177/I$5))+2)-INDEX('D Fleet'!$K$5:$K$36,INT(($B177/I$5))+1)),0)</f>
        <v/>
      </c>
      <c r="J177" s="276">
        <f>IFERROR(INDEX('D Fleet'!$F$5:$F$62,MATCH(J$3-$B177,'D Fleet'!$B$5:$B$62,0)),0)*IFERROR(INDEX('D Fleet'!$K$5:$K$36,INT(($B177/J$5))+1)+(($B177/J$5)-INT(($B177/J$5)))*(INDEX('D Fleet'!$K$5:$K$36,INT(($B177/J$5))+2)-INDEX('D Fleet'!$K$5:$K$36,INT(($B177/J$5))+1)),0)</f>
        <v/>
      </c>
      <c r="K177" s="276">
        <f>IFERROR(INDEX('D Fleet'!$F$5:$F$62,MATCH(K$3-$B177,'D Fleet'!$B$5:$B$62,0)),0)*IFERROR(INDEX('D Fleet'!$K$5:$K$36,INT(($B177/K$5))+1)+(($B177/K$5)-INT(($B177/K$5)))*(INDEX('D Fleet'!$K$5:$K$36,INT(($B177/K$5))+2)-INDEX('D Fleet'!$K$5:$K$36,INT(($B177/K$5))+1)),0)</f>
        <v/>
      </c>
      <c r="L177" s="276">
        <f>IFERROR(INDEX('D Fleet'!$F$5:$F$62,MATCH(L$3-$B177,'D Fleet'!$B$5:$B$62,0)),0)*IFERROR(INDEX('D Fleet'!$K$5:$K$36,INT(($B177/L$5))+1)+(($B177/L$5)-INT(($B177/L$5)))*(INDEX('D Fleet'!$K$5:$K$36,INT(($B177/L$5))+2)-INDEX('D Fleet'!$K$5:$K$36,INT(($B177/L$5))+1)),0)</f>
        <v/>
      </c>
      <c r="M177" s="276">
        <f>IFERROR(INDEX('D Fleet'!$F$5:$F$62,MATCH(M$3-$B177,'D Fleet'!$B$5:$B$62,0)),0)*IFERROR(INDEX('D Fleet'!$K$5:$K$36,INT(($B177/M$5))+1)+(($B177/M$5)-INT(($B177/M$5)))*(INDEX('D Fleet'!$K$5:$K$36,INT(($B177/M$5))+2)-INDEX('D Fleet'!$K$5:$K$36,INT(($B177/M$5))+1)),0)</f>
        <v/>
      </c>
      <c r="N177" s="276">
        <f>IFERROR(INDEX('D Fleet'!$F$5:$F$62,MATCH(N$3-$B177,'D Fleet'!$B$5:$B$62,0)),0)*IFERROR(INDEX('D Fleet'!$K$5:$K$36,INT(($B177/N$5))+1)+(($B177/N$5)-INT(($B177/N$5)))*(INDEX('D Fleet'!$K$5:$K$36,INT(($B177/N$5))+2)-INDEX('D Fleet'!$K$5:$K$36,INT(($B177/N$5))+1)),0)</f>
        <v/>
      </c>
      <c r="P177" s="276">
        <f>E177*$D177*'E1 Fleet'!$D$100</f>
        <v/>
      </c>
      <c r="Q177" s="276">
        <f>F177*$D177*'E1 Fleet'!$D$100</f>
        <v/>
      </c>
      <c r="R177" s="276">
        <f>G177*$D177*'E1 Fleet'!$D$100</f>
        <v/>
      </c>
      <c r="S177" s="276">
        <f>H177*$D177*'E1 Fleet'!$D$100</f>
        <v/>
      </c>
      <c r="T177" s="276">
        <f>I177*$D177*'E1 Fleet'!$D$100</f>
        <v/>
      </c>
      <c r="U177" s="276">
        <f>J177*$D177*'E1 Fleet'!$D$100</f>
        <v/>
      </c>
      <c r="V177" s="276">
        <f>K177*$D177*'E1 Fleet'!$D$100</f>
        <v/>
      </c>
      <c r="W177" s="276">
        <f>L177*$D177*'E1 Fleet'!$D$100</f>
        <v/>
      </c>
      <c r="X177" s="276">
        <f>M177*$D177*'E1 Fleet'!$D$100</f>
        <v/>
      </c>
      <c r="Y177" s="276">
        <f>N177*$D177*'E1 Fleet'!$D$100</f>
        <v/>
      </c>
    </row>
    <row r="178">
      <c r="A178" t="inlineStr">
        <is>
          <t>Van</t>
        </is>
      </c>
      <c r="B178" t="n">
        <v>33</v>
      </c>
      <c r="C178" t="n">
        <v>3</v>
      </c>
      <c r="D178" s="275">
        <f>IF($B178=0,'E1 Fleet'!$D$93,1)*EXP(-'E1 Fleet'!$D$94*MAX($B178-6,0))</f>
        <v/>
      </c>
      <c r="E178" s="276">
        <f>IFERROR(INDEX('D Fleet'!$F$5:$F$62,MATCH(E$3-$B178,'D Fleet'!$B$5:$B$62,0)),0)*IFERROR(INDEX('D Fleet'!$K$5:$K$36,INT(($B178/E$5))+1)+(($B178/E$5)-INT(($B178/E$5)))*(INDEX('D Fleet'!$K$5:$K$36,INT(($B178/E$5))+2)-INDEX('D Fleet'!$K$5:$K$36,INT(($B178/E$5))+1)),0)</f>
        <v/>
      </c>
      <c r="F178" s="276">
        <f>IFERROR(INDEX('D Fleet'!$F$5:$F$62,MATCH(F$3-$B178,'D Fleet'!$B$5:$B$62,0)),0)*IFERROR(INDEX('D Fleet'!$K$5:$K$36,INT(($B178/F$5))+1)+(($B178/F$5)-INT(($B178/F$5)))*(INDEX('D Fleet'!$K$5:$K$36,INT(($B178/F$5))+2)-INDEX('D Fleet'!$K$5:$K$36,INT(($B178/F$5))+1)),0)</f>
        <v/>
      </c>
      <c r="G178" s="276">
        <f>IFERROR(INDEX('D Fleet'!$F$5:$F$62,MATCH(G$3-$B178,'D Fleet'!$B$5:$B$62,0)),0)*IFERROR(INDEX('D Fleet'!$K$5:$K$36,INT(($B178/G$5))+1)+(($B178/G$5)-INT(($B178/G$5)))*(INDEX('D Fleet'!$K$5:$K$36,INT(($B178/G$5))+2)-INDEX('D Fleet'!$K$5:$K$36,INT(($B178/G$5))+1)),0)</f>
        <v/>
      </c>
      <c r="H178" s="276">
        <f>IFERROR(INDEX('D Fleet'!$F$5:$F$62,MATCH(H$3-$B178,'D Fleet'!$B$5:$B$62,0)),0)*IFERROR(INDEX('D Fleet'!$K$5:$K$36,INT(($B178/H$5))+1)+(($B178/H$5)-INT(($B178/H$5)))*(INDEX('D Fleet'!$K$5:$K$36,INT(($B178/H$5))+2)-INDEX('D Fleet'!$K$5:$K$36,INT(($B178/H$5))+1)),0)</f>
        <v/>
      </c>
      <c r="I178" s="276">
        <f>IFERROR(INDEX('D Fleet'!$F$5:$F$62,MATCH(I$3-$B178,'D Fleet'!$B$5:$B$62,0)),0)*IFERROR(INDEX('D Fleet'!$K$5:$K$36,INT(($B178/I$5))+1)+(($B178/I$5)-INT(($B178/I$5)))*(INDEX('D Fleet'!$K$5:$K$36,INT(($B178/I$5))+2)-INDEX('D Fleet'!$K$5:$K$36,INT(($B178/I$5))+1)),0)</f>
        <v/>
      </c>
      <c r="J178" s="276">
        <f>IFERROR(INDEX('D Fleet'!$F$5:$F$62,MATCH(J$3-$B178,'D Fleet'!$B$5:$B$62,0)),0)*IFERROR(INDEX('D Fleet'!$K$5:$K$36,INT(($B178/J$5))+1)+(($B178/J$5)-INT(($B178/J$5)))*(INDEX('D Fleet'!$K$5:$K$36,INT(($B178/J$5))+2)-INDEX('D Fleet'!$K$5:$K$36,INT(($B178/J$5))+1)),0)</f>
        <v/>
      </c>
      <c r="K178" s="276">
        <f>IFERROR(INDEX('D Fleet'!$F$5:$F$62,MATCH(K$3-$B178,'D Fleet'!$B$5:$B$62,0)),0)*IFERROR(INDEX('D Fleet'!$K$5:$K$36,INT(($B178/K$5))+1)+(($B178/K$5)-INT(($B178/K$5)))*(INDEX('D Fleet'!$K$5:$K$36,INT(($B178/K$5))+2)-INDEX('D Fleet'!$K$5:$K$36,INT(($B178/K$5))+1)),0)</f>
        <v/>
      </c>
      <c r="L178" s="276">
        <f>IFERROR(INDEX('D Fleet'!$F$5:$F$62,MATCH(L$3-$B178,'D Fleet'!$B$5:$B$62,0)),0)*IFERROR(INDEX('D Fleet'!$K$5:$K$36,INT(($B178/L$5))+1)+(($B178/L$5)-INT(($B178/L$5)))*(INDEX('D Fleet'!$K$5:$K$36,INT(($B178/L$5))+2)-INDEX('D Fleet'!$K$5:$K$36,INT(($B178/L$5))+1)),0)</f>
        <v/>
      </c>
      <c r="M178" s="276">
        <f>IFERROR(INDEX('D Fleet'!$F$5:$F$62,MATCH(M$3-$B178,'D Fleet'!$B$5:$B$62,0)),0)*IFERROR(INDEX('D Fleet'!$K$5:$K$36,INT(($B178/M$5))+1)+(($B178/M$5)-INT(($B178/M$5)))*(INDEX('D Fleet'!$K$5:$K$36,INT(($B178/M$5))+2)-INDEX('D Fleet'!$K$5:$K$36,INT(($B178/M$5))+1)),0)</f>
        <v/>
      </c>
      <c r="N178" s="276">
        <f>IFERROR(INDEX('D Fleet'!$F$5:$F$62,MATCH(N$3-$B178,'D Fleet'!$B$5:$B$62,0)),0)*IFERROR(INDEX('D Fleet'!$K$5:$K$36,INT(($B178/N$5))+1)+(($B178/N$5)-INT(($B178/N$5)))*(INDEX('D Fleet'!$K$5:$K$36,INT(($B178/N$5))+2)-INDEX('D Fleet'!$K$5:$K$36,INT(($B178/N$5))+1)),0)</f>
        <v/>
      </c>
      <c r="P178" s="276">
        <f>E178*$D178*'E1 Fleet'!$D$100</f>
        <v/>
      </c>
      <c r="Q178" s="276">
        <f>F178*$D178*'E1 Fleet'!$D$100</f>
        <v/>
      </c>
      <c r="R178" s="276">
        <f>G178*$D178*'E1 Fleet'!$D$100</f>
        <v/>
      </c>
      <c r="S178" s="276">
        <f>H178*$D178*'E1 Fleet'!$D$100</f>
        <v/>
      </c>
      <c r="T178" s="276">
        <f>I178*$D178*'E1 Fleet'!$D$100</f>
        <v/>
      </c>
      <c r="U178" s="276">
        <f>J178*$D178*'E1 Fleet'!$D$100</f>
        <v/>
      </c>
      <c r="V178" s="276">
        <f>K178*$D178*'E1 Fleet'!$D$100</f>
        <v/>
      </c>
      <c r="W178" s="276">
        <f>L178*$D178*'E1 Fleet'!$D$100</f>
        <v/>
      </c>
      <c r="X178" s="276">
        <f>M178*$D178*'E1 Fleet'!$D$100</f>
        <v/>
      </c>
      <c r="Y178" s="276">
        <f>N178*$D178*'E1 Fleet'!$D$100</f>
        <v/>
      </c>
    </row>
    <row r="179">
      <c r="A179" t="inlineStr">
        <is>
          <t>Van</t>
        </is>
      </c>
      <c r="B179" t="n">
        <v>34</v>
      </c>
      <c r="C179" t="n">
        <v>3</v>
      </c>
      <c r="D179" s="275">
        <f>IF($B179=0,'E1 Fleet'!$D$93,1)*EXP(-'E1 Fleet'!$D$94*MAX($B179-6,0))</f>
        <v/>
      </c>
      <c r="E179" s="276">
        <f>IFERROR(INDEX('D Fleet'!$F$5:$F$62,MATCH(E$3-$B179,'D Fleet'!$B$5:$B$62,0)),0)*IFERROR(INDEX('D Fleet'!$K$5:$K$36,INT(($B179/E$5))+1)+(($B179/E$5)-INT(($B179/E$5)))*(INDEX('D Fleet'!$K$5:$K$36,INT(($B179/E$5))+2)-INDEX('D Fleet'!$K$5:$K$36,INT(($B179/E$5))+1)),0)</f>
        <v/>
      </c>
      <c r="F179" s="276">
        <f>IFERROR(INDEX('D Fleet'!$F$5:$F$62,MATCH(F$3-$B179,'D Fleet'!$B$5:$B$62,0)),0)*IFERROR(INDEX('D Fleet'!$K$5:$K$36,INT(($B179/F$5))+1)+(($B179/F$5)-INT(($B179/F$5)))*(INDEX('D Fleet'!$K$5:$K$36,INT(($B179/F$5))+2)-INDEX('D Fleet'!$K$5:$K$36,INT(($B179/F$5))+1)),0)</f>
        <v/>
      </c>
      <c r="G179" s="276">
        <f>IFERROR(INDEX('D Fleet'!$F$5:$F$62,MATCH(G$3-$B179,'D Fleet'!$B$5:$B$62,0)),0)*IFERROR(INDEX('D Fleet'!$K$5:$K$36,INT(($B179/G$5))+1)+(($B179/G$5)-INT(($B179/G$5)))*(INDEX('D Fleet'!$K$5:$K$36,INT(($B179/G$5))+2)-INDEX('D Fleet'!$K$5:$K$36,INT(($B179/G$5))+1)),0)</f>
        <v/>
      </c>
      <c r="H179" s="276">
        <f>IFERROR(INDEX('D Fleet'!$F$5:$F$62,MATCH(H$3-$B179,'D Fleet'!$B$5:$B$62,0)),0)*IFERROR(INDEX('D Fleet'!$K$5:$K$36,INT(($B179/H$5))+1)+(($B179/H$5)-INT(($B179/H$5)))*(INDEX('D Fleet'!$K$5:$K$36,INT(($B179/H$5))+2)-INDEX('D Fleet'!$K$5:$K$36,INT(($B179/H$5))+1)),0)</f>
        <v/>
      </c>
      <c r="I179" s="276">
        <f>IFERROR(INDEX('D Fleet'!$F$5:$F$62,MATCH(I$3-$B179,'D Fleet'!$B$5:$B$62,0)),0)*IFERROR(INDEX('D Fleet'!$K$5:$K$36,INT(($B179/I$5))+1)+(($B179/I$5)-INT(($B179/I$5)))*(INDEX('D Fleet'!$K$5:$K$36,INT(($B179/I$5))+2)-INDEX('D Fleet'!$K$5:$K$36,INT(($B179/I$5))+1)),0)</f>
        <v/>
      </c>
      <c r="J179" s="276">
        <f>IFERROR(INDEX('D Fleet'!$F$5:$F$62,MATCH(J$3-$B179,'D Fleet'!$B$5:$B$62,0)),0)*IFERROR(INDEX('D Fleet'!$K$5:$K$36,INT(($B179/J$5))+1)+(($B179/J$5)-INT(($B179/J$5)))*(INDEX('D Fleet'!$K$5:$K$36,INT(($B179/J$5))+2)-INDEX('D Fleet'!$K$5:$K$36,INT(($B179/J$5))+1)),0)</f>
        <v/>
      </c>
      <c r="K179" s="276">
        <f>IFERROR(INDEX('D Fleet'!$F$5:$F$62,MATCH(K$3-$B179,'D Fleet'!$B$5:$B$62,0)),0)*IFERROR(INDEX('D Fleet'!$K$5:$K$36,INT(($B179/K$5))+1)+(($B179/K$5)-INT(($B179/K$5)))*(INDEX('D Fleet'!$K$5:$K$36,INT(($B179/K$5))+2)-INDEX('D Fleet'!$K$5:$K$36,INT(($B179/K$5))+1)),0)</f>
        <v/>
      </c>
      <c r="L179" s="276">
        <f>IFERROR(INDEX('D Fleet'!$F$5:$F$62,MATCH(L$3-$B179,'D Fleet'!$B$5:$B$62,0)),0)*IFERROR(INDEX('D Fleet'!$K$5:$K$36,INT(($B179/L$5))+1)+(($B179/L$5)-INT(($B179/L$5)))*(INDEX('D Fleet'!$K$5:$K$36,INT(($B179/L$5))+2)-INDEX('D Fleet'!$K$5:$K$36,INT(($B179/L$5))+1)),0)</f>
        <v/>
      </c>
      <c r="M179" s="276">
        <f>IFERROR(INDEX('D Fleet'!$F$5:$F$62,MATCH(M$3-$B179,'D Fleet'!$B$5:$B$62,0)),0)*IFERROR(INDEX('D Fleet'!$K$5:$K$36,INT(($B179/M$5))+1)+(($B179/M$5)-INT(($B179/M$5)))*(INDEX('D Fleet'!$K$5:$K$36,INT(($B179/M$5))+2)-INDEX('D Fleet'!$K$5:$K$36,INT(($B179/M$5))+1)),0)</f>
        <v/>
      </c>
      <c r="N179" s="276">
        <f>IFERROR(INDEX('D Fleet'!$F$5:$F$62,MATCH(N$3-$B179,'D Fleet'!$B$5:$B$62,0)),0)*IFERROR(INDEX('D Fleet'!$K$5:$K$36,INT(($B179/N$5))+1)+(($B179/N$5)-INT(($B179/N$5)))*(INDEX('D Fleet'!$K$5:$K$36,INT(($B179/N$5))+2)-INDEX('D Fleet'!$K$5:$K$36,INT(($B179/N$5))+1)),0)</f>
        <v/>
      </c>
      <c r="P179" s="276">
        <f>E179*$D179*'E1 Fleet'!$D$100</f>
        <v/>
      </c>
      <c r="Q179" s="276">
        <f>F179*$D179*'E1 Fleet'!$D$100</f>
        <v/>
      </c>
      <c r="R179" s="276">
        <f>G179*$D179*'E1 Fleet'!$D$100</f>
        <v/>
      </c>
      <c r="S179" s="276">
        <f>H179*$D179*'E1 Fleet'!$D$100</f>
        <v/>
      </c>
      <c r="T179" s="276">
        <f>I179*$D179*'E1 Fleet'!$D$100</f>
        <v/>
      </c>
      <c r="U179" s="276">
        <f>J179*$D179*'E1 Fleet'!$D$100</f>
        <v/>
      </c>
      <c r="V179" s="276">
        <f>K179*$D179*'E1 Fleet'!$D$100</f>
        <v/>
      </c>
      <c r="W179" s="276">
        <f>L179*$D179*'E1 Fleet'!$D$100</f>
        <v/>
      </c>
      <c r="X179" s="276">
        <f>M179*$D179*'E1 Fleet'!$D$100</f>
        <v/>
      </c>
      <c r="Y179" s="276">
        <f>N179*$D179*'E1 Fleet'!$D$100</f>
        <v/>
      </c>
    </row>
    <row r="180">
      <c r="A180" t="inlineStr">
        <is>
          <t>Van</t>
        </is>
      </c>
      <c r="B180" t="n">
        <v>35</v>
      </c>
      <c r="C180" t="n">
        <v>3</v>
      </c>
      <c r="D180" s="275">
        <f>IF($B180=0,'E1 Fleet'!$D$93,1)*EXP(-'E1 Fleet'!$D$94*MAX($B180-6,0))</f>
        <v/>
      </c>
      <c r="E180" s="276">
        <f>IFERROR(INDEX('D Fleet'!$F$5:$F$62,MATCH(E$3-$B180,'D Fleet'!$B$5:$B$62,0)),0)*IFERROR(INDEX('D Fleet'!$K$5:$K$36,INT(($B180/E$5))+1)+(($B180/E$5)-INT(($B180/E$5)))*(INDEX('D Fleet'!$K$5:$K$36,INT(($B180/E$5))+2)-INDEX('D Fleet'!$K$5:$K$36,INT(($B180/E$5))+1)),0)</f>
        <v/>
      </c>
      <c r="F180" s="276">
        <f>IFERROR(INDEX('D Fleet'!$F$5:$F$62,MATCH(F$3-$B180,'D Fleet'!$B$5:$B$62,0)),0)*IFERROR(INDEX('D Fleet'!$K$5:$K$36,INT(($B180/F$5))+1)+(($B180/F$5)-INT(($B180/F$5)))*(INDEX('D Fleet'!$K$5:$K$36,INT(($B180/F$5))+2)-INDEX('D Fleet'!$K$5:$K$36,INT(($B180/F$5))+1)),0)</f>
        <v/>
      </c>
      <c r="G180" s="276">
        <f>IFERROR(INDEX('D Fleet'!$F$5:$F$62,MATCH(G$3-$B180,'D Fleet'!$B$5:$B$62,0)),0)*IFERROR(INDEX('D Fleet'!$K$5:$K$36,INT(($B180/G$5))+1)+(($B180/G$5)-INT(($B180/G$5)))*(INDEX('D Fleet'!$K$5:$K$36,INT(($B180/G$5))+2)-INDEX('D Fleet'!$K$5:$K$36,INT(($B180/G$5))+1)),0)</f>
        <v/>
      </c>
      <c r="H180" s="276">
        <f>IFERROR(INDEX('D Fleet'!$F$5:$F$62,MATCH(H$3-$B180,'D Fleet'!$B$5:$B$62,0)),0)*IFERROR(INDEX('D Fleet'!$K$5:$K$36,INT(($B180/H$5))+1)+(($B180/H$5)-INT(($B180/H$5)))*(INDEX('D Fleet'!$K$5:$K$36,INT(($B180/H$5))+2)-INDEX('D Fleet'!$K$5:$K$36,INT(($B180/H$5))+1)),0)</f>
        <v/>
      </c>
      <c r="I180" s="276">
        <f>IFERROR(INDEX('D Fleet'!$F$5:$F$62,MATCH(I$3-$B180,'D Fleet'!$B$5:$B$62,0)),0)*IFERROR(INDEX('D Fleet'!$K$5:$K$36,INT(($B180/I$5))+1)+(($B180/I$5)-INT(($B180/I$5)))*(INDEX('D Fleet'!$K$5:$K$36,INT(($B180/I$5))+2)-INDEX('D Fleet'!$K$5:$K$36,INT(($B180/I$5))+1)),0)</f>
        <v/>
      </c>
      <c r="J180" s="276">
        <f>IFERROR(INDEX('D Fleet'!$F$5:$F$62,MATCH(J$3-$B180,'D Fleet'!$B$5:$B$62,0)),0)*IFERROR(INDEX('D Fleet'!$K$5:$K$36,INT(($B180/J$5))+1)+(($B180/J$5)-INT(($B180/J$5)))*(INDEX('D Fleet'!$K$5:$K$36,INT(($B180/J$5))+2)-INDEX('D Fleet'!$K$5:$K$36,INT(($B180/J$5))+1)),0)</f>
        <v/>
      </c>
      <c r="K180" s="276">
        <f>IFERROR(INDEX('D Fleet'!$F$5:$F$62,MATCH(K$3-$B180,'D Fleet'!$B$5:$B$62,0)),0)*IFERROR(INDEX('D Fleet'!$K$5:$K$36,INT(($B180/K$5))+1)+(($B180/K$5)-INT(($B180/K$5)))*(INDEX('D Fleet'!$K$5:$K$36,INT(($B180/K$5))+2)-INDEX('D Fleet'!$K$5:$K$36,INT(($B180/K$5))+1)),0)</f>
        <v/>
      </c>
      <c r="L180" s="276">
        <f>IFERROR(INDEX('D Fleet'!$F$5:$F$62,MATCH(L$3-$B180,'D Fleet'!$B$5:$B$62,0)),0)*IFERROR(INDEX('D Fleet'!$K$5:$K$36,INT(($B180/L$5))+1)+(($B180/L$5)-INT(($B180/L$5)))*(INDEX('D Fleet'!$K$5:$K$36,INT(($B180/L$5))+2)-INDEX('D Fleet'!$K$5:$K$36,INT(($B180/L$5))+1)),0)</f>
        <v/>
      </c>
      <c r="M180" s="276">
        <f>IFERROR(INDEX('D Fleet'!$F$5:$F$62,MATCH(M$3-$B180,'D Fleet'!$B$5:$B$62,0)),0)*IFERROR(INDEX('D Fleet'!$K$5:$K$36,INT(($B180/M$5))+1)+(($B180/M$5)-INT(($B180/M$5)))*(INDEX('D Fleet'!$K$5:$K$36,INT(($B180/M$5))+2)-INDEX('D Fleet'!$K$5:$K$36,INT(($B180/M$5))+1)),0)</f>
        <v/>
      </c>
      <c r="N180" s="276">
        <f>IFERROR(INDEX('D Fleet'!$F$5:$F$62,MATCH(N$3-$B180,'D Fleet'!$B$5:$B$62,0)),0)*IFERROR(INDEX('D Fleet'!$K$5:$K$36,INT(($B180/N$5))+1)+(($B180/N$5)-INT(($B180/N$5)))*(INDEX('D Fleet'!$K$5:$K$36,INT(($B180/N$5))+2)-INDEX('D Fleet'!$K$5:$K$36,INT(($B180/N$5))+1)),0)</f>
        <v/>
      </c>
      <c r="P180" s="276">
        <f>E180*$D180*'E1 Fleet'!$D$100</f>
        <v/>
      </c>
      <c r="Q180" s="276">
        <f>F180*$D180*'E1 Fleet'!$D$100</f>
        <v/>
      </c>
      <c r="R180" s="276">
        <f>G180*$D180*'E1 Fleet'!$D$100</f>
        <v/>
      </c>
      <c r="S180" s="276">
        <f>H180*$D180*'E1 Fleet'!$D$100</f>
        <v/>
      </c>
      <c r="T180" s="276">
        <f>I180*$D180*'E1 Fleet'!$D$100</f>
        <v/>
      </c>
      <c r="U180" s="276">
        <f>J180*$D180*'E1 Fleet'!$D$100</f>
        <v/>
      </c>
      <c r="V180" s="276">
        <f>K180*$D180*'E1 Fleet'!$D$100</f>
        <v/>
      </c>
      <c r="W180" s="276">
        <f>L180*$D180*'E1 Fleet'!$D$100</f>
        <v/>
      </c>
      <c r="X180" s="276">
        <f>M180*$D180*'E1 Fleet'!$D$100</f>
        <v/>
      </c>
      <c r="Y180" s="276">
        <f>N180*$D180*'E1 Fleet'!$D$100</f>
        <v/>
      </c>
    </row>
    <row r="181">
      <c r="A181" t="inlineStr">
        <is>
          <t>Van</t>
        </is>
      </c>
      <c r="B181" t="n">
        <v>36</v>
      </c>
      <c r="C181" t="n">
        <v>3</v>
      </c>
      <c r="D181" s="275">
        <f>IF($B181=0,'E1 Fleet'!$D$93,1)*EXP(-'E1 Fleet'!$D$94*MAX($B181-6,0))</f>
        <v/>
      </c>
      <c r="E181" s="276">
        <f>IFERROR(INDEX('D Fleet'!$F$5:$F$62,MATCH(E$3-$B181,'D Fleet'!$B$5:$B$62,0)),0)*IFERROR(INDEX('D Fleet'!$K$5:$K$36,INT(($B181/E$5))+1)+(($B181/E$5)-INT(($B181/E$5)))*(INDEX('D Fleet'!$K$5:$K$36,INT(($B181/E$5))+2)-INDEX('D Fleet'!$K$5:$K$36,INT(($B181/E$5))+1)),0)</f>
        <v/>
      </c>
      <c r="F181" s="276">
        <f>IFERROR(INDEX('D Fleet'!$F$5:$F$62,MATCH(F$3-$B181,'D Fleet'!$B$5:$B$62,0)),0)*IFERROR(INDEX('D Fleet'!$K$5:$K$36,INT(($B181/F$5))+1)+(($B181/F$5)-INT(($B181/F$5)))*(INDEX('D Fleet'!$K$5:$K$36,INT(($B181/F$5))+2)-INDEX('D Fleet'!$K$5:$K$36,INT(($B181/F$5))+1)),0)</f>
        <v/>
      </c>
      <c r="G181" s="276">
        <f>IFERROR(INDEX('D Fleet'!$F$5:$F$62,MATCH(G$3-$B181,'D Fleet'!$B$5:$B$62,0)),0)*IFERROR(INDEX('D Fleet'!$K$5:$K$36,INT(($B181/G$5))+1)+(($B181/G$5)-INT(($B181/G$5)))*(INDEX('D Fleet'!$K$5:$K$36,INT(($B181/G$5))+2)-INDEX('D Fleet'!$K$5:$K$36,INT(($B181/G$5))+1)),0)</f>
        <v/>
      </c>
      <c r="H181" s="276">
        <f>IFERROR(INDEX('D Fleet'!$F$5:$F$62,MATCH(H$3-$B181,'D Fleet'!$B$5:$B$62,0)),0)*IFERROR(INDEX('D Fleet'!$K$5:$K$36,INT(($B181/H$5))+1)+(($B181/H$5)-INT(($B181/H$5)))*(INDEX('D Fleet'!$K$5:$K$36,INT(($B181/H$5))+2)-INDEX('D Fleet'!$K$5:$K$36,INT(($B181/H$5))+1)),0)</f>
        <v/>
      </c>
      <c r="I181" s="276">
        <f>IFERROR(INDEX('D Fleet'!$F$5:$F$62,MATCH(I$3-$B181,'D Fleet'!$B$5:$B$62,0)),0)*IFERROR(INDEX('D Fleet'!$K$5:$K$36,INT(($B181/I$5))+1)+(($B181/I$5)-INT(($B181/I$5)))*(INDEX('D Fleet'!$K$5:$K$36,INT(($B181/I$5))+2)-INDEX('D Fleet'!$K$5:$K$36,INT(($B181/I$5))+1)),0)</f>
        <v/>
      </c>
      <c r="J181" s="276">
        <f>IFERROR(INDEX('D Fleet'!$F$5:$F$62,MATCH(J$3-$B181,'D Fleet'!$B$5:$B$62,0)),0)*IFERROR(INDEX('D Fleet'!$K$5:$K$36,INT(($B181/J$5))+1)+(($B181/J$5)-INT(($B181/J$5)))*(INDEX('D Fleet'!$K$5:$K$36,INT(($B181/J$5))+2)-INDEX('D Fleet'!$K$5:$K$36,INT(($B181/J$5))+1)),0)</f>
        <v/>
      </c>
      <c r="K181" s="276">
        <f>IFERROR(INDEX('D Fleet'!$F$5:$F$62,MATCH(K$3-$B181,'D Fleet'!$B$5:$B$62,0)),0)*IFERROR(INDEX('D Fleet'!$K$5:$K$36,INT(($B181/K$5))+1)+(($B181/K$5)-INT(($B181/K$5)))*(INDEX('D Fleet'!$K$5:$K$36,INT(($B181/K$5))+2)-INDEX('D Fleet'!$K$5:$K$36,INT(($B181/K$5))+1)),0)</f>
        <v/>
      </c>
      <c r="L181" s="276">
        <f>IFERROR(INDEX('D Fleet'!$F$5:$F$62,MATCH(L$3-$B181,'D Fleet'!$B$5:$B$62,0)),0)*IFERROR(INDEX('D Fleet'!$K$5:$K$36,INT(($B181/L$5))+1)+(($B181/L$5)-INT(($B181/L$5)))*(INDEX('D Fleet'!$K$5:$K$36,INT(($B181/L$5))+2)-INDEX('D Fleet'!$K$5:$K$36,INT(($B181/L$5))+1)),0)</f>
        <v/>
      </c>
      <c r="M181" s="276">
        <f>IFERROR(INDEX('D Fleet'!$F$5:$F$62,MATCH(M$3-$B181,'D Fleet'!$B$5:$B$62,0)),0)*IFERROR(INDEX('D Fleet'!$K$5:$K$36,INT(($B181/M$5))+1)+(($B181/M$5)-INT(($B181/M$5)))*(INDEX('D Fleet'!$K$5:$K$36,INT(($B181/M$5))+2)-INDEX('D Fleet'!$K$5:$K$36,INT(($B181/M$5))+1)),0)</f>
        <v/>
      </c>
      <c r="N181" s="276">
        <f>IFERROR(INDEX('D Fleet'!$F$5:$F$62,MATCH(N$3-$B181,'D Fleet'!$B$5:$B$62,0)),0)*IFERROR(INDEX('D Fleet'!$K$5:$K$36,INT(($B181/N$5))+1)+(($B181/N$5)-INT(($B181/N$5)))*(INDEX('D Fleet'!$K$5:$K$36,INT(($B181/N$5))+2)-INDEX('D Fleet'!$K$5:$K$36,INT(($B181/N$5))+1)),0)</f>
        <v/>
      </c>
      <c r="P181" s="276">
        <f>E181*$D181*'E1 Fleet'!$D$100</f>
        <v/>
      </c>
      <c r="Q181" s="276">
        <f>F181*$D181*'E1 Fleet'!$D$100</f>
        <v/>
      </c>
      <c r="R181" s="276">
        <f>G181*$D181*'E1 Fleet'!$D$100</f>
        <v/>
      </c>
      <c r="S181" s="276">
        <f>H181*$D181*'E1 Fleet'!$D$100</f>
        <v/>
      </c>
      <c r="T181" s="276">
        <f>I181*$D181*'E1 Fleet'!$D$100</f>
        <v/>
      </c>
      <c r="U181" s="276">
        <f>J181*$D181*'E1 Fleet'!$D$100</f>
        <v/>
      </c>
      <c r="V181" s="276">
        <f>K181*$D181*'E1 Fleet'!$D$100</f>
        <v/>
      </c>
      <c r="W181" s="276">
        <f>L181*$D181*'E1 Fleet'!$D$100</f>
        <v/>
      </c>
      <c r="X181" s="276">
        <f>M181*$D181*'E1 Fleet'!$D$100</f>
        <v/>
      </c>
      <c r="Y181" s="276">
        <f>N181*$D181*'E1 Fleet'!$D$100</f>
        <v/>
      </c>
    </row>
    <row r="182">
      <c r="A182" t="inlineStr">
        <is>
          <t>Van</t>
        </is>
      </c>
      <c r="B182" t="n">
        <v>37</v>
      </c>
      <c r="C182" t="n">
        <v>3</v>
      </c>
      <c r="D182" s="275">
        <f>IF($B182=0,'E1 Fleet'!$D$93,1)*EXP(-'E1 Fleet'!$D$94*MAX($B182-6,0))</f>
        <v/>
      </c>
      <c r="E182" s="276">
        <f>IFERROR(INDEX('D Fleet'!$F$5:$F$62,MATCH(E$3-$B182,'D Fleet'!$B$5:$B$62,0)),0)*IFERROR(INDEX('D Fleet'!$K$5:$K$36,INT(($B182/E$5))+1)+(($B182/E$5)-INT(($B182/E$5)))*(INDEX('D Fleet'!$K$5:$K$36,INT(($B182/E$5))+2)-INDEX('D Fleet'!$K$5:$K$36,INT(($B182/E$5))+1)),0)</f>
        <v/>
      </c>
      <c r="F182" s="276">
        <f>IFERROR(INDEX('D Fleet'!$F$5:$F$62,MATCH(F$3-$B182,'D Fleet'!$B$5:$B$62,0)),0)*IFERROR(INDEX('D Fleet'!$K$5:$K$36,INT(($B182/F$5))+1)+(($B182/F$5)-INT(($B182/F$5)))*(INDEX('D Fleet'!$K$5:$K$36,INT(($B182/F$5))+2)-INDEX('D Fleet'!$K$5:$K$36,INT(($B182/F$5))+1)),0)</f>
        <v/>
      </c>
      <c r="G182" s="276">
        <f>IFERROR(INDEX('D Fleet'!$F$5:$F$62,MATCH(G$3-$B182,'D Fleet'!$B$5:$B$62,0)),0)*IFERROR(INDEX('D Fleet'!$K$5:$K$36,INT(($B182/G$5))+1)+(($B182/G$5)-INT(($B182/G$5)))*(INDEX('D Fleet'!$K$5:$K$36,INT(($B182/G$5))+2)-INDEX('D Fleet'!$K$5:$K$36,INT(($B182/G$5))+1)),0)</f>
        <v/>
      </c>
      <c r="H182" s="276">
        <f>IFERROR(INDEX('D Fleet'!$F$5:$F$62,MATCH(H$3-$B182,'D Fleet'!$B$5:$B$62,0)),0)*IFERROR(INDEX('D Fleet'!$K$5:$K$36,INT(($B182/H$5))+1)+(($B182/H$5)-INT(($B182/H$5)))*(INDEX('D Fleet'!$K$5:$K$36,INT(($B182/H$5))+2)-INDEX('D Fleet'!$K$5:$K$36,INT(($B182/H$5))+1)),0)</f>
        <v/>
      </c>
      <c r="I182" s="276">
        <f>IFERROR(INDEX('D Fleet'!$F$5:$F$62,MATCH(I$3-$B182,'D Fleet'!$B$5:$B$62,0)),0)*IFERROR(INDEX('D Fleet'!$K$5:$K$36,INT(($B182/I$5))+1)+(($B182/I$5)-INT(($B182/I$5)))*(INDEX('D Fleet'!$K$5:$K$36,INT(($B182/I$5))+2)-INDEX('D Fleet'!$K$5:$K$36,INT(($B182/I$5))+1)),0)</f>
        <v/>
      </c>
      <c r="J182" s="276">
        <f>IFERROR(INDEX('D Fleet'!$F$5:$F$62,MATCH(J$3-$B182,'D Fleet'!$B$5:$B$62,0)),0)*IFERROR(INDEX('D Fleet'!$K$5:$K$36,INT(($B182/J$5))+1)+(($B182/J$5)-INT(($B182/J$5)))*(INDEX('D Fleet'!$K$5:$K$36,INT(($B182/J$5))+2)-INDEX('D Fleet'!$K$5:$K$36,INT(($B182/J$5))+1)),0)</f>
        <v/>
      </c>
      <c r="K182" s="276">
        <f>IFERROR(INDEX('D Fleet'!$F$5:$F$62,MATCH(K$3-$B182,'D Fleet'!$B$5:$B$62,0)),0)*IFERROR(INDEX('D Fleet'!$K$5:$K$36,INT(($B182/K$5))+1)+(($B182/K$5)-INT(($B182/K$5)))*(INDEX('D Fleet'!$K$5:$K$36,INT(($B182/K$5))+2)-INDEX('D Fleet'!$K$5:$K$36,INT(($B182/K$5))+1)),0)</f>
        <v/>
      </c>
      <c r="L182" s="276">
        <f>IFERROR(INDEX('D Fleet'!$F$5:$F$62,MATCH(L$3-$B182,'D Fleet'!$B$5:$B$62,0)),0)*IFERROR(INDEX('D Fleet'!$K$5:$K$36,INT(($B182/L$5))+1)+(($B182/L$5)-INT(($B182/L$5)))*(INDEX('D Fleet'!$K$5:$K$36,INT(($B182/L$5))+2)-INDEX('D Fleet'!$K$5:$K$36,INT(($B182/L$5))+1)),0)</f>
        <v/>
      </c>
      <c r="M182" s="276">
        <f>IFERROR(INDEX('D Fleet'!$F$5:$F$62,MATCH(M$3-$B182,'D Fleet'!$B$5:$B$62,0)),0)*IFERROR(INDEX('D Fleet'!$K$5:$K$36,INT(($B182/M$5))+1)+(($B182/M$5)-INT(($B182/M$5)))*(INDEX('D Fleet'!$K$5:$K$36,INT(($B182/M$5))+2)-INDEX('D Fleet'!$K$5:$K$36,INT(($B182/M$5))+1)),0)</f>
        <v/>
      </c>
      <c r="N182" s="276">
        <f>IFERROR(INDEX('D Fleet'!$F$5:$F$62,MATCH(N$3-$B182,'D Fleet'!$B$5:$B$62,0)),0)*IFERROR(INDEX('D Fleet'!$K$5:$K$36,INT(($B182/N$5))+1)+(($B182/N$5)-INT(($B182/N$5)))*(INDEX('D Fleet'!$K$5:$K$36,INT(($B182/N$5))+2)-INDEX('D Fleet'!$K$5:$K$36,INT(($B182/N$5))+1)),0)</f>
        <v/>
      </c>
      <c r="P182" s="276">
        <f>E182*$D182*'E1 Fleet'!$D$100</f>
        <v/>
      </c>
      <c r="Q182" s="276">
        <f>F182*$D182*'E1 Fleet'!$D$100</f>
        <v/>
      </c>
      <c r="R182" s="276">
        <f>G182*$D182*'E1 Fleet'!$D$100</f>
        <v/>
      </c>
      <c r="S182" s="276">
        <f>H182*$D182*'E1 Fleet'!$D$100</f>
        <v/>
      </c>
      <c r="T182" s="276">
        <f>I182*$D182*'E1 Fleet'!$D$100</f>
        <v/>
      </c>
      <c r="U182" s="276">
        <f>J182*$D182*'E1 Fleet'!$D$100</f>
        <v/>
      </c>
      <c r="V182" s="276">
        <f>K182*$D182*'E1 Fleet'!$D$100</f>
        <v/>
      </c>
      <c r="W182" s="276">
        <f>L182*$D182*'E1 Fleet'!$D$100</f>
        <v/>
      </c>
      <c r="X182" s="276">
        <f>M182*$D182*'E1 Fleet'!$D$100</f>
        <v/>
      </c>
      <c r="Y182" s="276">
        <f>N182*$D182*'E1 Fleet'!$D$100</f>
        <v/>
      </c>
    </row>
    <row r="183">
      <c r="A183" t="inlineStr">
        <is>
          <t>Van</t>
        </is>
      </c>
      <c r="B183" t="n">
        <v>38</v>
      </c>
      <c r="C183" t="n">
        <v>3</v>
      </c>
      <c r="D183" s="275">
        <f>IF($B183=0,'E1 Fleet'!$D$93,1)*EXP(-'E1 Fleet'!$D$94*MAX($B183-6,0))</f>
        <v/>
      </c>
      <c r="E183" s="276">
        <f>IFERROR(INDEX('D Fleet'!$F$5:$F$62,MATCH(E$3-$B183,'D Fleet'!$B$5:$B$62,0)),0)*IFERROR(INDEX('D Fleet'!$K$5:$K$36,INT(($B183/E$5))+1)+(($B183/E$5)-INT(($B183/E$5)))*(INDEX('D Fleet'!$K$5:$K$36,INT(($B183/E$5))+2)-INDEX('D Fleet'!$K$5:$K$36,INT(($B183/E$5))+1)),0)</f>
        <v/>
      </c>
      <c r="F183" s="276">
        <f>IFERROR(INDEX('D Fleet'!$F$5:$F$62,MATCH(F$3-$B183,'D Fleet'!$B$5:$B$62,0)),0)*IFERROR(INDEX('D Fleet'!$K$5:$K$36,INT(($B183/F$5))+1)+(($B183/F$5)-INT(($B183/F$5)))*(INDEX('D Fleet'!$K$5:$K$36,INT(($B183/F$5))+2)-INDEX('D Fleet'!$K$5:$K$36,INT(($B183/F$5))+1)),0)</f>
        <v/>
      </c>
      <c r="G183" s="276">
        <f>IFERROR(INDEX('D Fleet'!$F$5:$F$62,MATCH(G$3-$B183,'D Fleet'!$B$5:$B$62,0)),0)*IFERROR(INDEX('D Fleet'!$K$5:$K$36,INT(($B183/G$5))+1)+(($B183/G$5)-INT(($B183/G$5)))*(INDEX('D Fleet'!$K$5:$K$36,INT(($B183/G$5))+2)-INDEX('D Fleet'!$K$5:$K$36,INT(($B183/G$5))+1)),0)</f>
        <v/>
      </c>
      <c r="H183" s="276">
        <f>IFERROR(INDEX('D Fleet'!$F$5:$F$62,MATCH(H$3-$B183,'D Fleet'!$B$5:$B$62,0)),0)*IFERROR(INDEX('D Fleet'!$K$5:$K$36,INT(($B183/H$5))+1)+(($B183/H$5)-INT(($B183/H$5)))*(INDEX('D Fleet'!$K$5:$K$36,INT(($B183/H$5))+2)-INDEX('D Fleet'!$K$5:$K$36,INT(($B183/H$5))+1)),0)</f>
        <v/>
      </c>
      <c r="I183" s="276">
        <f>IFERROR(INDEX('D Fleet'!$F$5:$F$62,MATCH(I$3-$B183,'D Fleet'!$B$5:$B$62,0)),0)*IFERROR(INDEX('D Fleet'!$K$5:$K$36,INT(($B183/I$5))+1)+(($B183/I$5)-INT(($B183/I$5)))*(INDEX('D Fleet'!$K$5:$K$36,INT(($B183/I$5))+2)-INDEX('D Fleet'!$K$5:$K$36,INT(($B183/I$5))+1)),0)</f>
        <v/>
      </c>
      <c r="J183" s="276">
        <f>IFERROR(INDEX('D Fleet'!$F$5:$F$62,MATCH(J$3-$B183,'D Fleet'!$B$5:$B$62,0)),0)*IFERROR(INDEX('D Fleet'!$K$5:$K$36,INT(($B183/J$5))+1)+(($B183/J$5)-INT(($B183/J$5)))*(INDEX('D Fleet'!$K$5:$K$36,INT(($B183/J$5))+2)-INDEX('D Fleet'!$K$5:$K$36,INT(($B183/J$5))+1)),0)</f>
        <v/>
      </c>
      <c r="K183" s="276">
        <f>IFERROR(INDEX('D Fleet'!$F$5:$F$62,MATCH(K$3-$B183,'D Fleet'!$B$5:$B$62,0)),0)*IFERROR(INDEX('D Fleet'!$K$5:$K$36,INT(($B183/K$5))+1)+(($B183/K$5)-INT(($B183/K$5)))*(INDEX('D Fleet'!$K$5:$K$36,INT(($B183/K$5))+2)-INDEX('D Fleet'!$K$5:$K$36,INT(($B183/K$5))+1)),0)</f>
        <v/>
      </c>
      <c r="L183" s="276">
        <f>IFERROR(INDEX('D Fleet'!$F$5:$F$62,MATCH(L$3-$B183,'D Fleet'!$B$5:$B$62,0)),0)*IFERROR(INDEX('D Fleet'!$K$5:$K$36,INT(($B183/L$5))+1)+(($B183/L$5)-INT(($B183/L$5)))*(INDEX('D Fleet'!$K$5:$K$36,INT(($B183/L$5))+2)-INDEX('D Fleet'!$K$5:$K$36,INT(($B183/L$5))+1)),0)</f>
        <v/>
      </c>
      <c r="M183" s="276">
        <f>IFERROR(INDEX('D Fleet'!$F$5:$F$62,MATCH(M$3-$B183,'D Fleet'!$B$5:$B$62,0)),0)*IFERROR(INDEX('D Fleet'!$K$5:$K$36,INT(($B183/M$5))+1)+(($B183/M$5)-INT(($B183/M$5)))*(INDEX('D Fleet'!$K$5:$K$36,INT(($B183/M$5))+2)-INDEX('D Fleet'!$K$5:$K$36,INT(($B183/M$5))+1)),0)</f>
        <v/>
      </c>
      <c r="N183" s="276">
        <f>IFERROR(INDEX('D Fleet'!$F$5:$F$62,MATCH(N$3-$B183,'D Fleet'!$B$5:$B$62,0)),0)*IFERROR(INDEX('D Fleet'!$K$5:$K$36,INT(($B183/N$5))+1)+(($B183/N$5)-INT(($B183/N$5)))*(INDEX('D Fleet'!$K$5:$K$36,INT(($B183/N$5))+2)-INDEX('D Fleet'!$K$5:$K$36,INT(($B183/N$5))+1)),0)</f>
        <v/>
      </c>
      <c r="P183" s="276">
        <f>E183*$D183*'E1 Fleet'!$D$100</f>
        <v/>
      </c>
      <c r="Q183" s="276">
        <f>F183*$D183*'E1 Fleet'!$D$100</f>
        <v/>
      </c>
      <c r="R183" s="276">
        <f>G183*$D183*'E1 Fleet'!$D$100</f>
        <v/>
      </c>
      <c r="S183" s="276">
        <f>H183*$D183*'E1 Fleet'!$D$100</f>
        <v/>
      </c>
      <c r="T183" s="276">
        <f>I183*$D183*'E1 Fleet'!$D$100</f>
        <v/>
      </c>
      <c r="U183" s="276">
        <f>J183*$D183*'E1 Fleet'!$D$100</f>
        <v/>
      </c>
      <c r="V183" s="276">
        <f>K183*$D183*'E1 Fleet'!$D$100</f>
        <v/>
      </c>
      <c r="W183" s="276">
        <f>L183*$D183*'E1 Fleet'!$D$100</f>
        <v/>
      </c>
      <c r="X183" s="276">
        <f>M183*$D183*'E1 Fleet'!$D$100</f>
        <v/>
      </c>
      <c r="Y183" s="276">
        <f>N183*$D183*'E1 Fleet'!$D$100</f>
        <v/>
      </c>
    </row>
    <row r="184">
      <c r="A184" t="inlineStr">
        <is>
          <t>Van</t>
        </is>
      </c>
      <c r="B184" t="n">
        <v>39</v>
      </c>
      <c r="C184" t="n">
        <v>3</v>
      </c>
      <c r="D184" s="275">
        <f>IF($B184=0,'E1 Fleet'!$D$93,1)*EXP(-'E1 Fleet'!$D$94*MAX($B184-6,0))</f>
        <v/>
      </c>
      <c r="E184" s="276">
        <f>IFERROR(INDEX('D Fleet'!$F$5:$F$62,MATCH(E$3-$B184,'D Fleet'!$B$5:$B$62,0)),0)*IFERROR(INDEX('D Fleet'!$K$5:$K$36,INT(($B184/E$5))+1)+(($B184/E$5)-INT(($B184/E$5)))*(INDEX('D Fleet'!$K$5:$K$36,INT(($B184/E$5))+2)-INDEX('D Fleet'!$K$5:$K$36,INT(($B184/E$5))+1)),0)</f>
        <v/>
      </c>
      <c r="F184" s="276">
        <f>IFERROR(INDEX('D Fleet'!$F$5:$F$62,MATCH(F$3-$B184,'D Fleet'!$B$5:$B$62,0)),0)*IFERROR(INDEX('D Fleet'!$K$5:$K$36,INT(($B184/F$5))+1)+(($B184/F$5)-INT(($B184/F$5)))*(INDEX('D Fleet'!$K$5:$K$36,INT(($B184/F$5))+2)-INDEX('D Fleet'!$K$5:$K$36,INT(($B184/F$5))+1)),0)</f>
        <v/>
      </c>
      <c r="G184" s="276">
        <f>IFERROR(INDEX('D Fleet'!$F$5:$F$62,MATCH(G$3-$B184,'D Fleet'!$B$5:$B$62,0)),0)*IFERROR(INDEX('D Fleet'!$K$5:$K$36,INT(($B184/G$5))+1)+(($B184/G$5)-INT(($B184/G$5)))*(INDEX('D Fleet'!$K$5:$K$36,INT(($B184/G$5))+2)-INDEX('D Fleet'!$K$5:$K$36,INT(($B184/G$5))+1)),0)</f>
        <v/>
      </c>
      <c r="H184" s="276">
        <f>IFERROR(INDEX('D Fleet'!$F$5:$F$62,MATCH(H$3-$B184,'D Fleet'!$B$5:$B$62,0)),0)*IFERROR(INDEX('D Fleet'!$K$5:$K$36,INT(($B184/H$5))+1)+(($B184/H$5)-INT(($B184/H$5)))*(INDEX('D Fleet'!$K$5:$K$36,INT(($B184/H$5))+2)-INDEX('D Fleet'!$K$5:$K$36,INT(($B184/H$5))+1)),0)</f>
        <v/>
      </c>
      <c r="I184" s="276">
        <f>IFERROR(INDEX('D Fleet'!$F$5:$F$62,MATCH(I$3-$B184,'D Fleet'!$B$5:$B$62,0)),0)*IFERROR(INDEX('D Fleet'!$K$5:$K$36,INT(($B184/I$5))+1)+(($B184/I$5)-INT(($B184/I$5)))*(INDEX('D Fleet'!$K$5:$K$36,INT(($B184/I$5))+2)-INDEX('D Fleet'!$K$5:$K$36,INT(($B184/I$5))+1)),0)</f>
        <v/>
      </c>
      <c r="J184" s="276">
        <f>IFERROR(INDEX('D Fleet'!$F$5:$F$62,MATCH(J$3-$B184,'D Fleet'!$B$5:$B$62,0)),0)*IFERROR(INDEX('D Fleet'!$K$5:$K$36,INT(($B184/J$5))+1)+(($B184/J$5)-INT(($B184/J$5)))*(INDEX('D Fleet'!$K$5:$K$36,INT(($B184/J$5))+2)-INDEX('D Fleet'!$K$5:$K$36,INT(($B184/J$5))+1)),0)</f>
        <v/>
      </c>
      <c r="K184" s="276">
        <f>IFERROR(INDEX('D Fleet'!$F$5:$F$62,MATCH(K$3-$B184,'D Fleet'!$B$5:$B$62,0)),0)*IFERROR(INDEX('D Fleet'!$K$5:$K$36,INT(($B184/K$5))+1)+(($B184/K$5)-INT(($B184/K$5)))*(INDEX('D Fleet'!$K$5:$K$36,INT(($B184/K$5))+2)-INDEX('D Fleet'!$K$5:$K$36,INT(($B184/K$5))+1)),0)</f>
        <v/>
      </c>
      <c r="L184" s="276">
        <f>IFERROR(INDEX('D Fleet'!$F$5:$F$62,MATCH(L$3-$B184,'D Fleet'!$B$5:$B$62,0)),0)*IFERROR(INDEX('D Fleet'!$K$5:$K$36,INT(($B184/L$5))+1)+(($B184/L$5)-INT(($B184/L$5)))*(INDEX('D Fleet'!$K$5:$K$36,INT(($B184/L$5))+2)-INDEX('D Fleet'!$K$5:$K$36,INT(($B184/L$5))+1)),0)</f>
        <v/>
      </c>
      <c r="M184" s="276">
        <f>IFERROR(INDEX('D Fleet'!$F$5:$F$62,MATCH(M$3-$B184,'D Fleet'!$B$5:$B$62,0)),0)*IFERROR(INDEX('D Fleet'!$K$5:$K$36,INT(($B184/M$5))+1)+(($B184/M$5)-INT(($B184/M$5)))*(INDEX('D Fleet'!$K$5:$K$36,INT(($B184/M$5))+2)-INDEX('D Fleet'!$K$5:$K$36,INT(($B184/M$5))+1)),0)</f>
        <v/>
      </c>
      <c r="N184" s="276">
        <f>IFERROR(INDEX('D Fleet'!$F$5:$F$62,MATCH(N$3-$B184,'D Fleet'!$B$5:$B$62,0)),0)*IFERROR(INDEX('D Fleet'!$K$5:$K$36,INT(($B184/N$5))+1)+(($B184/N$5)-INT(($B184/N$5)))*(INDEX('D Fleet'!$K$5:$K$36,INT(($B184/N$5))+2)-INDEX('D Fleet'!$K$5:$K$36,INT(($B184/N$5))+1)),0)</f>
        <v/>
      </c>
      <c r="P184" s="276">
        <f>E184*$D184*'E1 Fleet'!$D$100</f>
        <v/>
      </c>
      <c r="Q184" s="276">
        <f>F184*$D184*'E1 Fleet'!$D$100</f>
        <v/>
      </c>
      <c r="R184" s="276">
        <f>G184*$D184*'E1 Fleet'!$D$100</f>
        <v/>
      </c>
      <c r="S184" s="276">
        <f>H184*$D184*'E1 Fleet'!$D$100</f>
        <v/>
      </c>
      <c r="T184" s="276">
        <f>I184*$D184*'E1 Fleet'!$D$100</f>
        <v/>
      </c>
      <c r="U184" s="276">
        <f>J184*$D184*'E1 Fleet'!$D$100</f>
        <v/>
      </c>
      <c r="V184" s="276">
        <f>K184*$D184*'E1 Fleet'!$D$100</f>
        <v/>
      </c>
      <c r="W184" s="276">
        <f>L184*$D184*'E1 Fleet'!$D$100</f>
        <v/>
      </c>
      <c r="X184" s="276">
        <f>M184*$D184*'E1 Fleet'!$D$100</f>
        <v/>
      </c>
      <c r="Y184" s="276">
        <f>N184*$D184*'E1 Fleet'!$D$100</f>
        <v/>
      </c>
    </row>
    <row r="185">
      <c r="A185" t="inlineStr">
        <is>
          <t>Van</t>
        </is>
      </c>
      <c r="B185" t="n">
        <v>40</v>
      </c>
      <c r="C185" t="n">
        <v>3</v>
      </c>
      <c r="D185" s="275">
        <f>IF($B185=0,'E1 Fleet'!$D$93,1)*EXP(-'E1 Fleet'!$D$94*MAX($B185-6,0))</f>
        <v/>
      </c>
      <c r="E185" s="276">
        <f>IFERROR(INDEX('D Fleet'!$F$5:$F$62,MATCH(E$3-$B185,'D Fleet'!$B$5:$B$62,0)),0)*IFERROR(INDEX('D Fleet'!$K$5:$K$36,INT(($B185/E$5))+1)+(($B185/E$5)-INT(($B185/E$5)))*(INDEX('D Fleet'!$K$5:$K$36,INT(($B185/E$5))+2)-INDEX('D Fleet'!$K$5:$K$36,INT(($B185/E$5))+1)),0)</f>
        <v/>
      </c>
      <c r="F185" s="276">
        <f>IFERROR(INDEX('D Fleet'!$F$5:$F$62,MATCH(F$3-$B185,'D Fleet'!$B$5:$B$62,0)),0)*IFERROR(INDEX('D Fleet'!$K$5:$K$36,INT(($B185/F$5))+1)+(($B185/F$5)-INT(($B185/F$5)))*(INDEX('D Fleet'!$K$5:$K$36,INT(($B185/F$5))+2)-INDEX('D Fleet'!$K$5:$K$36,INT(($B185/F$5))+1)),0)</f>
        <v/>
      </c>
      <c r="G185" s="276">
        <f>IFERROR(INDEX('D Fleet'!$F$5:$F$62,MATCH(G$3-$B185,'D Fleet'!$B$5:$B$62,0)),0)*IFERROR(INDEX('D Fleet'!$K$5:$K$36,INT(($B185/G$5))+1)+(($B185/G$5)-INT(($B185/G$5)))*(INDEX('D Fleet'!$K$5:$K$36,INT(($B185/G$5))+2)-INDEX('D Fleet'!$K$5:$K$36,INT(($B185/G$5))+1)),0)</f>
        <v/>
      </c>
      <c r="H185" s="276">
        <f>IFERROR(INDEX('D Fleet'!$F$5:$F$62,MATCH(H$3-$B185,'D Fleet'!$B$5:$B$62,0)),0)*IFERROR(INDEX('D Fleet'!$K$5:$K$36,INT(($B185/H$5))+1)+(($B185/H$5)-INT(($B185/H$5)))*(INDEX('D Fleet'!$K$5:$K$36,INT(($B185/H$5))+2)-INDEX('D Fleet'!$K$5:$K$36,INT(($B185/H$5))+1)),0)</f>
        <v/>
      </c>
      <c r="I185" s="276">
        <f>IFERROR(INDEX('D Fleet'!$F$5:$F$62,MATCH(I$3-$B185,'D Fleet'!$B$5:$B$62,0)),0)*IFERROR(INDEX('D Fleet'!$K$5:$K$36,INT(($B185/I$5))+1)+(($B185/I$5)-INT(($B185/I$5)))*(INDEX('D Fleet'!$K$5:$K$36,INT(($B185/I$5))+2)-INDEX('D Fleet'!$K$5:$K$36,INT(($B185/I$5))+1)),0)</f>
        <v/>
      </c>
      <c r="J185" s="276">
        <f>IFERROR(INDEX('D Fleet'!$F$5:$F$62,MATCH(J$3-$B185,'D Fleet'!$B$5:$B$62,0)),0)*IFERROR(INDEX('D Fleet'!$K$5:$K$36,INT(($B185/J$5))+1)+(($B185/J$5)-INT(($B185/J$5)))*(INDEX('D Fleet'!$K$5:$K$36,INT(($B185/J$5))+2)-INDEX('D Fleet'!$K$5:$K$36,INT(($B185/J$5))+1)),0)</f>
        <v/>
      </c>
      <c r="K185" s="276">
        <f>IFERROR(INDEX('D Fleet'!$F$5:$F$62,MATCH(K$3-$B185,'D Fleet'!$B$5:$B$62,0)),0)*IFERROR(INDEX('D Fleet'!$K$5:$K$36,INT(($B185/K$5))+1)+(($B185/K$5)-INT(($B185/K$5)))*(INDEX('D Fleet'!$K$5:$K$36,INT(($B185/K$5))+2)-INDEX('D Fleet'!$K$5:$K$36,INT(($B185/K$5))+1)),0)</f>
        <v/>
      </c>
      <c r="L185" s="276">
        <f>IFERROR(INDEX('D Fleet'!$F$5:$F$62,MATCH(L$3-$B185,'D Fleet'!$B$5:$B$62,0)),0)*IFERROR(INDEX('D Fleet'!$K$5:$K$36,INT(($B185/L$5))+1)+(($B185/L$5)-INT(($B185/L$5)))*(INDEX('D Fleet'!$K$5:$K$36,INT(($B185/L$5))+2)-INDEX('D Fleet'!$K$5:$K$36,INT(($B185/L$5))+1)),0)</f>
        <v/>
      </c>
      <c r="M185" s="276">
        <f>IFERROR(INDEX('D Fleet'!$F$5:$F$62,MATCH(M$3-$B185,'D Fleet'!$B$5:$B$62,0)),0)*IFERROR(INDEX('D Fleet'!$K$5:$K$36,INT(($B185/M$5))+1)+(($B185/M$5)-INT(($B185/M$5)))*(INDEX('D Fleet'!$K$5:$K$36,INT(($B185/M$5))+2)-INDEX('D Fleet'!$K$5:$K$36,INT(($B185/M$5))+1)),0)</f>
        <v/>
      </c>
      <c r="N185" s="276">
        <f>IFERROR(INDEX('D Fleet'!$F$5:$F$62,MATCH(N$3-$B185,'D Fleet'!$B$5:$B$62,0)),0)*IFERROR(INDEX('D Fleet'!$K$5:$K$36,INT(($B185/N$5))+1)+(($B185/N$5)-INT(($B185/N$5)))*(INDEX('D Fleet'!$K$5:$K$36,INT(($B185/N$5))+2)-INDEX('D Fleet'!$K$5:$K$36,INT(($B185/N$5))+1)),0)</f>
        <v/>
      </c>
      <c r="P185" s="276">
        <f>E185*$D185*'E1 Fleet'!$D$100</f>
        <v/>
      </c>
      <c r="Q185" s="276">
        <f>F185*$D185*'E1 Fleet'!$D$100</f>
        <v/>
      </c>
      <c r="R185" s="276">
        <f>G185*$D185*'E1 Fleet'!$D$100</f>
        <v/>
      </c>
      <c r="S185" s="276">
        <f>H185*$D185*'E1 Fleet'!$D$100</f>
        <v/>
      </c>
      <c r="T185" s="276">
        <f>I185*$D185*'E1 Fleet'!$D$100</f>
        <v/>
      </c>
      <c r="U185" s="276">
        <f>J185*$D185*'E1 Fleet'!$D$100</f>
        <v/>
      </c>
      <c r="V185" s="276">
        <f>K185*$D185*'E1 Fleet'!$D$100</f>
        <v/>
      </c>
      <c r="W185" s="276">
        <f>L185*$D185*'E1 Fleet'!$D$100</f>
        <v/>
      </c>
      <c r="X185" s="276">
        <f>M185*$D185*'E1 Fleet'!$D$100</f>
        <v/>
      </c>
      <c r="Y185" s="276">
        <f>N185*$D185*'E1 Fleet'!$D$100</f>
        <v/>
      </c>
    </row>
    <row r="186">
      <c r="A186" t="inlineStr">
        <is>
          <t>Van</t>
        </is>
      </c>
      <c r="B186" t="n">
        <v>41</v>
      </c>
      <c r="C186" t="n">
        <v>3</v>
      </c>
      <c r="D186" s="275">
        <f>IF($B186=0,'E1 Fleet'!$D$93,1)*EXP(-'E1 Fleet'!$D$94*MAX($B186-6,0))</f>
        <v/>
      </c>
      <c r="E186" s="276">
        <f>IFERROR(INDEX('D Fleet'!$F$5:$F$62,MATCH(E$3-$B186,'D Fleet'!$B$5:$B$62,0)),0)*IFERROR(INDEX('D Fleet'!$K$5:$K$36,INT(($B186/E$5))+1)+(($B186/E$5)-INT(($B186/E$5)))*(INDEX('D Fleet'!$K$5:$K$36,INT(($B186/E$5))+2)-INDEX('D Fleet'!$K$5:$K$36,INT(($B186/E$5))+1)),0)</f>
        <v/>
      </c>
      <c r="F186" s="276">
        <f>IFERROR(INDEX('D Fleet'!$F$5:$F$62,MATCH(F$3-$B186,'D Fleet'!$B$5:$B$62,0)),0)*IFERROR(INDEX('D Fleet'!$K$5:$K$36,INT(($B186/F$5))+1)+(($B186/F$5)-INT(($B186/F$5)))*(INDEX('D Fleet'!$K$5:$K$36,INT(($B186/F$5))+2)-INDEX('D Fleet'!$K$5:$K$36,INT(($B186/F$5))+1)),0)</f>
        <v/>
      </c>
      <c r="G186" s="276">
        <f>IFERROR(INDEX('D Fleet'!$F$5:$F$62,MATCH(G$3-$B186,'D Fleet'!$B$5:$B$62,0)),0)*IFERROR(INDEX('D Fleet'!$K$5:$K$36,INT(($B186/G$5))+1)+(($B186/G$5)-INT(($B186/G$5)))*(INDEX('D Fleet'!$K$5:$K$36,INT(($B186/G$5))+2)-INDEX('D Fleet'!$K$5:$K$36,INT(($B186/G$5))+1)),0)</f>
        <v/>
      </c>
      <c r="H186" s="276">
        <f>IFERROR(INDEX('D Fleet'!$F$5:$F$62,MATCH(H$3-$B186,'D Fleet'!$B$5:$B$62,0)),0)*IFERROR(INDEX('D Fleet'!$K$5:$K$36,INT(($B186/H$5))+1)+(($B186/H$5)-INT(($B186/H$5)))*(INDEX('D Fleet'!$K$5:$K$36,INT(($B186/H$5))+2)-INDEX('D Fleet'!$K$5:$K$36,INT(($B186/H$5))+1)),0)</f>
        <v/>
      </c>
      <c r="I186" s="276">
        <f>IFERROR(INDEX('D Fleet'!$F$5:$F$62,MATCH(I$3-$B186,'D Fleet'!$B$5:$B$62,0)),0)*IFERROR(INDEX('D Fleet'!$K$5:$K$36,INT(($B186/I$5))+1)+(($B186/I$5)-INT(($B186/I$5)))*(INDEX('D Fleet'!$K$5:$K$36,INT(($B186/I$5))+2)-INDEX('D Fleet'!$K$5:$K$36,INT(($B186/I$5))+1)),0)</f>
        <v/>
      </c>
      <c r="J186" s="276">
        <f>IFERROR(INDEX('D Fleet'!$F$5:$F$62,MATCH(J$3-$B186,'D Fleet'!$B$5:$B$62,0)),0)*IFERROR(INDEX('D Fleet'!$K$5:$K$36,INT(($B186/J$5))+1)+(($B186/J$5)-INT(($B186/J$5)))*(INDEX('D Fleet'!$K$5:$K$36,INT(($B186/J$5))+2)-INDEX('D Fleet'!$K$5:$K$36,INT(($B186/J$5))+1)),0)</f>
        <v/>
      </c>
      <c r="K186" s="276">
        <f>IFERROR(INDEX('D Fleet'!$F$5:$F$62,MATCH(K$3-$B186,'D Fleet'!$B$5:$B$62,0)),0)*IFERROR(INDEX('D Fleet'!$K$5:$K$36,INT(($B186/K$5))+1)+(($B186/K$5)-INT(($B186/K$5)))*(INDEX('D Fleet'!$K$5:$K$36,INT(($B186/K$5))+2)-INDEX('D Fleet'!$K$5:$K$36,INT(($B186/K$5))+1)),0)</f>
        <v/>
      </c>
      <c r="L186" s="276">
        <f>IFERROR(INDEX('D Fleet'!$F$5:$F$62,MATCH(L$3-$B186,'D Fleet'!$B$5:$B$62,0)),0)*IFERROR(INDEX('D Fleet'!$K$5:$K$36,INT(($B186/L$5))+1)+(($B186/L$5)-INT(($B186/L$5)))*(INDEX('D Fleet'!$K$5:$K$36,INT(($B186/L$5))+2)-INDEX('D Fleet'!$K$5:$K$36,INT(($B186/L$5))+1)),0)</f>
        <v/>
      </c>
      <c r="M186" s="276">
        <f>IFERROR(INDEX('D Fleet'!$F$5:$F$62,MATCH(M$3-$B186,'D Fleet'!$B$5:$B$62,0)),0)*IFERROR(INDEX('D Fleet'!$K$5:$K$36,INT(($B186/M$5))+1)+(($B186/M$5)-INT(($B186/M$5)))*(INDEX('D Fleet'!$K$5:$K$36,INT(($B186/M$5))+2)-INDEX('D Fleet'!$K$5:$K$36,INT(($B186/M$5))+1)),0)</f>
        <v/>
      </c>
      <c r="N186" s="276">
        <f>IFERROR(INDEX('D Fleet'!$F$5:$F$62,MATCH(N$3-$B186,'D Fleet'!$B$5:$B$62,0)),0)*IFERROR(INDEX('D Fleet'!$K$5:$K$36,INT(($B186/N$5))+1)+(($B186/N$5)-INT(($B186/N$5)))*(INDEX('D Fleet'!$K$5:$K$36,INT(($B186/N$5))+2)-INDEX('D Fleet'!$K$5:$K$36,INT(($B186/N$5))+1)),0)</f>
        <v/>
      </c>
      <c r="P186" s="276">
        <f>E186*$D186*'E1 Fleet'!$D$100</f>
        <v/>
      </c>
      <c r="Q186" s="276">
        <f>F186*$D186*'E1 Fleet'!$D$100</f>
        <v/>
      </c>
      <c r="R186" s="276">
        <f>G186*$D186*'E1 Fleet'!$D$100</f>
        <v/>
      </c>
      <c r="S186" s="276">
        <f>H186*$D186*'E1 Fleet'!$D$100</f>
        <v/>
      </c>
      <c r="T186" s="276">
        <f>I186*$D186*'E1 Fleet'!$D$100</f>
        <v/>
      </c>
      <c r="U186" s="276">
        <f>J186*$D186*'E1 Fleet'!$D$100</f>
        <v/>
      </c>
      <c r="V186" s="276">
        <f>K186*$D186*'E1 Fleet'!$D$100</f>
        <v/>
      </c>
      <c r="W186" s="276">
        <f>L186*$D186*'E1 Fleet'!$D$100</f>
        <v/>
      </c>
      <c r="X186" s="276">
        <f>M186*$D186*'E1 Fleet'!$D$100</f>
        <v/>
      </c>
      <c r="Y186" s="276">
        <f>N186*$D186*'E1 Fleet'!$D$100</f>
        <v/>
      </c>
    </row>
    <row r="187">
      <c r="A187" t="inlineStr">
        <is>
          <t>Van</t>
        </is>
      </c>
      <c r="B187" t="n">
        <v>42</v>
      </c>
      <c r="C187" t="n">
        <v>3</v>
      </c>
      <c r="D187" s="275">
        <f>IF($B187=0,'E1 Fleet'!$D$93,1)*EXP(-'E1 Fleet'!$D$94*MAX($B187-6,0))</f>
        <v/>
      </c>
      <c r="E187" s="276">
        <f>IFERROR(INDEX('D Fleet'!$F$5:$F$62,MATCH(E$3-$B187,'D Fleet'!$B$5:$B$62,0)),0)*IFERROR(INDEX('D Fleet'!$K$5:$K$36,INT(($B187/E$5))+1)+(($B187/E$5)-INT(($B187/E$5)))*(INDEX('D Fleet'!$K$5:$K$36,INT(($B187/E$5))+2)-INDEX('D Fleet'!$K$5:$K$36,INT(($B187/E$5))+1)),0)</f>
        <v/>
      </c>
      <c r="F187" s="276">
        <f>IFERROR(INDEX('D Fleet'!$F$5:$F$62,MATCH(F$3-$B187,'D Fleet'!$B$5:$B$62,0)),0)*IFERROR(INDEX('D Fleet'!$K$5:$K$36,INT(($B187/F$5))+1)+(($B187/F$5)-INT(($B187/F$5)))*(INDEX('D Fleet'!$K$5:$K$36,INT(($B187/F$5))+2)-INDEX('D Fleet'!$K$5:$K$36,INT(($B187/F$5))+1)),0)</f>
        <v/>
      </c>
      <c r="G187" s="276">
        <f>IFERROR(INDEX('D Fleet'!$F$5:$F$62,MATCH(G$3-$B187,'D Fleet'!$B$5:$B$62,0)),0)*IFERROR(INDEX('D Fleet'!$K$5:$K$36,INT(($B187/G$5))+1)+(($B187/G$5)-INT(($B187/G$5)))*(INDEX('D Fleet'!$K$5:$K$36,INT(($B187/G$5))+2)-INDEX('D Fleet'!$K$5:$K$36,INT(($B187/G$5))+1)),0)</f>
        <v/>
      </c>
      <c r="H187" s="276">
        <f>IFERROR(INDEX('D Fleet'!$F$5:$F$62,MATCH(H$3-$B187,'D Fleet'!$B$5:$B$62,0)),0)*IFERROR(INDEX('D Fleet'!$K$5:$K$36,INT(($B187/H$5))+1)+(($B187/H$5)-INT(($B187/H$5)))*(INDEX('D Fleet'!$K$5:$K$36,INT(($B187/H$5))+2)-INDEX('D Fleet'!$K$5:$K$36,INT(($B187/H$5))+1)),0)</f>
        <v/>
      </c>
      <c r="I187" s="276">
        <f>IFERROR(INDEX('D Fleet'!$F$5:$F$62,MATCH(I$3-$B187,'D Fleet'!$B$5:$B$62,0)),0)*IFERROR(INDEX('D Fleet'!$K$5:$K$36,INT(($B187/I$5))+1)+(($B187/I$5)-INT(($B187/I$5)))*(INDEX('D Fleet'!$K$5:$K$36,INT(($B187/I$5))+2)-INDEX('D Fleet'!$K$5:$K$36,INT(($B187/I$5))+1)),0)</f>
        <v/>
      </c>
      <c r="J187" s="276">
        <f>IFERROR(INDEX('D Fleet'!$F$5:$F$62,MATCH(J$3-$B187,'D Fleet'!$B$5:$B$62,0)),0)*IFERROR(INDEX('D Fleet'!$K$5:$K$36,INT(($B187/J$5))+1)+(($B187/J$5)-INT(($B187/J$5)))*(INDEX('D Fleet'!$K$5:$K$36,INT(($B187/J$5))+2)-INDEX('D Fleet'!$K$5:$K$36,INT(($B187/J$5))+1)),0)</f>
        <v/>
      </c>
      <c r="K187" s="276">
        <f>IFERROR(INDEX('D Fleet'!$F$5:$F$62,MATCH(K$3-$B187,'D Fleet'!$B$5:$B$62,0)),0)*IFERROR(INDEX('D Fleet'!$K$5:$K$36,INT(($B187/K$5))+1)+(($B187/K$5)-INT(($B187/K$5)))*(INDEX('D Fleet'!$K$5:$K$36,INT(($B187/K$5))+2)-INDEX('D Fleet'!$K$5:$K$36,INT(($B187/K$5))+1)),0)</f>
        <v/>
      </c>
      <c r="L187" s="276">
        <f>IFERROR(INDEX('D Fleet'!$F$5:$F$62,MATCH(L$3-$B187,'D Fleet'!$B$5:$B$62,0)),0)*IFERROR(INDEX('D Fleet'!$K$5:$K$36,INT(($B187/L$5))+1)+(($B187/L$5)-INT(($B187/L$5)))*(INDEX('D Fleet'!$K$5:$K$36,INT(($B187/L$5))+2)-INDEX('D Fleet'!$K$5:$K$36,INT(($B187/L$5))+1)),0)</f>
        <v/>
      </c>
      <c r="M187" s="276">
        <f>IFERROR(INDEX('D Fleet'!$F$5:$F$62,MATCH(M$3-$B187,'D Fleet'!$B$5:$B$62,0)),0)*IFERROR(INDEX('D Fleet'!$K$5:$K$36,INT(($B187/M$5))+1)+(($B187/M$5)-INT(($B187/M$5)))*(INDEX('D Fleet'!$K$5:$K$36,INT(($B187/M$5))+2)-INDEX('D Fleet'!$K$5:$K$36,INT(($B187/M$5))+1)),0)</f>
        <v/>
      </c>
      <c r="N187" s="276">
        <f>IFERROR(INDEX('D Fleet'!$F$5:$F$62,MATCH(N$3-$B187,'D Fleet'!$B$5:$B$62,0)),0)*IFERROR(INDEX('D Fleet'!$K$5:$K$36,INT(($B187/N$5))+1)+(($B187/N$5)-INT(($B187/N$5)))*(INDEX('D Fleet'!$K$5:$K$36,INT(($B187/N$5))+2)-INDEX('D Fleet'!$K$5:$K$36,INT(($B187/N$5))+1)),0)</f>
        <v/>
      </c>
      <c r="P187" s="276">
        <f>E187*$D187*'E1 Fleet'!$D$100</f>
        <v/>
      </c>
      <c r="Q187" s="276">
        <f>F187*$D187*'E1 Fleet'!$D$100</f>
        <v/>
      </c>
      <c r="R187" s="276">
        <f>G187*$D187*'E1 Fleet'!$D$100</f>
        <v/>
      </c>
      <c r="S187" s="276">
        <f>H187*$D187*'E1 Fleet'!$D$100</f>
        <v/>
      </c>
      <c r="T187" s="276">
        <f>I187*$D187*'E1 Fleet'!$D$100</f>
        <v/>
      </c>
      <c r="U187" s="276">
        <f>J187*$D187*'E1 Fleet'!$D$100</f>
        <v/>
      </c>
      <c r="V187" s="276">
        <f>K187*$D187*'E1 Fleet'!$D$100</f>
        <v/>
      </c>
      <c r="W187" s="276">
        <f>L187*$D187*'E1 Fleet'!$D$100</f>
        <v/>
      </c>
      <c r="X187" s="276">
        <f>M187*$D187*'E1 Fleet'!$D$100</f>
        <v/>
      </c>
      <c r="Y187" s="276">
        <f>N187*$D187*'E1 Fleet'!$D$100</f>
        <v/>
      </c>
    </row>
    <row r="188">
      <c r="A188" t="inlineStr">
        <is>
          <t>Van</t>
        </is>
      </c>
      <c r="B188" t="n">
        <v>43</v>
      </c>
      <c r="C188" t="n">
        <v>3</v>
      </c>
      <c r="D188" s="275">
        <f>IF($B188=0,'E1 Fleet'!$D$93,1)*EXP(-'E1 Fleet'!$D$94*MAX($B188-6,0))</f>
        <v/>
      </c>
      <c r="E188" s="276">
        <f>IFERROR(INDEX('D Fleet'!$F$5:$F$62,MATCH(E$3-$B188,'D Fleet'!$B$5:$B$62,0)),0)*IFERROR(INDEX('D Fleet'!$K$5:$K$36,INT(($B188/E$5))+1)+(($B188/E$5)-INT(($B188/E$5)))*(INDEX('D Fleet'!$K$5:$K$36,INT(($B188/E$5))+2)-INDEX('D Fleet'!$K$5:$K$36,INT(($B188/E$5))+1)),0)</f>
        <v/>
      </c>
      <c r="F188" s="276">
        <f>IFERROR(INDEX('D Fleet'!$F$5:$F$62,MATCH(F$3-$B188,'D Fleet'!$B$5:$B$62,0)),0)*IFERROR(INDEX('D Fleet'!$K$5:$K$36,INT(($B188/F$5))+1)+(($B188/F$5)-INT(($B188/F$5)))*(INDEX('D Fleet'!$K$5:$K$36,INT(($B188/F$5))+2)-INDEX('D Fleet'!$K$5:$K$36,INT(($B188/F$5))+1)),0)</f>
        <v/>
      </c>
      <c r="G188" s="276">
        <f>IFERROR(INDEX('D Fleet'!$F$5:$F$62,MATCH(G$3-$B188,'D Fleet'!$B$5:$B$62,0)),0)*IFERROR(INDEX('D Fleet'!$K$5:$K$36,INT(($B188/G$5))+1)+(($B188/G$5)-INT(($B188/G$5)))*(INDEX('D Fleet'!$K$5:$K$36,INT(($B188/G$5))+2)-INDEX('D Fleet'!$K$5:$K$36,INT(($B188/G$5))+1)),0)</f>
        <v/>
      </c>
      <c r="H188" s="276">
        <f>IFERROR(INDEX('D Fleet'!$F$5:$F$62,MATCH(H$3-$B188,'D Fleet'!$B$5:$B$62,0)),0)*IFERROR(INDEX('D Fleet'!$K$5:$K$36,INT(($B188/H$5))+1)+(($B188/H$5)-INT(($B188/H$5)))*(INDEX('D Fleet'!$K$5:$K$36,INT(($B188/H$5))+2)-INDEX('D Fleet'!$K$5:$K$36,INT(($B188/H$5))+1)),0)</f>
        <v/>
      </c>
      <c r="I188" s="276">
        <f>IFERROR(INDEX('D Fleet'!$F$5:$F$62,MATCH(I$3-$B188,'D Fleet'!$B$5:$B$62,0)),0)*IFERROR(INDEX('D Fleet'!$K$5:$K$36,INT(($B188/I$5))+1)+(($B188/I$5)-INT(($B188/I$5)))*(INDEX('D Fleet'!$K$5:$K$36,INT(($B188/I$5))+2)-INDEX('D Fleet'!$K$5:$K$36,INT(($B188/I$5))+1)),0)</f>
        <v/>
      </c>
      <c r="J188" s="276">
        <f>IFERROR(INDEX('D Fleet'!$F$5:$F$62,MATCH(J$3-$B188,'D Fleet'!$B$5:$B$62,0)),0)*IFERROR(INDEX('D Fleet'!$K$5:$K$36,INT(($B188/J$5))+1)+(($B188/J$5)-INT(($B188/J$5)))*(INDEX('D Fleet'!$K$5:$K$36,INT(($B188/J$5))+2)-INDEX('D Fleet'!$K$5:$K$36,INT(($B188/J$5))+1)),0)</f>
        <v/>
      </c>
      <c r="K188" s="276">
        <f>IFERROR(INDEX('D Fleet'!$F$5:$F$62,MATCH(K$3-$B188,'D Fleet'!$B$5:$B$62,0)),0)*IFERROR(INDEX('D Fleet'!$K$5:$K$36,INT(($B188/K$5))+1)+(($B188/K$5)-INT(($B188/K$5)))*(INDEX('D Fleet'!$K$5:$K$36,INT(($B188/K$5))+2)-INDEX('D Fleet'!$K$5:$K$36,INT(($B188/K$5))+1)),0)</f>
        <v/>
      </c>
      <c r="L188" s="276">
        <f>IFERROR(INDEX('D Fleet'!$F$5:$F$62,MATCH(L$3-$B188,'D Fleet'!$B$5:$B$62,0)),0)*IFERROR(INDEX('D Fleet'!$K$5:$K$36,INT(($B188/L$5))+1)+(($B188/L$5)-INT(($B188/L$5)))*(INDEX('D Fleet'!$K$5:$K$36,INT(($B188/L$5))+2)-INDEX('D Fleet'!$K$5:$K$36,INT(($B188/L$5))+1)),0)</f>
        <v/>
      </c>
      <c r="M188" s="276">
        <f>IFERROR(INDEX('D Fleet'!$F$5:$F$62,MATCH(M$3-$B188,'D Fleet'!$B$5:$B$62,0)),0)*IFERROR(INDEX('D Fleet'!$K$5:$K$36,INT(($B188/M$5))+1)+(($B188/M$5)-INT(($B188/M$5)))*(INDEX('D Fleet'!$K$5:$K$36,INT(($B188/M$5))+2)-INDEX('D Fleet'!$K$5:$K$36,INT(($B188/M$5))+1)),0)</f>
        <v/>
      </c>
      <c r="N188" s="276">
        <f>IFERROR(INDEX('D Fleet'!$F$5:$F$62,MATCH(N$3-$B188,'D Fleet'!$B$5:$B$62,0)),0)*IFERROR(INDEX('D Fleet'!$K$5:$K$36,INT(($B188/N$5))+1)+(($B188/N$5)-INT(($B188/N$5)))*(INDEX('D Fleet'!$K$5:$K$36,INT(($B188/N$5))+2)-INDEX('D Fleet'!$K$5:$K$36,INT(($B188/N$5))+1)),0)</f>
        <v/>
      </c>
      <c r="P188" s="276">
        <f>E188*$D188*'E1 Fleet'!$D$100</f>
        <v/>
      </c>
      <c r="Q188" s="276">
        <f>F188*$D188*'E1 Fleet'!$D$100</f>
        <v/>
      </c>
      <c r="R188" s="276">
        <f>G188*$D188*'E1 Fleet'!$D$100</f>
        <v/>
      </c>
      <c r="S188" s="276">
        <f>H188*$D188*'E1 Fleet'!$D$100</f>
        <v/>
      </c>
      <c r="T188" s="276">
        <f>I188*$D188*'E1 Fleet'!$D$100</f>
        <v/>
      </c>
      <c r="U188" s="276">
        <f>J188*$D188*'E1 Fleet'!$D$100</f>
        <v/>
      </c>
      <c r="V188" s="276">
        <f>K188*$D188*'E1 Fleet'!$D$100</f>
        <v/>
      </c>
      <c r="W188" s="276">
        <f>L188*$D188*'E1 Fleet'!$D$100</f>
        <v/>
      </c>
      <c r="X188" s="276">
        <f>M188*$D188*'E1 Fleet'!$D$100</f>
        <v/>
      </c>
      <c r="Y188" s="276">
        <f>N188*$D188*'E1 Fleet'!$D$100</f>
        <v/>
      </c>
    </row>
    <row r="189">
      <c r="A189" t="inlineStr">
        <is>
          <t>Van</t>
        </is>
      </c>
      <c r="B189" t="n">
        <v>44</v>
      </c>
      <c r="C189" t="n">
        <v>3</v>
      </c>
      <c r="D189" s="275">
        <f>IF($B189=0,'E1 Fleet'!$D$93,1)*EXP(-'E1 Fleet'!$D$94*MAX($B189-6,0))</f>
        <v/>
      </c>
      <c r="E189" s="276">
        <f>IFERROR(INDEX('D Fleet'!$F$5:$F$62,MATCH(E$3-$B189,'D Fleet'!$B$5:$B$62,0)),0)*IFERROR(INDEX('D Fleet'!$K$5:$K$36,INT(($B189/E$5))+1)+(($B189/E$5)-INT(($B189/E$5)))*(INDEX('D Fleet'!$K$5:$K$36,INT(($B189/E$5))+2)-INDEX('D Fleet'!$K$5:$K$36,INT(($B189/E$5))+1)),0)</f>
        <v/>
      </c>
      <c r="F189" s="276">
        <f>IFERROR(INDEX('D Fleet'!$F$5:$F$62,MATCH(F$3-$B189,'D Fleet'!$B$5:$B$62,0)),0)*IFERROR(INDEX('D Fleet'!$K$5:$K$36,INT(($B189/F$5))+1)+(($B189/F$5)-INT(($B189/F$5)))*(INDEX('D Fleet'!$K$5:$K$36,INT(($B189/F$5))+2)-INDEX('D Fleet'!$K$5:$K$36,INT(($B189/F$5))+1)),0)</f>
        <v/>
      </c>
      <c r="G189" s="276">
        <f>IFERROR(INDEX('D Fleet'!$F$5:$F$62,MATCH(G$3-$B189,'D Fleet'!$B$5:$B$62,0)),0)*IFERROR(INDEX('D Fleet'!$K$5:$K$36,INT(($B189/G$5))+1)+(($B189/G$5)-INT(($B189/G$5)))*(INDEX('D Fleet'!$K$5:$K$36,INT(($B189/G$5))+2)-INDEX('D Fleet'!$K$5:$K$36,INT(($B189/G$5))+1)),0)</f>
        <v/>
      </c>
      <c r="H189" s="276">
        <f>IFERROR(INDEX('D Fleet'!$F$5:$F$62,MATCH(H$3-$B189,'D Fleet'!$B$5:$B$62,0)),0)*IFERROR(INDEX('D Fleet'!$K$5:$K$36,INT(($B189/H$5))+1)+(($B189/H$5)-INT(($B189/H$5)))*(INDEX('D Fleet'!$K$5:$K$36,INT(($B189/H$5))+2)-INDEX('D Fleet'!$K$5:$K$36,INT(($B189/H$5))+1)),0)</f>
        <v/>
      </c>
      <c r="I189" s="276">
        <f>IFERROR(INDEX('D Fleet'!$F$5:$F$62,MATCH(I$3-$B189,'D Fleet'!$B$5:$B$62,0)),0)*IFERROR(INDEX('D Fleet'!$K$5:$K$36,INT(($B189/I$5))+1)+(($B189/I$5)-INT(($B189/I$5)))*(INDEX('D Fleet'!$K$5:$K$36,INT(($B189/I$5))+2)-INDEX('D Fleet'!$K$5:$K$36,INT(($B189/I$5))+1)),0)</f>
        <v/>
      </c>
      <c r="J189" s="276">
        <f>IFERROR(INDEX('D Fleet'!$F$5:$F$62,MATCH(J$3-$B189,'D Fleet'!$B$5:$B$62,0)),0)*IFERROR(INDEX('D Fleet'!$K$5:$K$36,INT(($B189/J$5))+1)+(($B189/J$5)-INT(($B189/J$5)))*(INDEX('D Fleet'!$K$5:$K$36,INT(($B189/J$5))+2)-INDEX('D Fleet'!$K$5:$K$36,INT(($B189/J$5))+1)),0)</f>
        <v/>
      </c>
      <c r="K189" s="276">
        <f>IFERROR(INDEX('D Fleet'!$F$5:$F$62,MATCH(K$3-$B189,'D Fleet'!$B$5:$B$62,0)),0)*IFERROR(INDEX('D Fleet'!$K$5:$K$36,INT(($B189/K$5))+1)+(($B189/K$5)-INT(($B189/K$5)))*(INDEX('D Fleet'!$K$5:$K$36,INT(($B189/K$5))+2)-INDEX('D Fleet'!$K$5:$K$36,INT(($B189/K$5))+1)),0)</f>
        <v/>
      </c>
      <c r="L189" s="276">
        <f>IFERROR(INDEX('D Fleet'!$F$5:$F$62,MATCH(L$3-$B189,'D Fleet'!$B$5:$B$62,0)),0)*IFERROR(INDEX('D Fleet'!$K$5:$K$36,INT(($B189/L$5))+1)+(($B189/L$5)-INT(($B189/L$5)))*(INDEX('D Fleet'!$K$5:$K$36,INT(($B189/L$5))+2)-INDEX('D Fleet'!$K$5:$K$36,INT(($B189/L$5))+1)),0)</f>
        <v/>
      </c>
      <c r="M189" s="276">
        <f>IFERROR(INDEX('D Fleet'!$F$5:$F$62,MATCH(M$3-$B189,'D Fleet'!$B$5:$B$62,0)),0)*IFERROR(INDEX('D Fleet'!$K$5:$K$36,INT(($B189/M$5))+1)+(($B189/M$5)-INT(($B189/M$5)))*(INDEX('D Fleet'!$K$5:$K$36,INT(($B189/M$5))+2)-INDEX('D Fleet'!$K$5:$K$36,INT(($B189/M$5))+1)),0)</f>
        <v/>
      </c>
      <c r="N189" s="276">
        <f>IFERROR(INDEX('D Fleet'!$F$5:$F$62,MATCH(N$3-$B189,'D Fleet'!$B$5:$B$62,0)),0)*IFERROR(INDEX('D Fleet'!$K$5:$K$36,INT(($B189/N$5))+1)+(($B189/N$5)-INT(($B189/N$5)))*(INDEX('D Fleet'!$K$5:$K$36,INT(($B189/N$5))+2)-INDEX('D Fleet'!$K$5:$K$36,INT(($B189/N$5))+1)),0)</f>
        <v/>
      </c>
      <c r="P189" s="276">
        <f>E189*$D189*'E1 Fleet'!$D$100</f>
        <v/>
      </c>
      <c r="Q189" s="276">
        <f>F189*$D189*'E1 Fleet'!$D$100</f>
        <v/>
      </c>
      <c r="R189" s="276">
        <f>G189*$D189*'E1 Fleet'!$D$100</f>
        <v/>
      </c>
      <c r="S189" s="276">
        <f>H189*$D189*'E1 Fleet'!$D$100</f>
        <v/>
      </c>
      <c r="T189" s="276">
        <f>I189*$D189*'E1 Fleet'!$D$100</f>
        <v/>
      </c>
      <c r="U189" s="276">
        <f>J189*$D189*'E1 Fleet'!$D$100</f>
        <v/>
      </c>
      <c r="V189" s="276">
        <f>K189*$D189*'E1 Fleet'!$D$100</f>
        <v/>
      </c>
      <c r="W189" s="276">
        <f>L189*$D189*'E1 Fleet'!$D$100</f>
        <v/>
      </c>
      <c r="X189" s="276">
        <f>M189*$D189*'E1 Fleet'!$D$100</f>
        <v/>
      </c>
      <c r="Y189" s="276">
        <f>N189*$D189*'E1 Fleet'!$D$100</f>
        <v/>
      </c>
    </row>
    <row r="190">
      <c r="A190" t="inlineStr">
        <is>
          <t>Van</t>
        </is>
      </c>
      <c r="B190" t="n">
        <v>45</v>
      </c>
      <c r="C190" t="n">
        <v>3</v>
      </c>
      <c r="D190" s="275">
        <f>IF($B190=0,'E1 Fleet'!$D$93,1)*EXP(-'E1 Fleet'!$D$94*MAX($B190-6,0))</f>
        <v/>
      </c>
      <c r="E190" s="276">
        <f>IFERROR(INDEX('D Fleet'!$F$5:$F$62,MATCH(E$3-$B190,'D Fleet'!$B$5:$B$62,0)),0)*IFERROR(INDEX('D Fleet'!$K$5:$K$36,INT(($B190/E$5))+1)+(($B190/E$5)-INT(($B190/E$5)))*(INDEX('D Fleet'!$K$5:$K$36,INT(($B190/E$5))+2)-INDEX('D Fleet'!$K$5:$K$36,INT(($B190/E$5))+1)),0)</f>
        <v/>
      </c>
      <c r="F190" s="276">
        <f>IFERROR(INDEX('D Fleet'!$F$5:$F$62,MATCH(F$3-$B190,'D Fleet'!$B$5:$B$62,0)),0)*IFERROR(INDEX('D Fleet'!$K$5:$K$36,INT(($B190/F$5))+1)+(($B190/F$5)-INT(($B190/F$5)))*(INDEX('D Fleet'!$K$5:$K$36,INT(($B190/F$5))+2)-INDEX('D Fleet'!$K$5:$K$36,INT(($B190/F$5))+1)),0)</f>
        <v/>
      </c>
      <c r="G190" s="276">
        <f>IFERROR(INDEX('D Fleet'!$F$5:$F$62,MATCH(G$3-$B190,'D Fleet'!$B$5:$B$62,0)),0)*IFERROR(INDEX('D Fleet'!$K$5:$K$36,INT(($B190/G$5))+1)+(($B190/G$5)-INT(($B190/G$5)))*(INDEX('D Fleet'!$K$5:$K$36,INT(($B190/G$5))+2)-INDEX('D Fleet'!$K$5:$K$36,INT(($B190/G$5))+1)),0)</f>
        <v/>
      </c>
      <c r="H190" s="276">
        <f>IFERROR(INDEX('D Fleet'!$F$5:$F$62,MATCH(H$3-$B190,'D Fleet'!$B$5:$B$62,0)),0)*IFERROR(INDEX('D Fleet'!$K$5:$K$36,INT(($B190/H$5))+1)+(($B190/H$5)-INT(($B190/H$5)))*(INDEX('D Fleet'!$K$5:$K$36,INT(($B190/H$5))+2)-INDEX('D Fleet'!$K$5:$K$36,INT(($B190/H$5))+1)),0)</f>
        <v/>
      </c>
      <c r="I190" s="276">
        <f>IFERROR(INDEX('D Fleet'!$F$5:$F$62,MATCH(I$3-$B190,'D Fleet'!$B$5:$B$62,0)),0)*IFERROR(INDEX('D Fleet'!$K$5:$K$36,INT(($B190/I$5))+1)+(($B190/I$5)-INT(($B190/I$5)))*(INDEX('D Fleet'!$K$5:$K$36,INT(($B190/I$5))+2)-INDEX('D Fleet'!$K$5:$K$36,INT(($B190/I$5))+1)),0)</f>
        <v/>
      </c>
      <c r="J190" s="276">
        <f>IFERROR(INDEX('D Fleet'!$F$5:$F$62,MATCH(J$3-$B190,'D Fleet'!$B$5:$B$62,0)),0)*IFERROR(INDEX('D Fleet'!$K$5:$K$36,INT(($B190/J$5))+1)+(($B190/J$5)-INT(($B190/J$5)))*(INDEX('D Fleet'!$K$5:$K$36,INT(($B190/J$5))+2)-INDEX('D Fleet'!$K$5:$K$36,INT(($B190/J$5))+1)),0)</f>
        <v/>
      </c>
      <c r="K190" s="276">
        <f>IFERROR(INDEX('D Fleet'!$F$5:$F$62,MATCH(K$3-$B190,'D Fleet'!$B$5:$B$62,0)),0)*IFERROR(INDEX('D Fleet'!$K$5:$K$36,INT(($B190/K$5))+1)+(($B190/K$5)-INT(($B190/K$5)))*(INDEX('D Fleet'!$K$5:$K$36,INT(($B190/K$5))+2)-INDEX('D Fleet'!$K$5:$K$36,INT(($B190/K$5))+1)),0)</f>
        <v/>
      </c>
      <c r="L190" s="276">
        <f>IFERROR(INDEX('D Fleet'!$F$5:$F$62,MATCH(L$3-$B190,'D Fleet'!$B$5:$B$62,0)),0)*IFERROR(INDEX('D Fleet'!$K$5:$K$36,INT(($B190/L$5))+1)+(($B190/L$5)-INT(($B190/L$5)))*(INDEX('D Fleet'!$K$5:$K$36,INT(($B190/L$5))+2)-INDEX('D Fleet'!$K$5:$K$36,INT(($B190/L$5))+1)),0)</f>
        <v/>
      </c>
      <c r="M190" s="276">
        <f>IFERROR(INDEX('D Fleet'!$F$5:$F$62,MATCH(M$3-$B190,'D Fleet'!$B$5:$B$62,0)),0)*IFERROR(INDEX('D Fleet'!$K$5:$K$36,INT(($B190/M$5))+1)+(($B190/M$5)-INT(($B190/M$5)))*(INDEX('D Fleet'!$K$5:$K$36,INT(($B190/M$5))+2)-INDEX('D Fleet'!$K$5:$K$36,INT(($B190/M$5))+1)),0)</f>
        <v/>
      </c>
      <c r="N190" s="276">
        <f>IFERROR(INDEX('D Fleet'!$F$5:$F$62,MATCH(N$3-$B190,'D Fleet'!$B$5:$B$62,0)),0)*IFERROR(INDEX('D Fleet'!$K$5:$K$36,INT(($B190/N$5))+1)+(($B190/N$5)-INT(($B190/N$5)))*(INDEX('D Fleet'!$K$5:$K$36,INT(($B190/N$5))+2)-INDEX('D Fleet'!$K$5:$K$36,INT(($B190/N$5))+1)),0)</f>
        <v/>
      </c>
      <c r="P190" s="276">
        <f>E190*$D190*'E1 Fleet'!$D$100</f>
        <v/>
      </c>
      <c r="Q190" s="276">
        <f>F190*$D190*'E1 Fleet'!$D$100</f>
        <v/>
      </c>
      <c r="R190" s="276">
        <f>G190*$D190*'E1 Fleet'!$D$100</f>
        <v/>
      </c>
      <c r="S190" s="276">
        <f>H190*$D190*'E1 Fleet'!$D$100</f>
        <v/>
      </c>
      <c r="T190" s="276">
        <f>I190*$D190*'E1 Fleet'!$D$100</f>
        <v/>
      </c>
      <c r="U190" s="276">
        <f>J190*$D190*'E1 Fleet'!$D$100</f>
        <v/>
      </c>
      <c r="V190" s="276">
        <f>K190*$D190*'E1 Fleet'!$D$100</f>
        <v/>
      </c>
      <c r="W190" s="276">
        <f>L190*$D190*'E1 Fleet'!$D$100</f>
        <v/>
      </c>
      <c r="X190" s="276">
        <f>M190*$D190*'E1 Fleet'!$D$100</f>
        <v/>
      </c>
      <c r="Y190" s="276">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24"/>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Fiscal-quarter fleet interpolation weights by calendar year</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72"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77" t="inlineStr">
        <is>
          <t xml:space="preserve">   weight on CY2023 year-end fleet</t>
        </is>
      </c>
      <c r="C7" s="256" t="inlineStr">
        <is>
          <t>share</t>
        </is>
      </c>
      <c r="D7" s="283" t="n">
        <v>0</v>
      </c>
      <c r="E7" s="283" t="n">
        <v>0</v>
      </c>
      <c r="F7" s="283" t="n">
        <v>0</v>
      </c>
      <c r="G7" s="283" t="n">
        <v>0</v>
      </c>
      <c r="H7" s="283" t="n">
        <v>0</v>
      </c>
      <c r="I7" s="283" t="n">
        <v>0</v>
      </c>
      <c r="J7" s="283" t="n">
        <v>0</v>
      </c>
      <c r="K7" s="283" t="n">
        <v>0</v>
      </c>
      <c r="L7" s="283" t="n">
        <v>0</v>
      </c>
      <c r="M7" s="283" t="n">
        <v>0</v>
      </c>
      <c r="N7" s="283" t="n">
        <v>0</v>
      </c>
      <c r="O7" s="283" t="n">
        <v>0</v>
      </c>
    </row>
    <row r="8">
      <c r="B8" s="277" t="inlineStr">
        <is>
          <t xml:space="preserve">   weight on CY2024 year-end fleet</t>
        </is>
      </c>
      <c r="C8" s="256" t="inlineStr">
        <is>
          <t>share</t>
        </is>
      </c>
      <c r="D8" s="283" t="n">
        <v>0.291667</v>
      </c>
      <c r="E8" s="283" t="n">
        <v>0.055556</v>
      </c>
      <c r="F8" s="283" t="n">
        <v>0</v>
      </c>
      <c r="G8" s="283" t="n">
        <v>0</v>
      </c>
      <c r="H8" s="283" t="n">
        <v>0</v>
      </c>
      <c r="I8" s="283" t="n">
        <v>0</v>
      </c>
      <c r="J8" s="283" t="n">
        <v>0</v>
      </c>
      <c r="K8" s="283" t="n">
        <v>0</v>
      </c>
      <c r="L8" s="283" t="n">
        <v>0</v>
      </c>
      <c r="M8" s="283" t="n">
        <v>0</v>
      </c>
      <c r="N8" s="283" t="n">
        <v>0</v>
      </c>
      <c r="O8" s="283" t="n">
        <v>0</v>
      </c>
    </row>
    <row r="9">
      <c r="B9" s="277" t="inlineStr">
        <is>
          <t xml:space="preserve">   weight on CY2025 year-end fleet</t>
        </is>
      </c>
      <c r="C9" s="256" t="inlineStr">
        <is>
          <t>share</t>
        </is>
      </c>
      <c r="D9" s="283" t="n">
        <v>0.708333</v>
      </c>
      <c r="E9" s="283" t="n">
        <v>0.930556</v>
      </c>
      <c r="F9" s="283" t="n">
        <v>0.791667</v>
      </c>
      <c r="G9" s="283" t="n">
        <v>0.541667</v>
      </c>
      <c r="H9" s="283" t="n">
        <v>0.291667</v>
      </c>
      <c r="I9" s="283" t="n">
        <v>0.055556</v>
      </c>
      <c r="J9" s="283" t="n">
        <v>0</v>
      </c>
      <c r="K9" s="283" t="n">
        <v>0</v>
      </c>
      <c r="L9" s="283" t="n">
        <v>0</v>
      </c>
      <c r="M9" s="283" t="n">
        <v>0</v>
      </c>
      <c r="N9" s="283" t="n">
        <v>0</v>
      </c>
      <c r="O9" s="283" t="n">
        <v>0</v>
      </c>
    </row>
    <row r="10">
      <c r="B10" s="277" t="inlineStr">
        <is>
          <t xml:space="preserve">   weight on CY2026 year-end fleet</t>
        </is>
      </c>
      <c r="C10" s="256" t="inlineStr">
        <is>
          <t>share</t>
        </is>
      </c>
      <c r="D10" s="283" t="n">
        <v>0</v>
      </c>
      <c r="E10" s="283" t="n">
        <v>0.013889</v>
      </c>
      <c r="F10" s="283" t="n">
        <v>0.208333</v>
      </c>
      <c r="G10" s="283" t="n">
        <v>0.458333</v>
      </c>
      <c r="H10" s="283" t="n">
        <v>0.708333</v>
      </c>
      <c r="I10" s="283" t="n">
        <v>0.930556</v>
      </c>
      <c r="J10" s="283" t="n">
        <v>0.791667</v>
      </c>
      <c r="K10" s="283" t="n">
        <v>0.541667</v>
      </c>
      <c r="L10" s="283" t="n">
        <v>0.291667</v>
      </c>
      <c r="M10" s="283" t="n">
        <v>0.055556</v>
      </c>
      <c r="N10" s="283" t="n">
        <v>0</v>
      </c>
      <c r="O10" s="283" t="n">
        <v>0</v>
      </c>
    </row>
    <row r="11">
      <c r="B11" s="277" t="inlineStr">
        <is>
          <t xml:space="preserve">   weight on CY2027 year-end fleet</t>
        </is>
      </c>
      <c r="C11" s="256" t="inlineStr">
        <is>
          <t>share</t>
        </is>
      </c>
      <c r="D11" s="283" t="n">
        <v>0</v>
      </c>
      <c r="E11" s="283" t="n">
        <v>0</v>
      </c>
      <c r="F11" s="283" t="n">
        <v>0</v>
      </c>
      <c r="G11" s="283" t="n">
        <v>0</v>
      </c>
      <c r="H11" s="283" t="n">
        <v>0</v>
      </c>
      <c r="I11" s="283" t="n">
        <v>0.013889</v>
      </c>
      <c r="J11" s="283" t="n">
        <v>0.208333</v>
      </c>
      <c r="K11" s="283" t="n">
        <v>0.458333</v>
      </c>
      <c r="L11" s="283" t="n">
        <v>0.708333</v>
      </c>
      <c r="M11" s="283" t="n">
        <v>0.930556</v>
      </c>
      <c r="N11" s="283" t="n">
        <v>0.791667</v>
      </c>
      <c r="O11" s="283" t="n">
        <v>0.541667</v>
      </c>
    </row>
    <row r="12">
      <c r="B12" s="277" t="inlineStr">
        <is>
          <t xml:space="preserve">   weight on CY2028 year-end fleet</t>
        </is>
      </c>
      <c r="C12" s="256" t="inlineStr">
        <is>
          <t>share</t>
        </is>
      </c>
      <c r="D12" s="283" t="n">
        <v>0</v>
      </c>
      <c r="E12" s="283" t="n">
        <v>0</v>
      </c>
      <c r="F12" s="283" t="n">
        <v>0</v>
      </c>
      <c r="G12" s="283" t="n">
        <v>0</v>
      </c>
      <c r="H12" s="283" t="n">
        <v>0</v>
      </c>
      <c r="I12" s="283" t="n">
        <v>0</v>
      </c>
      <c r="J12" s="283" t="n">
        <v>0</v>
      </c>
      <c r="K12" s="283" t="n">
        <v>0</v>
      </c>
      <c r="L12" s="283" t="n">
        <v>0</v>
      </c>
      <c r="M12" s="283" t="n">
        <v>0.013889</v>
      </c>
      <c r="N12" s="283" t="n">
        <v>0.208333</v>
      </c>
      <c r="O12" s="283" t="n">
        <v>0.458333</v>
      </c>
    </row>
    <row r="13">
      <c r="B13" s="272" t="inlineStr">
        <is>
          <t xml:space="preserve">   check: weights sum to one</t>
        </is>
      </c>
      <c r="D13" s="284">
        <f>SUM(D7:D12)</f>
        <v/>
      </c>
      <c r="E13" s="284">
        <f>SUM(E7:E12)</f>
        <v/>
      </c>
      <c r="F13" s="284">
        <f>SUM(F7:F12)</f>
        <v/>
      </c>
      <c r="G13" s="284">
        <f>SUM(G7:G12)</f>
        <v/>
      </c>
      <c r="H13" s="284">
        <f>SUM(H7:H12)</f>
        <v/>
      </c>
      <c r="I13" s="284">
        <f>SUM(I7:I12)</f>
        <v/>
      </c>
      <c r="J13" s="284">
        <f>SUM(J7:J12)</f>
        <v/>
      </c>
      <c r="K13" s="284">
        <f>SUM(K7:K12)</f>
        <v/>
      </c>
      <c r="L13" s="284">
        <f>SUM(L7:L12)</f>
        <v/>
      </c>
      <c r="M13" s="284">
        <f>SUM(M7:M12)</f>
        <v/>
      </c>
      <c r="N13" s="284">
        <f>SUM(N7:N12)</f>
        <v/>
      </c>
      <c r="O13" s="284">
        <f>SUM(O7:O12)</f>
        <v/>
      </c>
    </row>
    <row r="14"/>
    <row r="15">
      <c r="B15" s="254" t="inlineStr">
        <is>
          <t>B. Claims mass by body × age band (relative claims; thousands-equivalent) — composition from E1, level is an index</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38" t="inlineStr">
        <is>
          <t>Car — 0 (current or newer)</t>
        </is>
      </c>
      <c r="C16" s="256" t="inlineStr">
        <is>
          <t>index</t>
        </is>
      </c>
      <c r="D16" s="276">
        <f>(D$7*$D$86+D$8*$E$86+D$9*$F$86+D$10*$G$86+D$11*$H$86+D$12*$I$86)*$D$80</f>
        <v/>
      </c>
      <c r="E16" s="276">
        <f>(E$7*$D$86+E$8*$E$86+E$9*$F$86+E$10*$G$86+E$11*$H$86+E$12*$I$86)*$D$80</f>
        <v/>
      </c>
      <c r="F16" s="276">
        <f>(F$7*$D$86+F$8*$E$86+F$9*$F$86+F$10*$G$86+F$11*$H$86+F$12*$I$86)*$D$80</f>
        <v/>
      </c>
      <c r="G16" s="276">
        <f>(G$7*$D$86+G$8*$E$86+G$9*$F$86+G$10*$G$86+G$11*$H$86+G$12*$I$86)*$D$80</f>
        <v/>
      </c>
      <c r="H16" s="276">
        <f>(H$7*$D$86+H$8*$E$86+H$9*$F$86+H$10*$G$86+H$11*$H$86+H$12*$I$86)*$D$80</f>
        <v/>
      </c>
      <c r="I16" s="276">
        <f>(I$7*$D$86+I$8*$E$86+I$9*$F$86+I$10*$G$86+I$11*$H$86+I$12*$I$86)*$D$80</f>
        <v/>
      </c>
      <c r="J16" s="276">
        <f>(J$7*$D$86+J$8*$E$86+J$9*$F$86+J$10*$G$86+J$11*$H$86+J$12*$I$86)*$D$80</f>
        <v/>
      </c>
      <c r="K16" s="276">
        <f>(K$7*$D$86+K$8*$E$86+K$9*$F$86+K$10*$G$86+K$11*$H$86+K$12*$I$86)*$D$80</f>
        <v/>
      </c>
      <c r="L16" s="276">
        <f>(L$7*$D$86+L$8*$E$86+L$9*$F$86+L$10*$G$86+L$11*$H$86+L$12*$I$86)*$D$80</f>
        <v/>
      </c>
      <c r="M16" s="276">
        <f>(M$7*$D$86+M$8*$E$86+M$9*$F$86+M$10*$G$86+M$11*$H$86+M$12*$I$86)*$D$80</f>
        <v/>
      </c>
      <c r="N16" s="276">
        <f>(N$7*$D$86+N$8*$E$86+N$9*$F$86+N$10*$G$86+N$11*$H$86+N$12*$I$86)*$D$80</f>
        <v/>
      </c>
      <c r="O16" s="276">
        <f>(O$7*$D$86+O$8*$E$86+O$9*$F$86+O$10*$G$86+O$11*$H$86+O$12*$I$86)*$D$80</f>
        <v/>
      </c>
      <c r="P16" s="276">
        <f>SUM(D16:G16)</f>
        <v/>
      </c>
      <c r="Q16" s="276">
        <f>SUM(H16:K16)</f>
        <v/>
      </c>
      <c r="R16" s="276">
        <f>SUM(L16:O16)</f>
        <v/>
      </c>
    </row>
    <row r="17">
      <c r="B17" s="277" t="inlineStr">
        <is>
          <t>Car — 1–3 years</t>
        </is>
      </c>
      <c r="C17" s="256" t="inlineStr">
        <is>
          <t>index</t>
        </is>
      </c>
      <c r="D17" s="276">
        <f>(D$7*$D$87+D$8*$E$87+D$9*$F$87+D$10*$G$87+D$11*$H$87+D$12*$I$87)*$D$80</f>
        <v/>
      </c>
      <c r="E17" s="276">
        <f>(E$7*$D$87+E$8*$E$87+E$9*$F$87+E$10*$G$87+E$11*$H$87+E$12*$I$87)*$D$80</f>
        <v/>
      </c>
      <c r="F17" s="276">
        <f>(F$7*$D$87+F$8*$E$87+F$9*$F$87+F$10*$G$87+F$11*$H$87+F$12*$I$87)*$D$80</f>
        <v/>
      </c>
      <c r="G17" s="276">
        <f>(G$7*$D$87+G$8*$E$87+G$9*$F$87+G$10*$G$87+G$11*$H$87+G$12*$I$87)*$D$80</f>
        <v/>
      </c>
      <c r="H17" s="276">
        <f>(H$7*$D$87+H$8*$E$87+H$9*$F$87+H$10*$G$87+H$11*$H$87+H$12*$I$87)*$D$80</f>
        <v/>
      </c>
      <c r="I17" s="276">
        <f>(I$7*$D$87+I$8*$E$87+I$9*$F$87+I$10*$G$87+I$11*$H$87+I$12*$I$87)*$D$80</f>
        <v/>
      </c>
      <c r="J17" s="276">
        <f>(J$7*$D$87+J$8*$E$87+J$9*$F$87+J$10*$G$87+J$11*$H$87+J$12*$I$87)*$D$80</f>
        <v/>
      </c>
      <c r="K17" s="276">
        <f>(K$7*$D$87+K$8*$E$87+K$9*$F$87+K$10*$G$87+K$11*$H$87+K$12*$I$87)*$D$80</f>
        <v/>
      </c>
      <c r="L17" s="276">
        <f>(L$7*$D$87+L$8*$E$87+L$9*$F$87+L$10*$G$87+L$11*$H$87+L$12*$I$87)*$D$80</f>
        <v/>
      </c>
      <c r="M17" s="276">
        <f>(M$7*$D$87+M$8*$E$87+M$9*$F$87+M$10*$G$87+M$11*$H$87+M$12*$I$87)*$D$80</f>
        <v/>
      </c>
      <c r="N17" s="276">
        <f>(N$7*$D$87+N$8*$E$87+N$9*$F$87+N$10*$G$87+N$11*$H$87+N$12*$I$87)*$D$80</f>
        <v/>
      </c>
      <c r="O17" s="276">
        <f>(O$7*$D$87+O$8*$E$87+O$9*$F$87+O$10*$G$87+O$11*$H$87+O$12*$I$87)*$D$80</f>
        <v/>
      </c>
      <c r="P17" s="276">
        <f>SUM(D17:G17)</f>
        <v/>
      </c>
      <c r="Q17" s="276">
        <f>SUM(H17:K17)</f>
        <v/>
      </c>
      <c r="R17" s="276">
        <f>SUM(L17:O17)</f>
        <v/>
      </c>
    </row>
    <row r="18">
      <c r="B18" s="277" t="inlineStr">
        <is>
          <t>Car — 4–6 years</t>
        </is>
      </c>
      <c r="C18" s="256" t="inlineStr">
        <is>
          <t>index</t>
        </is>
      </c>
      <c r="D18" s="276">
        <f>(D$7*$D$88+D$8*$E$88+D$9*$F$88+D$10*$G$88+D$11*$H$88+D$12*$I$88)*$D$80</f>
        <v/>
      </c>
      <c r="E18" s="276">
        <f>(E$7*$D$88+E$8*$E$88+E$9*$F$88+E$10*$G$88+E$11*$H$88+E$12*$I$88)*$D$80</f>
        <v/>
      </c>
      <c r="F18" s="276">
        <f>(F$7*$D$88+F$8*$E$88+F$9*$F$88+F$10*$G$88+F$11*$H$88+F$12*$I$88)*$D$80</f>
        <v/>
      </c>
      <c r="G18" s="276">
        <f>(G$7*$D$88+G$8*$E$88+G$9*$F$88+G$10*$G$88+G$11*$H$88+G$12*$I$88)*$D$80</f>
        <v/>
      </c>
      <c r="H18" s="276">
        <f>(H$7*$D$88+H$8*$E$88+H$9*$F$88+H$10*$G$88+H$11*$H$88+H$12*$I$88)*$D$80</f>
        <v/>
      </c>
      <c r="I18" s="276">
        <f>(I$7*$D$88+I$8*$E$88+I$9*$F$88+I$10*$G$88+I$11*$H$88+I$12*$I$88)*$D$80</f>
        <v/>
      </c>
      <c r="J18" s="276">
        <f>(J$7*$D$88+J$8*$E$88+J$9*$F$88+J$10*$G$88+J$11*$H$88+J$12*$I$88)*$D$80</f>
        <v/>
      </c>
      <c r="K18" s="276">
        <f>(K$7*$D$88+K$8*$E$88+K$9*$F$88+K$10*$G$88+K$11*$H$88+K$12*$I$88)*$D$80</f>
        <v/>
      </c>
      <c r="L18" s="276">
        <f>(L$7*$D$88+L$8*$E$88+L$9*$F$88+L$10*$G$88+L$11*$H$88+L$12*$I$88)*$D$80</f>
        <v/>
      </c>
      <c r="M18" s="276">
        <f>(M$7*$D$88+M$8*$E$88+M$9*$F$88+M$10*$G$88+M$11*$H$88+M$12*$I$88)*$D$80</f>
        <v/>
      </c>
      <c r="N18" s="276">
        <f>(N$7*$D$88+N$8*$E$88+N$9*$F$88+N$10*$G$88+N$11*$H$88+N$12*$I$88)*$D$80</f>
        <v/>
      </c>
      <c r="O18" s="276">
        <f>(O$7*$D$88+O$8*$E$88+O$9*$F$88+O$10*$G$88+O$11*$H$88+O$12*$I$88)*$D$80</f>
        <v/>
      </c>
      <c r="P18" s="276">
        <f>SUM(D18:G18)</f>
        <v/>
      </c>
      <c r="Q18" s="276">
        <f>SUM(H18:K18)</f>
        <v/>
      </c>
      <c r="R18" s="276">
        <f>SUM(L18:O18)</f>
        <v/>
      </c>
    </row>
    <row r="19">
      <c r="B19" s="277" t="inlineStr">
        <is>
          <t>Car — 7+ years</t>
        </is>
      </c>
      <c r="C19" s="256" t="inlineStr">
        <is>
          <t>index</t>
        </is>
      </c>
      <c r="D19" s="276">
        <f>(D$7*$D$89+D$8*$E$89+D$9*$F$89+D$10*$G$89+D$11*$H$89+D$12*$I$89)*$D$80</f>
        <v/>
      </c>
      <c r="E19" s="276">
        <f>(E$7*$D$89+E$8*$E$89+E$9*$F$89+E$10*$G$89+E$11*$H$89+E$12*$I$89)*$D$80</f>
        <v/>
      </c>
      <c r="F19" s="276">
        <f>(F$7*$D$89+F$8*$E$89+F$9*$F$89+F$10*$G$89+F$11*$H$89+F$12*$I$89)*$D$80</f>
        <v/>
      </c>
      <c r="G19" s="276">
        <f>(G$7*$D$89+G$8*$E$89+G$9*$F$89+G$10*$G$89+G$11*$H$89+G$12*$I$89)*$D$80</f>
        <v/>
      </c>
      <c r="H19" s="276">
        <f>(H$7*$D$89+H$8*$E$89+H$9*$F$89+H$10*$G$89+H$11*$H$89+H$12*$I$89)*$D$80</f>
        <v/>
      </c>
      <c r="I19" s="276">
        <f>(I$7*$D$89+I$8*$E$89+I$9*$F$89+I$10*$G$89+I$11*$H$89+I$12*$I$89)*$D$80</f>
        <v/>
      </c>
      <c r="J19" s="276">
        <f>(J$7*$D$89+J$8*$E$89+J$9*$F$89+J$10*$G$89+J$11*$H$89+J$12*$I$89)*$D$80</f>
        <v/>
      </c>
      <c r="K19" s="276">
        <f>(K$7*$D$89+K$8*$E$89+K$9*$F$89+K$10*$G$89+K$11*$H$89+K$12*$I$89)*$D$80</f>
        <v/>
      </c>
      <c r="L19" s="276">
        <f>(L$7*$D$89+L$8*$E$89+L$9*$F$89+L$10*$G$89+L$11*$H$89+L$12*$I$89)*$D$80</f>
        <v/>
      </c>
      <c r="M19" s="276">
        <f>(M$7*$D$89+M$8*$E$89+M$9*$F$89+M$10*$G$89+M$11*$H$89+M$12*$I$89)*$D$80</f>
        <v/>
      </c>
      <c r="N19" s="276">
        <f>(N$7*$D$89+N$8*$E$89+N$9*$F$89+N$10*$G$89+N$11*$H$89+N$12*$I$89)*$D$80</f>
        <v/>
      </c>
      <c r="O19" s="276">
        <f>(O$7*$D$89+O$8*$E$89+O$9*$F$89+O$10*$G$89+O$11*$H$89+O$12*$I$89)*$D$80</f>
        <v/>
      </c>
      <c r="P19" s="276">
        <f>SUM(D19:G19)</f>
        <v/>
      </c>
      <c r="Q19" s="276">
        <f>SUM(H19:K19)</f>
        <v/>
      </c>
      <c r="R19" s="276">
        <f>SUM(L19:O19)</f>
        <v/>
      </c>
    </row>
    <row r="20">
      <c r="B20" s="238" t="inlineStr">
        <is>
          <t>Utility vehicle (SUV) — 0 (current or newer)</t>
        </is>
      </c>
      <c r="C20" s="256" t="inlineStr">
        <is>
          <t>index</t>
        </is>
      </c>
      <c r="D20" s="276">
        <f>(D$7*$D$90+D$8*$E$90+D$9*$F$90+D$10*$G$90+D$11*$H$90+D$12*$I$90)*$D$80</f>
        <v/>
      </c>
      <c r="E20" s="276">
        <f>(E$7*$D$90+E$8*$E$90+E$9*$F$90+E$10*$G$90+E$11*$H$90+E$12*$I$90)*$D$80</f>
        <v/>
      </c>
      <c r="F20" s="276">
        <f>(F$7*$D$90+F$8*$E$90+F$9*$F$90+F$10*$G$90+F$11*$H$90+F$12*$I$90)*$D$80</f>
        <v/>
      </c>
      <c r="G20" s="276">
        <f>(G$7*$D$90+G$8*$E$90+G$9*$F$90+G$10*$G$90+G$11*$H$90+G$12*$I$90)*$D$80</f>
        <v/>
      </c>
      <c r="H20" s="276">
        <f>(H$7*$D$90+H$8*$E$90+H$9*$F$90+H$10*$G$90+H$11*$H$90+H$12*$I$90)*$D$80</f>
        <v/>
      </c>
      <c r="I20" s="276">
        <f>(I$7*$D$90+I$8*$E$90+I$9*$F$90+I$10*$G$90+I$11*$H$90+I$12*$I$90)*$D$80</f>
        <v/>
      </c>
      <c r="J20" s="276">
        <f>(J$7*$D$90+J$8*$E$90+J$9*$F$90+J$10*$G$90+J$11*$H$90+J$12*$I$90)*$D$80</f>
        <v/>
      </c>
      <c r="K20" s="276">
        <f>(K$7*$D$90+K$8*$E$90+K$9*$F$90+K$10*$G$90+K$11*$H$90+K$12*$I$90)*$D$80</f>
        <v/>
      </c>
      <c r="L20" s="276">
        <f>(L$7*$D$90+L$8*$E$90+L$9*$F$90+L$10*$G$90+L$11*$H$90+L$12*$I$90)*$D$80</f>
        <v/>
      </c>
      <c r="M20" s="276">
        <f>(M$7*$D$90+M$8*$E$90+M$9*$F$90+M$10*$G$90+M$11*$H$90+M$12*$I$90)*$D$80</f>
        <v/>
      </c>
      <c r="N20" s="276">
        <f>(N$7*$D$90+N$8*$E$90+N$9*$F$90+N$10*$G$90+N$11*$H$90+N$12*$I$90)*$D$80</f>
        <v/>
      </c>
      <c r="O20" s="276">
        <f>(O$7*$D$90+O$8*$E$90+O$9*$F$90+O$10*$G$90+O$11*$H$90+O$12*$I$90)*$D$80</f>
        <v/>
      </c>
      <c r="P20" s="276">
        <f>SUM(D20:G20)</f>
        <v/>
      </c>
      <c r="Q20" s="276">
        <f>SUM(H20:K20)</f>
        <v/>
      </c>
      <c r="R20" s="276">
        <f>SUM(L20:O20)</f>
        <v/>
      </c>
    </row>
    <row r="21">
      <c r="B21" s="277" t="inlineStr">
        <is>
          <t>Utility vehicle (SUV) — 1–3 years</t>
        </is>
      </c>
      <c r="C21" s="256" t="inlineStr">
        <is>
          <t>index</t>
        </is>
      </c>
      <c r="D21" s="276">
        <f>(D$7*$D$91+D$8*$E$91+D$9*$F$91+D$10*$G$91+D$11*$H$91+D$12*$I$91)*$D$80</f>
        <v/>
      </c>
      <c r="E21" s="276">
        <f>(E$7*$D$91+E$8*$E$91+E$9*$F$91+E$10*$G$91+E$11*$H$91+E$12*$I$91)*$D$80</f>
        <v/>
      </c>
      <c r="F21" s="276">
        <f>(F$7*$D$91+F$8*$E$91+F$9*$F$91+F$10*$G$91+F$11*$H$91+F$12*$I$91)*$D$80</f>
        <v/>
      </c>
      <c r="G21" s="276">
        <f>(G$7*$D$91+G$8*$E$91+G$9*$F$91+G$10*$G$91+G$11*$H$91+G$12*$I$91)*$D$80</f>
        <v/>
      </c>
      <c r="H21" s="276">
        <f>(H$7*$D$91+H$8*$E$91+H$9*$F$91+H$10*$G$91+H$11*$H$91+H$12*$I$91)*$D$80</f>
        <v/>
      </c>
      <c r="I21" s="276">
        <f>(I$7*$D$91+I$8*$E$91+I$9*$F$91+I$10*$G$91+I$11*$H$91+I$12*$I$91)*$D$80</f>
        <v/>
      </c>
      <c r="J21" s="276">
        <f>(J$7*$D$91+J$8*$E$91+J$9*$F$91+J$10*$G$91+J$11*$H$91+J$12*$I$91)*$D$80</f>
        <v/>
      </c>
      <c r="K21" s="276">
        <f>(K$7*$D$91+K$8*$E$91+K$9*$F$91+K$10*$G$91+K$11*$H$91+K$12*$I$91)*$D$80</f>
        <v/>
      </c>
      <c r="L21" s="276">
        <f>(L$7*$D$91+L$8*$E$91+L$9*$F$91+L$10*$G$91+L$11*$H$91+L$12*$I$91)*$D$80</f>
        <v/>
      </c>
      <c r="M21" s="276">
        <f>(M$7*$D$91+M$8*$E$91+M$9*$F$91+M$10*$G$91+M$11*$H$91+M$12*$I$91)*$D$80</f>
        <v/>
      </c>
      <c r="N21" s="276">
        <f>(N$7*$D$91+N$8*$E$91+N$9*$F$91+N$10*$G$91+N$11*$H$91+N$12*$I$91)*$D$80</f>
        <v/>
      </c>
      <c r="O21" s="276">
        <f>(O$7*$D$91+O$8*$E$91+O$9*$F$91+O$10*$G$91+O$11*$H$91+O$12*$I$91)*$D$80</f>
        <v/>
      </c>
      <c r="P21" s="276">
        <f>SUM(D21:G21)</f>
        <v/>
      </c>
      <c r="Q21" s="276">
        <f>SUM(H21:K21)</f>
        <v/>
      </c>
      <c r="R21" s="276">
        <f>SUM(L21:O21)</f>
        <v/>
      </c>
    </row>
    <row r="22">
      <c r="B22" s="277" t="inlineStr">
        <is>
          <t>Utility vehicle (SUV) — 4–6 years</t>
        </is>
      </c>
      <c r="C22" s="256" t="inlineStr">
        <is>
          <t>index</t>
        </is>
      </c>
      <c r="D22" s="276">
        <f>(D$7*$D$92+D$8*$E$92+D$9*$F$92+D$10*$G$92+D$11*$H$92+D$12*$I$92)*$D$80</f>
        <v/>
      </c>
      <c r="E22" s="276">
        <f>(E$7*$D$92+E$8*$E$92+E$9*$F$92+E$10*$G$92+E$11*$H$92+E$12*$I$92)*$D$80</f>
        <v/>
      </c>
      <c r="F22" s="276">
        <f>(F$7*$D$92+F$8*$E$92+F$9*$F$92+F$10*$G$92+F$11*$H$92+F$12*$I$92)*$D$80</f>
        <v/>
      </c>
      <c r="G22" s="276">
        <f>(G$7*$D$92+G$8*$E$92+G$9*$F$92+G$10*$G$92+G$11*$H$92+G$12*$I$92)*$D$80</f>
        <v/>
      </c>
      <c r="H22" s="276">
        <f>(H$7*$D$92+H$8*$E$92+H$9*$F$92+H$10*$G$92+H$11*$H$92+H$12*$I$92)*$D$80</f>
        <v/>
      </c>
      <c r="I22" s="276">
        <f>(I$7*$D$92+I$8*$E$92+I$9*$F$92+I$10*$G$92+I$11*$H$92+I$12*$I$92)*$D$80</f>
        <v/>
      </c>
      <c r="J22" s="276">
        <f>(J$7*$D$92+J$8*$E$92+J$9*$F$92+J$10*$G$92+J$11*$H$92+J$12*$I$92)*$D$80</f>
        <v/>
      </c>
      <c r="K22" s="276">
        <f>(K$7*$D$92+K$8*$E$92+K$9*$F$92+K$10*$G$92+K$11*$H$92+K$12*$I$92)*$D$80</f>
        <v/>
      </c>
      <c r="L22" s="276">
        <f>(L$7*$D$92+L$8*$E$92+L$9*$F$92+L$10*$G$92+L$11*$H$92+L$12*$I$92)*$D$80</f>
        <v/>
      </c>
      <c r="M22" s="276">
        <f>(M$7*$D$92+M$8*$E$92+M$9*$F$92+M$10*$G$92+M$11*$H$92+M$12*$I$92)*$D$80</f>
        <v/>
      </c>
      <c r="N22" s="276">
        <f>(N$7*$D$92+N$8*$E$92+N$9*$F$92+N$10*$G$92+N$11*$H$92+N$12*$I$92)*$D$80</f>
        <v/>
      </c>
      <c r="O22" s="276">
        <f>(O$7*$D$92+O$8*$E$92+O$9*$F$92+O$10*$G$92+O$11*$H$92+O$12*$I$92)*$D$80</f>
        <v/>
      </c>
      <c r="P22" s="276">
        <f>SUM(D22:G22)</f>
        <v/>
      </c>
      <c r="Q22" s="276">
        <f>SUM(H22:K22)</f>
        <v/>
      </c>
      <c r="R22" s="276">
        <f>SUM(L22:O22)</f>
        <v/>
      </c>
    </row>
    <row r="23">
      <c r="B23" s="277" t="inlineStr">
        <is>
          <t>Utility vehicle (SUV) — 7+ years</t>
        </is>
      </c>
      <c r="C23" s="256" t="inlineStr">
        <is>
          <t>index</t>
        </is>
      </c>
      <c r="D23" s="276">
        <f>(D$7*$D$93+D$8*$E$93+D$9*$F$93+D$10*$G$93+D$11*$H$93+D$12*$I$93)*$D$80</f>
        <v/>
      </c>
      <c r="E23" s="276">
        <f>(E$7*$D$93+E$8*$E$93+E$9*$F$93+E$10*$G$93+E$11*$H$93+E$12*$I$93)*$D$80</f>
        <v/>
      </c>
      <c r="F23" s="276">
        <f>(F$7*$D$93+F$8*$E$93+F$9*$F$93+F$10*$G$93+F$11*$H$93+F$12*$I$93)*$D$80</f>
        <v/>
      </c>
      <c r="G23" s="276">
        <f>(G$7*$D$93+G$8*$E$93+G$9*$F$93+G$10*$G$93+G$11*$H$93+G$12*$I$93)*$D$80</f>
        <v/>
      </c>
      <c r="H23" s="276">
        <f>(H$7*$D$93+H$8*$E$93+H$9*$F$93+H$10*$G$93+H$11*$H$93+H$12*$I$93)*$D$80</f>
        <v/>
      </c>
      <c r="I23" s="276">
        <f>(I$7*$D$93+I$8*$E$93+I$9*$F$93+I$10*$G$93+I$11*$H$93+I$12*$I$93)*$D$80</f>
        <v/>
      </c>
      <c r="J23" s="276">
        <f>(J$7*$D$93+J$8*$E$93+J$9*$F$93+J$10*$G$93+J$11*$H$93+J$12*$I$93)*$D$80</f>
        <v/>
      </c>
      <c r="K23" s="276">
        <f>(K$7*$D$93+K$8*$E$93+K$9*$F$93+K$10*$G$93+K$11*$H$93+K$12*$I$93)*$D$80</f>
        <v/>
      </c>
      <c r="L23" s="276">
        <f>(L$7*$D$93+L$8*$E$93+L$9*$F$93+L$10*$G$93+L$11*$H$93+L$12*$I$93)*$D$80</f>
        <v/>
      </c>
      <c r="M23" s="276">
        <f>(M$7*$D$93+M$8*$E$93+M$9*$F$93+M$10*$G$93+M$11*$H$93+M$12*$I$93)*$D$80</f>
        <v/>
      </c>
      <c r="N23" s="276">
        <f>(N$7*$D$93+N$8*$E$93+N$9*$F$93+N$10*$G$93+N$11*$H$93+N$12*$I$93)*$D$80</f>
        <v/>
      </c>
      <c r="O23" s="276">
        <f>(O$7*$D$93+O$8*$E$93+O$9*$F$93+O$10*$G$93+O$11*$H$93+O$12*$I$93)*$D$80</f>
        <v/>
      </c>
      <c r="P23" s="276">
        <f>SUM(D23:G23)</f>
        <v/>
      </c>
      <c r="Q23" s="276">
        <f>SUM(H23:K23)</f>
        <v/>
      </c>
      <c r="R23" s="276">
        <f>SUM(L23:O23)</f>
        <v/>
      </c>
    </row>
    <row r="24">
      <c r="B24" s="238" t="inlineStr">
        <is>
          <t>Pickup — 0 (current or newer)</t>
        </is>
      </c>
      <c r="C24" s="256" t="inlineStr">
        <is>
          <t>index</t>
        </is>
      </c>
      <c r="D24" s="276">
        <f>(D$7*$D$94+D$8*$E$94+D$9*$F$94+D$10*$G$94+D$11*$H$94+D$12*$I$94)*$D$80</f>
        <v/>
      </c>
      <c r="E24" s="276">
        <f>(E$7*$D$94+E$8*$E$94+E$9*$F$94+E$10*$G$94+E$11*$H$94+E$12*$I$94)*$D$80</f>
        <v/>
      </c>
      <c r="F24" s="276">
        <f>(F$7*$D$94+F$8*$E$94+F$9*$F$94+F$10*$G$94+F$11*$H$94+F$12*$I$94)*$D$80</f>
        <v/>
      </c>
      <c r="G24" s="276">
        <f>(G$7*$D$94+G$8*$E$94+G$9*$F$94+G$10*$G$94+G$11*$H$94+G$12*$I$94)*$D$80</f>
        <v/>
      </c>
      <c r="H24" s="276">
        <f>(H$7*$D$94+H$8*$E$94+H$9*$F$94+H$10*$G$94+H$11*$H$94+H$12*$I$94)*$D$80</f>
        <v/>
      </c>
      <c r="I24" s="276">
        <f>(I$7*$D$94+I$8*$E$94+I$9*$F$94+I$10*$G$94+I$11*$H$94+I$12*$I$94)*$D$80</f>
        <v/>
      </c>
      <c r="J24" s="276">
        <f>(J$7*$D$94+J$8*$E$94+J$9*$F$94+J$10*$G$94+J$11*$H$94+J$12*$I$94)*$D$80</f>
        <v/>
      </c>
      <c r="K24" s="276">
        <f>(K$7*$D$94+K$8*$E$94+K$9*$F$94+K$10*$G$94+K$11*$H$94+K$12*$I$94)*$D$80</f>
        <v/>
      </c>
      <c r="L24" s="276">
        <f>(L$7*$D$94+L$8*$E$94+L$9*$F$94+L$10*$G$94+L$11*$H$94+L$12*$I$94)*$D$80</f>
        <v/>
      </c>
      <c r="M24" s="276">
        <f>(M$7*$D$94+M$8*$E$94+M$9*$F$94+M$10*$G$94+M$11*$H$94+M$12*$I$94)*$D$80</f>
        <v/>
      </c>
      <c r="N24" s="276">
        <f>(N$7*$D$94+N$8*$E$94+N$9*$F$94+N$10*$G$94+N$11*$H$94+N$12*$I$94)*$D$80</f>
        <v/>
      </c>
      <c r="O24" s="276">
        <f>(O$7*$D$94+O$8*$E$94+O$9*$F$94+O$10*$G$94+O$11*$H$94+O$12*$I$94)*$D$80</f>
        <v/>
      </c>
      <c r="P24" s="276">
        <f>SUM(D24:G24)</f>
        <v/>
      </c>
      <c r="Q24" s="276">
        <f>SUM(H24:K24)</f>
        <v/>
      </c>
      <c r="R24" s="276">
        <f>SUM(L24:O24)</f>
        <v/>
      </c>
    </row>
    <row r="25">
      <c r="B25" s="277" t="inlineStr">
        <is>
          <t>Pickup — 1–3 years</t>
        </is>
      </c>
      <c r="C25" s="256" t="inlineStr">
        <is>
          <t>index</t>
        </is>
      </c>
      <c r="D25" s="276">
        <f>(D$7*$D$95+D$8*$E$95+D$9*$F$95+D$10*$G$95+D$11*$H$95+D$12*$I$95)*$D$80</f>
        <v/>
      </c>
      <c r="E25" s="276">
        <f>(E$7*$D$95+E$8*$E$95+E$9*$F$95+E$10*$G$95+E$11*$H$95+E$12*$I$95)*$D$80</f>
        <v/>
      </c>
      <c r="F25" s="276">
        <f>(F$7*$D$95+F$8*$E$95+F$9*$F$95+F$10*$G$95+F$11*$H$95+F$12*$I$95)*$D$80</f>
        <v/>
      </c>
      <c r="G25" s="276">
        <f>(G$7*$D$95+G$8*$E$95+G$9*$F$95+G$10*$G$95+G$11*$H$95+G$12*$I$95)*$D$80</f>
        <v/>
      </c>
      <c r="H25" s="276">
        <f>(H$7*$D$95+H$8*$E$95+H$9*$F$95+H$10*$G$95+H$11*$H$95+H$12*$I$95)*$D$80</f>
        <v/>
      </c>
      <c r="I25" s="276">
        <f>(I$7*$D$95+I$8*$E$95+I$9*$F$95+I$10*$G$95+I$11*$H$95+I$12*$I$95)*$D$80</f>
        <v/>
      </c>
      <c r="J25" s="276">
        <f>(J$7*$D$95+J$8*$E$95+J$9*$F$95+J$10*$G$95+J$11*$H$95+J$12*$I$95)*$D$80</f>
        <v/>
      </c>
      <c r="K25" s="276">
        <f>(K$7*$D$95+K$8*$E$95+K$9*$F$95+K$10*$G$95+K$11*$H$95+K$12*$I$95)*$D$80</f>
        <v/>
      </c>
      <c r="L25" s="276">
        <f>(L$7*$D$95+L$8*$E$95+L$9*$F$95+L$10*$G$95+L$11*$H$95+L$12*$I$95)*$D$80</f>
        <v/>
      </c>
      <c r="M25" s="276">
        <f>(M$7*$D$95+M$8*$E$95+M$9*$F$95+M$10*$G$95+M$11*$H$95+M$12*$I$95)*$D$80</f>
        <v/>
      </c>
      <c r="N25" s="276">
        <f>(N$7*$D$95+N$8*$E$95+N$9*$F$95+N$10*$G$95+N$11*$H$95+N$12*$I$95)*$D$80</f>
        <v/>
      </c>
      <c r="O25" s="276">
        <f>(O$7*$D$95+O$8*$E$95+O$9*$F$95+O$10*$G$95+O$11*$H$95+O$12*$I$95)*$D$80</f>
        <v/>
      </c>
      <c r="P25" s="276">
        <f>SUM(D25:G25)</f>
        <v/>
      </c>
      <c r="Q25" s="276">
        <f>SUM(H25:K25)</f>
        <v/>
      </c>
      <c r="R25" s="276">
        <f>SUM(L25:O25)</f>
        <v/>
      </c>
    </row>
    <row r="26">
      <c r="B26" s="277" t="inlineStr">
        <is>
          <t>Pickup — 4–6 years</t>
        </is>
      </c>
      <c r="C26" s="256" t="inlineStr">
        <is>
          <t>index</t>
        </is>
      </c>
      <c r="D26" s="276">
        <f>(D$7*$D$96+D$8*$E$96+D$9*$F$96+D$10*$G$96+D$11*$H$96+D$12*$I$96)*$D$80</f>
        <v/>
      </c>
      <c r="E26" s="276">
        <f>(E$7*$D$96+E$8*$E$96+E$9*$F$96+E$10*$G$96+E$11*$H$96+E$12*$I$96)*$D$80</f>
        <v/>
      </c>
      <c r="F26" s="276">
        <f>(F$7*$D$96+F$8*$E$96+F$9*$F$96+F$10*$G$96+F$11*$H$96+F$12*$I$96)*$D$80</f>
        <v/>
      </c>
      <c r="G26" s="276">
        <f>(G$7*$D$96+G$8*$E$96+G$9*$F$96+G$10*$G$96+G$11*$H$96+G$12*$I$96)*$D$80</f>
        <v/>
      </c>
      <c r="H26" s="276">
        <f>(H$7*$D$96+H$8*$E$96+H$9*$F$96+H$10*$G$96+H$11*$H$96+H$12*$I$96)*$D$80</f>
        <v/>
      </c>
      <c r="I26" s="276">
        <f>(I$7*$D$96+I$8*$E$96+I$9*$F$96+I$10*$G$96+I$11*$H$96+I$12*$I$96)*$D$80</f>
        <v/>
      </c>
      <c r="J26" s="276">
        <f>(J$7*$D$96+J$8*$E$96+J$9*$F$96+J$10*$G$96+J$11*$H$96+J$12*$I$96)*$D$80</f>
        <v/>
      </c>
      <c r="K26" s="276">
        <f>(K$7*$D$96+K$8*$E$96+K$9*$F$96+K$10*$G$96+K$11*$H$96+K$12*$I$96)*$D$80</f>
        <v/>
      </c>
      <c r="L26" s="276">
        <f>(L$7*$D$96+L$8*$E$96+L$9*$F$96+L$10*$G$96+L$11*$H$96+L$12*$I$96)*$D$80</f>
        <v/>
      </c>
      <c r="M26" s="276">
        <f>(M$7*$D$96+M$8*$E$96+M$9*$F$96+M$10*$G$96+M$11*$H$96+M$12*$I$96)*$D$80</f>
        <v/>
      </c>
      <c r="N26" s="276">
        <f>(N$7*$D$96+N$8*$E$96+N$9*$F$96+N$10*$G$96+N$11*$H$96+N$12*$I$96)*$D$80</f>
        <v/>
      </c>
      <c r="O26" s="276">
        <f>(O$7*$D$96+O$8*$E$96+O$9*$F$96+O$10*$G$96+O$11*$H$96+O$12*$I$96)*$D$80</f>
        <v/>
      </c>
      <c r="P26" s="276">
        <f>SUM(D26:G26)</f>
        <v/>
      </c>
      <c r="Q26" s="276">
        <f>SUM(H26:K26)</f>
        <v/>
      </c>
      <c r="R26" s="276">
        <f>SUM(L26:O26)</f>
        <v/>
      </c>
    </row>
    <row r="27">
      <c r="B27" s="277" t="inlineStr">
        <is>
          <t>Pickup — 7+ years</t>
        </is>
      </c>
      <c r="C27" s="256" t="inlineStr">
        <is>
          <t>index</t>
        </is>
      </c>
      <c r="D27" s="276">
        <f>(D$7*$D$97+D$8*$E$97+D$9*$F$97+D$10*$G$97+D$11*$H$97+D$12*$I$97)*$D$80</f>
        <v/>
      </c>
      <c r="E27" s="276">
        <f>(E$7*$D$97+E$8*$E$97+E$9*$F$97+E$10*$G$97+E$11*$H$97+E$12*$I$97)*$D$80</f>
        <v/>
      </c>
      <c r="F27" s="276">
        <f>(F$7*$D$97+F$8*$E$97+F$9*$F$97+F$10*$G$97+F$11*$H$97+F$12*$I$97)*$D$80</f>
        <v/>
      </c>
      <c r="G27" s="276">
        <f>(G$7*$D$97+G$8*$E$97+G$9*$F$97+G$10*$G$97+G$11*$H$97+G$12*$I$97)*$D$80</f>
        <v/>
      </c>
      <c r="H27" s="276">
        <f>(H$7*$D$97+H$8*$E$97+H$9*$F$97+H$10*$G$97+H$11*$H$97+H$12*$I$97)*$D$80</f>
        <v/>
      </c>
      <c r="I27" s="276">
        <f>(I$7*$D$97+I$8*$E$97+I$9*$F$97+I$10*$G$97+I$11*$H$97+I$12*$I$97)*$D$80</f>
        <v/>
      </c>
      <c r="J27" s="276">
        <f>(J$7*$D$97+J$8*$E$97+J$9*$F$97+J$10*$G$97+J$11*$H$97+J$12*$I$97)*$D$80</f>
        <v/>
      </c>
      <c r="K27" s="276">
        <f>(K$7*$D$97+K$8*$E$97+K$9*$F$97+K$10*$G$97+K$11*$H$97+K$12*$I$97)*$D$80</f>
        <v/>
      </c>
      <c r="L27" s="276">
        <f>(L$7*$D$97+L$8*$E$97+L$9*$F$97+L$10*$G$97+L$11*$H$97+L$12*$I$97)*$D$80</f>
        <v/>
      </c>
      <c r="M27" s="276">
        <f>(M$7*$D$97+M$8*$E$97+M$9*$F$97+M$10*$G$97+M$11*$H$97+M$12*$I$97)*$D$80</f>
        <v/>
      </c>
      <c r="N27" s="276">
        <f>(N$7*$D$97+N$8*$E$97+N$9*$F$97+N$10*$G$97+N$11*$H$97+N$12*$I$97)*$D$80</f>
        <v/>
      </c>
      <c r="O27" s="276">
        <f>(O$7*$D$97+O$8*$E$97+O$9*$F$97+O$10*$G$97+O$11*$H$97+O$12*$I$97)*$D$80</f>
        <v/>
      </c>
      <c r="P27" s="276">
        <f>SUM(D27:G27)</f>
        <v/>
      </c>
      <c r="Q27" s="276">
        <f>SUM(H27:K27)</f>
        <v/>
      </c>
      <c r="R27" s="276">
        <f>SUM(L27:O27)</f>
        <v/>
      </c>
    </row>
    <row r="28">
      <c r="B28" s="238" t="inlineStr">
        <is>
          <t>Van / minivan — 0 (current or newer)</t>
        </is>
      </c>
      <c r="C28" s="256" t="inlineStr">
        <is>
          <t>index</t>
        </is>
      </c>
      <c r="D28" s="276">
        <f>(D$7*$D$98+D$8*$E$98+D$9*$F$98+D$10*$G$98+D$11*$H$98+D$12*$I$98)*$D$80</f>
        <v/>
      </c>
      <c r="E28" s="276">
        <f>(E$7*$D$98+E$8*$E$98+E$9*$F$98+E$10*$G$98+E$11*$H$98+E$12*$I$98)*$D$80</f>
        <v/>
      </c>
      <c r="F28" s="276">
        <f>(F$7*$D$98+F$8*$E$98+F$9*$F$98+F$10*$G$98+F$11*$H$98+F$12*$I$98)*$D$80</f>
        <v/>
      </c>
      <c r="G28" s="276">
        <f>(G$7*$D$98+G$8*$E$98+G$9*$F$98+G$10*$G$98+G$11*$H$98+G$12*$I$98)*$D$80</f>
        <v/>
      </c>
      <c r="H28" s="276">
        <f>(H$7*$D$98+H$8*$E$98+H$9*$F$98+H$10*$G$98+H$11*$H$98+H$12*$I$98)*$D$80</f>
        <v/>
      </c>
      <c r="I28" s="276">
        <f>(I$7*$D$98+I$8*$E$98+I$9*$F$98+I$10*$G$98+I$11*$H$98+I$12*$I$98)*$D$80</f>
        <v/>
      </c>
      <c r="J28" s="276">
        <f>(J$7*$D$98+J$8*$E$98+J$9*$F$98+J$10*$G$98+J$11*$H$98+J$12*$I$98)*$D$80</f>
        <v/>
      </c>
      <c r="K28" s="276">
        <f>(K$7*$D$98+K$8*$E$98+K$9*$F$98+K$10*$G$98+K$11*$H$98+K$12*$I$98)*$D$80</f>
        <v/>
      </c>
      <c r="L28" s="276">
        <f>(L$7*$D$98+L$8*$E$98+L$9*$F$98+L$10*$G$98+L$11*$H$98+L$12*$I$98)*$D$80</f>
        <v/>
      </c>
      <c r="M28" s="276">
        <f>(M$7*$D$98+M$8*$E$98+M$9*$F$98+M$10*$G$98+M$11*$H$98+M$12*$I$98)*$D$80</f>
        <v/>
      </c>
      <c r="N28" s="276">
        <f>(N$7*$D$98+N$8*$E$98+N$9*$F$98+N$10*$G$98+N$11*$H$98+N$12*$I$98)*$D$80</f>
        <v/>
      </c>
      <c r="O28" s="276">
        <f>(O$7*$D$98+O$8*$E$98+O$9*$F$98+O$10*$G$98+O$11*$H$98+O$12*$I$98)*$D$80</f>
        <v/>
      </c>
      <c r="P28" s="276">
        <f>SUM(D28:G28)</f>
        <v/>
      </c>
      <c r="Q28" s="276">
        <f>SUM(H28:K28)</f>
        <v/>
      </c>
      <c r="R28" s="276">
        <f>SUM(L28:O28)</f>
        <v/>
      </c>
    </row>
    <row r="29">
      <c r="B29" s="277" t="inlineStr">
        <is>
          <t>Van / minivan — 1–3 years</t>
        </is>
      </c>
      <c r="C29" s="256" t="inlineStr">
        <is>
          <t>index</t>
        </is>
      </c>
      <c r="D29" s="276">
        <f>(D$7*$D$99+D$8*$E$99+D$9*$F$99+D$10*$G$99+D$11*$H$99+D$12*$I$99)*$D$80</f>
        <v/>
      </c>
      <c r="E29" s="276">
        <f>(E$7*$D$99+E$8*$E$99+E$9*$F$99+E$10*$G$99+E$11*$H$99+E$12*$I$99)*$D$80</f>
        <v/>
      </c>
      <c r="F29" s="276">
        <f>(F$7*$D$99+F$8*$E$99+F$9*$F$99+F$10*$G$99+F$11*$H$99+F$12*$I$99)*$D$80</f>
        <v/>
      </c>
      <c r="G29" s="276">
        <f>(G$7*$D$99+G$8*$E$99+G$9*$F$99+G$10*$G$99+G$11*$H$99+G$12*$I$99)*$D$80</f>
        <v/>
      </c>
      <c r="H29" s="276">
        <f>(H$7*$D$99+H$8*$E$99+H$9*$F$99+H$10*$G$99+H$11*$H$99+H$12*$I$99)*$D$80</f>
        <v/>
      </c>
      <c r="I29" s="276">
        <f>(I$7*$D$99+I$8*$E$99+I$9*$F$99+I$10*$G$99+I$11*$H$99+I$12*$I$99)*$D$80</f>
        <v/>
      </c>
      <c r="J29" s="276">
        <f>(J$7*$D$99+J$8*$E$99+J$9*$F$99+J$10*$G$99+J$11*$H$99+J$12*$I$99)*$D$80</f>
        <v/>
      </c>
      <c r="K29" s="276">
        <f>(K$7*$D$99+K$8*$E$99+K$9*$F$99+K$10*$G$99+K$11*$H$99+K$12*$I$99)*$D$80</f>
        <v/>
      </c>
      <c r="L29" s="276">
        <f>(L$7*$D$99+L$8*$E$99+L$9*$F$99+L$10*$G$99+L$11*$H$99+L$12*$I$99)*$D$80</f>
        <v/>
      </c>
      <c r="M29" s="276">
        <f>(M$7*$D$99+M$8*$E$99+M$9*$F$99+M$10*$G$99+M$11*$H$99+M$12*$I$99)*$D$80</f>
        <v/>
      </c>
      <c r="N29" s="276">
        <f>(N$7*$D$99+N$8*$E$99+N$9*$F$99+N$10*$G$99+N$11*$H$99+N$12*$I$99)*$D$80</f>
        <v/>
      </c>
      <c r="O29" s="276">
        <f>(O$7*$D$99+O$8*$E$99+O$9*$F$99+O$10*$G$99+O$11*$H$99+O$12*$I$99)*$D$80</f>
        <v/>
      </c>
      <c r="P29" s="276">
        <f>SUM(D29:G29)</f>
        <v/>
      </c>
      <c r="Q29" s="276">
        <f>SUM(H29:K29)</f>
        <v/>
      </c>
      <c r="R29" s="276">
        <f>SUM(L29:O29)</f>
        <v/>
      </c>
    </row>
    <row r="30">
      <c r="B30" s="277" t="inlineStr">
        <is>
          <t>Van / minivan — 4–6 years</t>
        </is>
      </c>
      <c r="C30" s="256" t="inlineStr">
        <is>
          <t>index</t>
        </is>
      </c>
      <c r="D30" s="276">
        <f>(D$7*$D$100+D$8*$E$100+D$9*$F$100+D$10*$G$100+D$11*$H$100+D$12*$I$100)*$D$80</f>
        <v/>
      </c>
      <c r="E30" s="276">
        <f>(E$7*$D$100+E$8*$E$100+E$9*$F$100+E$10*$G$100+E$11*$H$100+E$12*$I$100)*$D$80</f>
        <v/>
      </c>
      <c r="F30" s="276">
        <f>(F$7*$D$100+F$8*$E$100+F$9*$F$100+F$10*$G$100+F$11*$H$100+F$12*$I$100)*$D$80</f>
        <v/>
      </c>
      <c r="G30" s="276">
        <f>(G$7*$D$100+G$8*$E$100+G$9*$F$100+G$10*$G$100+G$11*$H$100+G$12*$I$100)*$D$80</f>
        <v/>
      </c>
      <c r="H30" s="276">
        <f>(H$7*$D$100+H$8*$E$100+H$9*$F$100+H$10*$G$100+H$11*$H$100+H$12*$I$100)*$D$80</f>
        <v/>
      </c>
      <c r="I30" s="276">
        <f>(I$7*$D$100+I$8*$E$100+I$9*$F$100+I$10*$G$100+I$11*$H$100+I$12*$I$100)*$D$80</f>
        <v/>
      </c>
      <c r="J30" s="276">
        <f>(J$7*$D$100+J$8*$E$100+J$9*$F$100+J$10*$G$100+J$11*$H$100+J$12*$I$100)*$D$80</f>
        <v/>
      </c>
      <c r="K30" s="276">
        <f>(K$7*$D$100+K$8*$E$100+K$9*$F$100+K$10*$G$100+K$11*$H$100+K$12*$I$100)*$D$80</f>
        <v/>
      </c>
      <c r="L30" s="276">
        <f>(L$7*$D$100+L$8*$E$100+L$9*$F$100+L$10*$G$100+L$11*$H$100+L$12*$I$100)*$D$80</f>
        <v/>
      </c>
      <c r="M30" s="276">
        <f>(M$7*$D$100+M$8*$E$100+M$9*$F$100+M$10*$G$100+M$11*$H$100+M$12*$I$100)*$D$80</f>
        <v/>
      </c>
      <c r="N30" s="276">
        <f>(N$7*$D$100+N$8*$E$100+N$9*$F$100+N$10*$G$100+N$11*$H$100+N$12*$I$100)*$D$80</f>
        <v/>
      </c>
      <c r="O30" s="276">
        <f>(O$7*$D$100+O$8*$E$100+O$9*$F$100+O$10*$G$100+O$11*$H$100+O$12*$I$100)*$D$80</f>
        <v/>
      </c>
      <c r="P30" s="276">
        <f>SUM(D30:G30)</f>
        <v/>
      </c>
      <c r="Q30" s="276">
        <f>SUM(H30:K30)</f>
        <v/>
      </c>
      <c r="R30" s="276">
        <f>SUM(L30:O30)</f>
        <v/>
      </c>
    </row>
    <row r="31">
      <c r="B31" s="277" t="inlineStr">
        <is>
          <t>Van / minivan — 7+ years</t>
        </is>
      </c>
      <c r="C31" s="256" t="inlineStr">
        <is>
          <t>index</t>
        </is>
      </c>
      <c r="D31" s="276">
        <f>(D$7*$D$101+D$8*$E$101+D$9*$F$101+D$10*$G$101+D$11*$H$101+D$12*$I$101)*$D$80</f>
        <v/>
      </c>
      <c r="E31" s="276">
        <f>(E$7*$D$101+E$8*$E$101+E$9*$F$101+E$10*$G$101+E$11*$H$101+E$12*$I$101)*$D$80</f>
        <v/>
      </c>
      <c r="F31" s="276">
        <f>(F$7*$D$101+F$8*$E$101+F$9*$F$101+F$10*$G$101+F$11*$H$101+F$12*$I$101)*$D$80</f>
        <v/>
      </c>
      <c r="G31" s="276">
        <f>(G$7*$D$101+G$8*$E$101+G$9*$F$101+G$10*$G$101+G$11*$H$101+G$12*$I$101)*$D$80</f>
        <v/>
      </c>
      <c r="H31" s="276">
        <f>(H$7*$D$101+H$8*$E$101+H$9*$F$101+H$10*$G$101+H$11*$H$101+H$12*$I$101)*$D$80</f>
        <v/>
      </c>
      <c r="I31" s="276">
        <f>(I$7*$D$101+I$8*$E$101+I$9*$F$101+I$10*$G$101+I$11*$H$101+I$12*$I$101)*$D$80</f>
        <v/>
      </c>
      <c r="J31" s="276">
        <f>(J$7*$D$101+J$8*$E$101+J$9*$F$101+J$10*$G$101+J$11*$H$101+J$12*$I$101)*$D$80</f>
        <v/>
      </c>
      <c r="K31" s="276">
        <f>(K$7*$D$101+K$8*$E$101+K$9*$F$101+K$10*$G$101+K$11*$H$101+K$12*$I$101)*$D$80</f>
        <v/>
      </c>
      <c r="L31" s="276">
        <f>(L$7*$D$101+L$8*$E$101+L$9*$F$101+L$10*$G$101+L$11*$H$101+L$12*$I$101)*$D$80</f>
        <v/>
      </c>
      <c r="M31" s="276">
        <f>(M$7*$D$101+M$8*$E$101+M$9*$F$101+M$10*$G$101+M$11*$H$101+M$12*$I$101)*$D$80</f>
        <v/>
      </c>
      <c r="N31" s="276">
        <f>(N$7*$D$101+N$8*$E$101+N$9*$F$101+N$10*$G$101+N$11*$H$101+N$12*$I$101)*$D$80</f>
        <v/>
      </c>
      <c r="O31" s="276">
        <f>(O$7*$D$101+O$8*$E$101+O$9*$F$101+O$10*$G$101+O$11*$H$101+O$12*$I$101)*$D$80</f>
        <v/>
      </c>
      <c r="P31" s="276">
        <f>SUM(D31:G31)</f>
        <v/>
      </c>
      <c r="Q31" s="276">
        <f>SUM(H31:K31)</f>
        <v/>
      </c>
      <c r="R31" s="276">
        <f>SUM(L31:O31)</f>
        <v/>
      </c>
    </row>
    <row r="32">
      <c r="B32" s="242" t="inlineStr">
        <is>
          <t>Total claims mass (× claims multiplier)</t>
        </is>
      </c>
      <c r="C32" s="256" t="inlineStr">
        <is>
          <t>index</t>
        </is>
      </c>
      <c r="D32" s="271">
        <f>SUM(D16:D31)</f>
        <v/>
      </c>
      <c r="E32" s="271">
        <f>SUM(E16:E31)</f>
        <v/>
      </c>
      <c r="F32" s="271">
        <f>SUM(F16:F31)</f>
        <v/>
      </c>
      <c r="G32" s="271">
        <f>SUM(G16:G31)</f>
        <v/>
      </c>
      <c r="H32" s="271">
        <f>SUM(H16:H31)</f>
        <v/>
      </c>
      <c r="I32" s="271">
        <f>SUM(I16:I31)</f>
        <v/>
      </c>
      <c r="J32" s="271">
        <f>SUM(J16:J31)</f>
        <v/>
      </c>
      <c r="K32" s="271">
        <f>SUM(K16:K31)</f>
        <v/>
      </c>
      <c r="L32" s="271">
        <f>SUM(L16:L31)</f>
        <v/>
      </c>
      <c r="M32" s="271">
        <f>SUM(M16:M31)</f>
        <v/>
      </c>
      <c r="N32" s="271">
        <f>SUM(N16:N31)</f>
        <v/>
      </c>
      <c r="O32" s="271">
        <f>SUM(O16:O31)</f>
        <v/>
      </c>
      <c r="P32" s="285">
        <f>SUM(D32:G32)</f>
        <v/>
      </c>
      <c r="Q32" s="285">
        <f>SUM(H32:K32)</f>
        <v/>
      </c>
      <c r="R32" s="285">
        <f>SUM(L32:O32)</f>
        <v/>
      </c>
    </row>
    <row r="33">
      <c r="B33" s="272" t="inlineStr">
        <is>
          <t xml:space="preserve">   y/y</t>
        </is>
      </c>
      <c r="C33" s="256" t="inlineStr">
        <is>
          <t>%</t>
        </is>
      </c>
      <c r="H33" s="273">
        <f>H32/D32-1</f>
        <v/>
      </c>
      <c r="I33" s="273">
        <f>I32/E32-1</f>
        <v/>
      </c>
      <c r="J33" s="273">
        <f>J32/F32-1</f>
        <v/>
      </c>
      <c r="K33" s="273">
        <f>K32/G32-1</f>
        <v/>
      </c>
      <c r="L33" s="273">
        <f>L32/H32-1</f>
        <v/>
      </c>
      <c r="M33" s="273">
        <f>M32/I32-1</f>
        <v/>
      </c>
      <c r="N33" s="273">
        <f>N32/J32-1</f>
        <v/>
      </c>
      <c r="O33" s="273">
        <f>O32/K32-1</f>
        <v/>
      </c>
      <c r="Q33" s="273">
        <f>Q32/P32-1</f>
        <v/>
      </c>
      <c r="R33" s="273">
        <f>R32/Q32-1</f>
        <v/>
      </c>
    </row>
    <row r="34"/>
    <row r="35">
      <c r="B35" s="254" t="inlineStr">
        <is>
          <t>C. Total-loss frequency by cell: CCC 2025 calibrated level (D Engine), held flat; the thesis-B shift is applied in Scenarios so it is never counted twice</t>
        </is>
      </c>
      <c r="C35" s="274" t="n"/>
      <c r="D35" s="274" t="n"/>
      <c r="E35" s="274" t="n"/>
      <c r="F35" s="274" t="n"/>
      <c r="G35" s="274" t="n"/>
      <c r="H35" s="274" t="n"/>
      <c r="I35" s="274" t="n"/>
      <c r="J35" s="274" t="n"/>
      <c r="K35" s="274" t="n"/>
      <c r="L35" s="274" t="n"/>
      <c r="M35" s="274" t="n"/>
      <c r="N35" s="274" t="n"/>
      <c r="O35" s="274" t="n"/>
      <c r="P35" s="274" t="n"/>
      <c r="Q35" s="274" t="n"/>
      <c r="R35" s="274" t="n"/>
      <c r="S35" s="274" t="n"/>
    </row>
    <row r="36">
      <c r="B36" s="238" t="inlineStr">
        <is>
          <t>Car — 0 (current or newer)</t>
        </is>
      </c>
      <c r="C36" s="256" t="inlineStr">
        <is>
          <t>%</t>
        </is>
      </c>
      <c r="D36" s="278">
        <f>SUMIFS('D Engine'!$F$129:$F$144,'D Engine'!$B$129:$B$144,"Car",'D Engine'!$C$129:$C$144,0)</f>
        <v/>
      </c>
      <c r="E36" s="278">
        <f>SUMIFS('D Engine'!$F$129:$F$144,'D Engine'!$B$129:$B$144,"Car",'D Engine'!$C$129:$C$144,0)</f>
        <v/>
      </c>
      <c r="F36" s="278">
        <f>SUMIFS('D Engine'!$F$129:$F$144,'D Engine'!$B$129:$B$144,"Car",'D Engine'!$C$129:$C$144,0)</f>
        <v/>
      </c>
      <c r="G36" s="278">
        <f>SUMIFS('D Engine'!$F$129:$F$144,'D Engine'!$B$129:$B$144,"Car",'D Engine'!$C$129:$C$144,0)</f>
        <v/>
      </c>
      <c r="H36" s="278">
        <f>SUMIFS('D Engine'!$F$129:$F$144,'D Engine'!$B$129:$B$144,"Car",'D Engine'!$C$129:$C$144,0)</f>
        <v/>
      </c>
      <c r="I36" s="278">
        <f>SUMIFS('D Engine'!$F$129:$F$144,'D Engine'!$B$129:$B$144,"Car",'D Engine'!$C$129:$C$144,0)</f>
        <v/>
      </c>
      <c r="J36" s="278">
        <f>SUMIFS('D Engine'!$F$129:$F$144,'D Engine'!$B$129:$B$144,"Car",'D Engine'!$C$129:$C$144,0)</f>
        <v/>
      </c>
      <c r="K36" s="278">
        <f>SUMIFS('D Engine'!$F$129:$F$144,'D Engine'!$B$129:$B$144,"Car",'D Engine'!$C$129:$C$144,0)</f>
        <v/>
      </c>
      <c r="L36" s="278">
        <f>SUMIFS('D Engine'!$F$129:$F$144,'D Engine'!$B$129:$B$144,"Car",'D Engine'!$C$129:$C$144,0)</f>
        <v/>
      </c>
      <c r="M36" s="278">
        <f>SUMIFS('D Engine'!$F$129:$F$144,'D Engine'!$B$129:$B$144,"Car",'D Engine'!$C$129:$C$144,0)</f>
        <v/>
      </c>
      <c r="N36" s="278">
        <f>SUMIFS('D Engine'!$F$129:$F$144,'D Engine'!$B$129:$B$144,"Car",'D Engine'!$C$129:$C$144,0)</f>
        <v/>
      </c>
      <c r="O36" s="278">
        <f>SUMIFS('D Engine'!$F$129:$F$144,'D Engine'!$B$129:$B$144,"Car",'D Engine'!$C$129:$C$144,0)</f>
        <v/>
      </c>
      <c r="S36" s="234" t="inlineStr">
        <is>
          <t>D Engine calibration cells: calibrated_tlf (CALIBRATED to the 2025 CCC cell, VERIFIED source)</t>
        </is>
      </c>
    </row>
    <row r="37">
      <c r="B37" s="277" t="inlineStr">
        <is>
          <t>Car — 1–3 years</t>
        </is>
      </c>
      <c r="C37" s="256" t="inlineStr">
        <is>
          <t>%</t>
        </is>
      </c>
      <c r="D37" s="278">
        <f>SUMIFS('D Engine'!$F$129:$F$144,'D Engine'!$B$129:$B$144,"Car",'D Engine'!$C$129:$C$144,1)</f>
        <v/>
      </c>
      <c r="E37" s="278">
        <f>SUMIFS('D Engine'!$F$129:$F$144,'D Engine'!$B$129:$B$144,"Car",'D Engine'!$C$129:$C$144,1)</f>
        <v/>
      </c>
      <c r="F37" s="278">
        <f>SUMIFS('D Engine'!$F$129:$F$144,'D Engine'!$B$129:$B$144,"Car",'D Engine'!$C$129:$C$144,1)</f>
        <v/>
      </c>
      <c r="G37" s="278">
        <f>SUMIFS('D Engine'!$F$129:$F$144,'D Engine'!$B$129:$B$144,"Car",'D Engine'!$C$129:$C$144,1)</f>
        <v/>
      </c>
      <c r="H37" s="278">
        <f>SUMIFS('D Engine'!$F$129:$F$144,'D Engine'!$B$129:$B$144,"Car",'D Engine'!$C$129:$C$144,1)</f>
        <v/>
      </c>
      <c r="I37" s="278">
        <f>SUMIFS('D Engine'!$F$129:$F$144,'D Engine'!$B$129:$B$144,"Car",'D Engine'!$C$129:$C$144,1)</f>
        <v/>
      </c>
      <c r="J37" s="278">
        <f>SUMIFS('D Engine'!$F$129:$F$144,'D Engine'!$B$129:$B$144,"Car",'D Engine'!$C$129:$C$144,1)</f>
        <v/>
      </c>
      <c r="K37" s="278">
        <f>SUMIFS('D Engine'!$F$129:$F$144,'D Engine'!$B$129:$B$144,"Car",'D Engine'!$C$129:$C$144,1)</f>
        <v/>
      </c>
      <c r="L37" s="278">
        <f>SUMIFS('D Engine'!$F$129:$F$144,'D Engine'!$B$129:$B$144,"Car",'D Engine'!$C$129:$C$144,1)</f>
        <v/>
      </c>
      <c r="M37" s="278">
        <f>SUMIFS('D Engine'!$F$129:$F$144,'D Engine'!$B$129:$B$144,"Car",'D Engine'!$C$129:$C$144,1)</f>
        <v/>
      </c>
      <c r="N37" s="278">
        <f>SUMIFS('D Engine'!$F$129:$F$144,'D Engine'!$B$129:$B$144,"Car",'D Engine'!$C$129:$C$144,1)</f>
        <v/>
      </c>
      <c r="O37" s="278">
        <f>SUMIFS('D Engine'!$F$129:$F$144,'D Engine'!$B$129:$B$144,"Car",'D Engine'!$C$129:$C$144,1)</f>
        <v/>
      </c>
    </row>
    <row r="38">
      <c r="B38" s="277" t="inlineStr">
        <is>
          <t>Car — 4–6 years</t>
        </is>
      </c>
      <c r="C38" s="256" t="inlineStr">
        <is>
          <t>%</t>
        </is>
      </c>
      <c r="D38" s="278">
        <f>SUMIFS('D Engine'!$F$129:$F$144,'D Engine'!$B$129:$B$144,"Car",'D Engine'!$C$129:$C$144,2)</f>
        <v/>
      </c>
      <c r="E38" s="278">
        <f>SUMIFS('D Engine'!$F$129:$F$144,'D Engine'!$B$129:$B$144,"Car",'D Engine'!$C$129:$C$144,2)</f>
        <v/>
      </c>
      <c r="F38" s="278">
        <f>SUMIFS('D Engine'!$F$129:$F$144,'D Engine'!$B$129:$B$144,"Car",'D Engine'!$C$129:$C$144,2)</f>
        <v/>
      </c>
      <c r="G38" s="278">
        <f>SUMIFS('D Engine'!$F$129:$F$144,'D Engine'!$B$129:$B$144,"Car",'D Engine'!$C$129:$C$144,2)</f>
        <v/>
      </c>
      <c r="H38" s="278">
        <f>SUMIFS('D Engine'!$F$129:$F$144,'D Engine'!$B$129:$B$144,"Car",'D Engine'!$C$129:$C$144,2)</f>
        <v/>
      </c>
      <c r="I38" s="278">
        <f>SUMIFS('D Engine'!$F$129:$F$144,'D Engine'!$B$129:$B$144,"Car",'D Engine'!$C$129:$C$144,2)</f>
        <v/>
      </c>
      <c r="J38" s="278">
        <f>SUMIFS('D Engine'!$F$129:$F$144,'D Engine'!$B$129:$B$144,"Car",'D Engine'!$C$129:$C$144,2)</f>
        <v/>
      </c>
      <c r="K38" s="278">
        <f>SUMIFS('D Engine'!$F$129:$F$144,'D Engine'!$B$129:$B$144,"Car",'D Engine'!$C$129:$C$144,2)</f>
        <v/>
      </c>
      <c r="L38" s="278">
        <f>SUMIFS('D Engine'!$F$129:$F$144,'D Engine'!$B$129:$B$144,"Car",'D Engine'!$C$129:$C$144,2)</f>
        <v/>
      </c>
      <c r="M38" s="278">
        <f>SUMIFS('D Engine'!$F$129:$F$144,'D Engine'!$B$129:$B$144,"Car",'D Engine'!$C$129:$C$144,2)</f>
        <v/>
      </c>
      <c r="N38" s="278">
        <f>SUMIFS('D Engine'!$F$129:$F$144,'D Engine'!$B$129:$B$144,"Car",'D Engine'!$C$129:$C$144,2)</f>
        <v/>
      </c>
      <c r="O38" s="278">
        <f>SUMIFS('D Engine'!$F$129:$F$144,'D Engine'!$B$129:$B$144,"Car",'D Engine'!$C$129:$C$144,2)</f>
        <v/>
      </c>
    </row>
    <row r="39">
      <c r="B39" s="277" t="inlineStr">
        <is>
          <t>Car — 7+ years</t>
        </is>
      </c>
      <c r="C39" s="256" t="inlineStr">
        <is>
          <t>%</t>
        </is>
      </c>
      <c r="D39" s="278">
        <f>SUMIFS('D Engine'!$F$129:$F$144,'D Engine'!$B$129:$B$144,"Car",'D Engine'!$C$129:$C$144,3)</f>
        <v/>
      </c>
      <c r="E39" s="278">
        <f>SUMIFS('D Engine'!$F$129:$F$144,'D Engine'!$B$129:$B$144,"Car",'D Engine'!$C$129:$C$144,3)</f>
        <v/>
      </c>
      <c r="F39" s="278">
        <f>SUMIFS('D Engine'!$F$129:$F$144,'D Engine'!$B$129:$B$144,"Car",'D Engine'!$C$129:$C$144,3)</f>
        <v/>
      </c>
      <c r="G39" s="278">
        <f>SUMIFS('D Engine'!$F$129:$F$144,'D Engine'!$B$129:$B$144,"Car",'D Engine'!$C$129:$C$144,3)</f>
        <v/>
      </c>
      <c r="H39" s="278">
        <f>SUMIFS('D Engine'!$F$129:$F$144,'D Engine'!$B$129:$B$144,"Car",'D Engine'!$C$129:$C$144,3)</f>
        <v/>
      </c>
      <c r="I39" s="278">
        <f>SUMIFS('D Engine'!$F$129:$F$144,'D Engine'!$B$129:$B$144,"Car",'D Engine'!$C$129:$C$144,3)</f>
        <v/>
      </c>
      <c r="J39" s="278">
        <f>SUMIFS('D Engine'!$F$129:$F$144,'D Engine'!$B$129:$B$144,"Car",'D Engine'!$C$129:$C$144,3)</f>
        <v/>
      </c>
      <c r="K39" s="278">
        <f>SUMIFS('D Engine'!$F$129:$F$144,'D Engine'!$B$129:$B$144,"Car",'D Engine'!$C$129:$C$144,3)</f>
        <v/>
      </c>
      <c r="L39" s="278">
        <f>SUMIFS('D Engine'!$F$129:$F$144,'D Engine'!$B$129:$B$144,"Car",'D Engine'!$C$129:$C$144,3)</f>
        <v/>
      </c>
      <c r="M39" s="278">
        <f>SUMIFS('D Engine'!$F$129:$F$144,'D Engine'!$B$129:$B$144,"Car",'D Engine'!$C$129:$C$144,3)</f>
        <v/>
      </c>
      <c r="N39" s="278">
        <f>SUMIFS('D Engine'!$F$129:$F$144,'D Engine'!$B$129:$B$144,"Car",'D Engine'!$C$129:$C$144,3)</f>
        <v/>
      </c>
      <c r="O39" s="278">
        <f>SUMIFS('D Engine'!$F$129:$F$144,'D Engine'!$B$129:$B$144,"Car",'D Engine'!$C$129:$C$144,3)</f>
        <v/>
      </c>
    </row>
    <row r="40">
      <c r="B40" s="238" t="inlineStr">
        <is>
          <t>Utility vehicle (SUV) — 0 (current or newer)</t>
        </is>
      </c>
      <c r="C40" s="256" t="inlineStr">
        <is>
          <t>%</t>
        </is>
      </c>
      <c r="D40" s="278">
        <f>SUMIFS('D Engine'!$F$129:$F$144,'D Engine'!$B$129:$B$144,"Utility Vehicle",'D Engine'!$C$129:$C$144,0)</f>
        <v/>
      </c>
      <c r="E40" s="278">
        <f>SUMIFS('D Engine'!$F$129:$F$144,'D Engine'!$B$129:$B$144,"Utility Vehicle",'D Engine'!$C$129:$C$144,0)</f>
        <v/>
      </c>
      <c r="F40" s="278">
        <f>SUMIFS('D Engine'!$F$129:$F$144,'D Engine'!$B$129:$B$144,"Utility Vehicle",'D Engine'!$C$129:$C$144,0)</f>
        <v/>
      </c>
      <c r="G40" s="278">
        <f>SUMIFS('D Engine'!$F$129:$F$144,'D Engine'!$B$129:$B$144,"Utility Vehicle",'D Engine'!$C$129:$C$144,0)</f>
        <v/>
      </c>
      <c r="H40" s="278">
        <f>SUMIFS('D Engine'!$F$129:$F$144,'D Engine'!$B$129:$B$144,"Utility Vehicle",'D Engine'!$C$129:$C$144,0)</f>
        <v/>
      </c>
      <c r="I40" s="278">
        <f>SUMIFS('D Engine'!$F$129:$F$144,'D Engine'!$B$129:$B$144,"Utility Vehicle",'D Engine'!$C$129:$C$144,0)</f>
        <v/>
      </c>
      <c r="J40" s="278">
        <f>SUMIFS('D Engine'!$F$129:$F$144,'D Engine'!$B$129:$B$144,"Utility Vehicle",'D Engine'!$C$129:$C$144,0)</f>
        <v/>
      </c>
      <c r="K40" s="278">
        <f>SUMIFS('D Engine'!$F$129:$F$144,'D Engine'!$B$129:$B$144,"Utility Vehicle",'D Engine'!$C$129:$C$144,0)</f>
        <v/>
      </c>
      <c r="L40" s="278">
        <f>SUMIFS('D Engine'!$F$129:$F$144,'D Engine'!$B$129:$B$144,"Utility Vehicle",'D Engine'!$C$129:$C$144,0)</f>
        <v/>
      </c>
      <c r="M40" s="278">
        <f>SUMIFS('D Engine'!$F$129:$F$144,'D Engine'!$B$129:$B$144,"Utility Vehicle",'D Engine'!$C$129:$C$144,0)</f>
        <v/>
      </c>
      <c r="N40" s="278">
        <f>SUMIFS('D Engine'!$F$129:$F$144,'D Engine'!$B$129:$B$144,"Utility Vehicle",'D Engine'!$C$129:$C$144,0)</f>
        <v/>
      </c>
      <c r="O40" s="278">
        <f>SUMIFS('D Engine'!$F$129:$F$144,'D Engine'!$B$129:$B$144,"Utility Vehicle",'D Engine'!$C$129:$C$144,0)</f>
        <v/>
      </c>
    </row>
    <row r="41">
      <c r="B41" s="277" t="inlineStr">
        <is>
          <t>Utility vehicle (SUV) — 1–3 years</t>
        </is>
      </c>
      <c r="C41" s="256" t="inlineStr">
        <is>
          <t>%</t>
        </is>
      </c>
      <c r="D41" s="278">
        <f>SUMIFS('D Engine'!$F$129:$F$144,'D Engine'!$B$129:$B$144,"Utility Vehicle",'D Engine'!$C$129:$C$144,1)</f>
        <v/>
      </c>
      <c r="E41" s="278">
        <f>SUMIFS('D Engine'!$F$129:$F$144,'D Engine'!$B$129:$B$144,"Utility Vehicle",'D Engine'!$C$129:$C$144,1)</f>
        <v/>
      </c>
      <c r="F41" s="278">
        <f>SUMIFS('D Engine'!$F$129:$F$144,'D Engine'!$B$129:$B$144,"Utility Vehicle",'D Engine'!$C$129:$C$144,1)</f>
        <v/>
      </c>
      <c r="G41" s="278">
        <f>SUMIFS('D Engine'!$F$129:$F$144,'D Engine'!$B$129:$B$144,"Utility Vehicle",'D Engine'!$C$129:$C$144,1)</f>
        <v/>
      </c>
      <c r="H41" s="278">
        <f>SUMIFS('D Engine'!$F$129:$F$144,'D Engine'!$B$129:$B$144,"Utility Vehicle",'D Engine'!$C$129:$C$144,1)</f>
        <v/>
      </c>
      <c r="I41" s="278">
        <f>SUMIFS('D Engine'!$F$129:$F$144,'D Engine'!$B$129:$B$144,"Utility Vehicle",'D Engine'!$C$129:$C$144,1)</f>
        <v/>
      </c>
      <c r="J41" s="278">
        <f>SUMIFS('D Engine'!$F$129:$F$144,'D Engine'!$B$129:$B$144,"Utility Vehicle",'D Engine'!$C$129:$C$144,1)</f>
        <v/>
      </c>
      <c r="K41" s="278">
        <f>SUMIFS('D Engine'!$F$129:$F$144,'D Engine'!$B$129:$B$144,"Utility Vehicle",'D Engine'!$C$129:$C$144,1)</f>
        <v/>
      </c>
      <c r="L41" s="278">
        <f>SUMIFS('D Engine'!$F$129:$F$144,'D Engine'!$B$129:$B$144,"Utility Vehicle",'D Engine'!$C$129:$C$144,1)</f>
        <v/>
      </c>
      <c r="M41" s="278">
        <f>SUMIFS('D Engine'!$F$129:$F$144,'D Engine'!$B$129:$B$144,"Utility Vehicle",'D Engine'!$C$129:$C$144,1)</f>
        <v/>
      </c>
      <c r="N41" s="278">
        <f>SUMIFS('D Engine'!$F$129:$F$144,'D Engine'!$B$129:$B$144,"Utility Vehicle",'D Engine'!$C$129:$C$144,1)</f>
        <v/>
      </c>
      <c r="O41" s="278">
        <f>SUMIFS('D Engine'!$F$129:$F$144,'D Engine'!$B$129:$B$144,"Utility Vehicle",'D Engine'!$C$129:$C$144,1)</f>
        <v/>
      </c>
    </row>
    <row r="42">
      <c r="B42" s="277" t="inlineStr">
        <is>
          <t>Utility vehicle (SUV) — 4–6 years</t>
        </is>
      </c>
      <c r="C42" s="256" t="inlineStr">
        <is>
          <t>%</t>
        </is>
      </c>
      <c r="D42" s="278">
        <f>SUMIFS('D Engine'!$F$129:$F$144,'D Engine'!$B$129:$B$144,"Utility Vehicle",'D Engine'!$C$129:$C$144,2)</f>
        <v/>
      </c>
      <c r="E42" s="278">
        <f>SUMIFS('D Engine'!$F$129:$F$144,'D Engine'!$B$129:$B$144,"Utility Vehicle",'D Engine'!$C$129:$C$144,2)</f>
        <v/>
      </c>
      <c r="F42" s="278">
        <f>SUMIFS('D Engine'!$F$129:$F$144,'D Engine'!$B$129:$B$144,"Utility Vehicle",'D Engine'!$C$129:$C$144,2)</f>
        <v/>
      </c>
      <c r="G42" s="278">
        <f>SUMIFS('D Engine'!$F$129:$F$144,'D Engine'!$B$129:$B$144,"Utility Vehicle",'D Engine'!$C$129:$C$144,2)</f>
        <v/>
      </c>
      <c r="H42" s="278">
        <f>SUMIFS('D Engine'!$F$129:$F$144,'D Engine'!$B$129:$B$144,"Utility Vehicle",'D Engine'!$C$129:$C$144,2)</f>
        <v/>
      </c>
      <c r="I42" s="278">
        <f>SUMIFS('D Engine'!$F$129:$F$144,'D Engine'!$B$129:$B$144,"Utility Vehicle",'D Engine'!$C$129:$C$144,2)</f>
        <v/>
      </c>
      <c r="J42" s="278">
        <f>SUMIFS('D Engine'!$F$129:$F$144,'D Engine'!$B$129:$B$144,"Utility Vehicle",'D Engine'!$C$129:$C$144,2)</f>
        <v/>
      </c>
      <c r="K42" s="278">
        <f>SUMIFS('D Engine'!$F$129:$F$144,'D Engine'!$B$129:$B$144,"Utility Vehicle",'D Engine'!$C$129:$C$144,2)</f>
        <v/>
      </c>
      <c r="L42" s="278">
        <f>SUMIFS('D Engine'!$F$129:$F$144,'D Engine'!$B$129:$B$144,"Utility Vehicle",'D Engine'!$C$129:$C$144,2)</f>
        <v/>
      </c>
      <c r="M42" s="278">
        <f>SUMIFS('D Engine'!$F$129:$F$144,'D Engine'!$B$129:$B$144,"Utility Vehicle",'D Engine'!$C$129:$C$144,2)</f>
        <v/>
      </c>
      <c r="N42" s="278">
        <f>SUMIFS('D Engine'!$F$129:$F$144,'D Engine'!$B$129:$B$144,"Utility Vehicle",'D Engine'!$C$129:$C$144,2)</f>
        <v/>
      </c>
      <c r="O42" s="278">
        <f>SUMIFS('D Engine'!$F$129:$F$144,'D Engine'!$B$129:$B$144,"Utility Vehicle",'D Engine'!$C$129:$C$144,2)</f>
        <v/>
      </c>
    </row>
    <row r="43">
      <c r="B43" s="277" t="inlineStr">
        <is>
          <t>Utility vehicle (SUV) — 7+ years</t>
        </is>
      </c>
      <c r="C43" s="256" t="inlineStr">
        <is>
          <t>%</t>
        </is>
      </c>
      <c r="D43" s="278">
        <f>SUMIFS('D Engine'!$F$129:$F$144,'D Engine'!$B$129:$B$144,"Utility Vehicle",'D Engine'!$C$129:$C$144,3)</f>
        <v/>
      </c>
      <c r="E43" s="278">
        <f>SUMIFS('D Engine'!$F$129:$F$144,'D Engine'!$B$129:$B$144,"Utility Vehicle",'D Engine'!$C$129:$C$144,3)</f>
        <v/>
      </c>
      <c r="F43" s="278">
        <f>SUMIFS('D Engine'!$F$129:$F$144,'D Engine'!$B$129:$B$144,"Utility Vehicle",'D Engine'!$C$129:$C$144,3)</f>
        <v/>
      </c>
      <c r="G43" s="278">
        <f>SUMIFS('D Engine'!$F$129:$F$144,'D Engine'!$B$129:$B$144,"Utility Vehicle",'D Engine'!$C$129:$C$144,3)</f>
        <v/>
      </c>
      <c r="H43" s="278">
        <f>SUMIFS('D Engine'!$F$129:$F$144,'D Engine'!$B$129:$B$144,"Utility Vehicle",'D Engine'!$C$129:$C$144,3)</f>
        <v/>
      </c>
      <c r="I43" s="278">
        <f>SUMIFS('D Engine'!$F$129:$F$144,'D Engine'!$B$129:$B$144,"Utility Vehicle",'D Engine'!$C$129:$C$144,3)</f>
        <v/>
      </c>
      <c r="J43" s="278">
        <f>SUMIFS('D Engine'!$F$129:$F$144,'D Engine'!$B$129:$B$144,"Utility Vehicle",'D Engine'!$C$129:$C$144,3)</f>
        <v/>
      </c>
      <c r="K43" s="278">
        <f>SUMIFS('D Engine'!$F$129:$F$144,'D Engine'!$B$129:$B$144,"Utility Vehicle",'D Engine'!$C$129:$C$144,3)</f>
        <v/>
      </c>
      <c r="L43" s="278">
        <f>SUMIFS('D Engine'!$F$129:$F$144,'D Engine'!$B$129:$B$144,"Utility Vehicle",'D Engine'!$C$129:$C$144,3)</f>
        <v/>
      </c>
      <c r="M43" s="278">
        <f>SUMIFS('D Engine'!$F$129:$F$144,'D Engine'!$B$129:$B$144,"Utility Vehicle",'D Engine'!$C$129:$C$144,3)</f>
        <v/>
      </c>
      <c r="N43" s="278">
        <f>SUMIFS('D Engine'!$F$129:$F$144,'D Engine'!$B$129:$B$144,"Utility Vehicle",'D Engine'!$C$129:$C$144,3)</f>
        <v/>
      </c>
      <c r="O43" s="278">
        <f>SUMIFS('D Engine'!$F$129:$F$144,'D Engine'!$B$129:$B$144,"Utility Vehicle",'D Engine'!$C$129:$C$144,3)</f>
        <v/>
      </c>
    </row>
    <row r="44">
      <c r="B44" s="238" t="inlineStr">
        <is>
          <t>Pickup — 0 (current or newer)</t>
        </is>
      </c>
      <c r="C44" s="256" t="inlineStr">
        <is>
          <t>%</t>
        </is>
      </c>
      <c r="D44" s="278">
        <f>SUMIFS('D Engine'!$F$129:$F$144,'D Engine'!$B$129:$B$144,"Pickup",'D Engine'!$C$129:$C$144,0)</f>
        <v/>
      </c>
      <c r="E44" s="278">
        <f>SUMIFS('D Engine'!$F$129:$F$144,'D Engine'!$B$129:$B$144,"Pickup",'D Engine'!$C$129:$C$144,0)</f>
        <v/>
      </c>
      <c r="F44" s="278">
        <f>SUMIFS('D Engine'!$F$129:$F$144,'D Engine'!$B$129:$B$144,"Pickup",'D Engine'!$C$129:$C$144,0)</f>
        <v/>
      </c>
      <c r="G44" s="278">
        <f>SUMIFS('D Engine'!$F$129:$F$144,'D Engine'!$B$129:$B$144,"Pickup",'D Engine'!$C$129:$C$144,0)</f>
        <v/>
      </c>
      <c r="H44" s="278">
        <f>SUMIFS('D Engine'!$F$129:$F$144,'D Engine'!$B$129:$B$144,"Pickup",'D Engine'!$C$129:$C$144,0)</f>
        <v/>
      </c>
      <c r="I44" s="278">
        <f>SUMIFS('D Engine'!$F$129:$F$144,'D Engine'!$B$129:$B$144,"Pickup",'D Engine'!$C$129:$C$144,0)</f>
        <v/>
      </c>
      <c r="J44" s="278">
        <f>SUMIFS('D Engine'!$F$129:$F$144,'D Engine'!$B$129:$B$144,"Pickup",'D Engine'!$C$129:$C$144,0)</f>
        <v/>
      </c>
      <c r="K44" s="278">
        <f>SUMIFS('D Engine'!$F$129:$F$144,'D Engine'!$B$129:$B$144,"Pickup",'D Engine'!$C$129:$C$144,0)</f>
        <v/>
      </c>
      <c r="L44" s="278">
        <f>SUMIFS('D Engine'!$F$129:$F$144,'D Engine'!$B$129:$B$144,"Pickup",'D Engine'!$C$129:$C$144,0)</f>
        <v/>
      </c>
      <c r="M44" s="278">
        <f>SUMIFS('D Engine'!$F$129:$F$144,'D Engine'!$B$129:$B$144,"Pickup",'D Engine'!$C$129:$C$144,0)</f>
        <v/>
      </c>
      <c r="N44" s="278">
        <f>SUMIFS('D Engine'!$F$129:$F$144,'D Engine'!$B$129:$B$144,"Pickup",'D Engine'!$C$129:$C$144,0)</f>
        <v/>
      </c>
      <c r="O44" s="278">
        <f>SUMIFS('D Engine'!$F$129:$F$144,'D Engine'!$B$129:$B$144,"Pickup",'D Engine'!$C$129:$C$144,0)</f>
        <v/>
      </c>
    </row>
    <row r="45">
      <c r="B45" s="277" t="inlineStr">
        <is>
          <t>Pickup — 1–3 years</t>
        </is>
      </c>
      <c r="C45" s="256" t="inlineStr">
        <is>
          <t>%</t>
        </is>
      </c>
      <c r="D45" s="278">
        <f>SUMIFS('D Engine'!$F$129:$F$144,'D Engine'!$B$129:$B$144,"Pickup",'D Engine'!$C$129:$C$144,1)</f>
        <v/>
      </c>
      <c r="E45" s="278">
        <f>SUMIFS('D Engine'!$F$129:$F$144,'D Engine'!$B$129:$B$144,"Pickup",'D Engine'!$C$129:$C$144,1)</f>
        <v/>
      </c>
      <c r="F45" s="278">
        <f>SUMIFS('D Engine'!$F$129:$F$144,'D Engine'!$B$129:$B$144,"Pickup",'D Engine'!$C$129:$C$144,1)</f>
        <v/>
      </c>
      <c r="G45" s="278">
        <f>SUMIFS('D Engine'!$F$129:$F$144,'D Engine'!$B$129:$B$144,"Pickup",'D Engine'!$C$129:$C$144,1)</f>
        <v/>
      </c>
      <c r="H45" s="278">
        <f>SUMIFS('D Engine'!$F$129:$F$144,'D Engine'!$B$129:$B$144,"Pickup",'D Engine'!$C$129:$C$144,1)</f>
        <v/>
      </c>
      <c r="I45" s="278">
        <f>SUMIFS('D Engine'!$F$129:$F$144,'D Engine'!$B$129:$B$144,"Pickup",'D Engine'!$C$129:$C$144,1)</f>
        <v/>
      </c>
      <c r="J45" s="278">
        <f>SUMIFS('D Engine'!$F$129:$F$144,'D Engine'!$B$129:$B$144,"Pickup",'D Engine'!$C$129:$C$144,1)</f>
        <v/>
      </c>
      <c r="K45" s="278">
        <f>SUMIFS('D Engine'!$F$129:$F$144,'D Engine'!$B$129:$B$144,"Pickup",'D Engine'!$C$129:$C$144,1)</f>
        <v/>
      </c>
      <c r="L45" s="278">
        <f>SUMIFS('D Engine'!$F$129:$F$144,'D Engine'!$B$129:$B$144,"Pickup",'D Engine'!$C$129:$C$144,1)</f>
        <v/>
      </c>
      <c r="M45" s="278">
        <f>SUMIFS('D Engine'!$F$129:$F$144,'D Engine'!$B$129:$B$144,"Pickup",'D Engine'!$C$129:$C$144,1)</f>
        <v/>
      </c>
      <c r="N45" s="278">
        <f>SUMIFS('D Engine'!$F$129:$F$144,'D Engine'!$B$129:$B$144,"Pickup",'D Engine'!$C$129:$C$144,1)</f>
        <v/>
      </c>
      <c r="O45" s="278">
        <f>SUMIFS('D Engine'!$F$129:$F$144,'D Engine'!$B$129:$B$144,"Pickup",'D Engine'!$C$129:$C$144,1)</f>
        <v/>
      </c>
    </row>
    <row r="46">
      <c r="B46" s="277" t="inlineStr">
        <is>
          <t>Pickup — 4–6 years</t>
        </is>
      </c>
      <c r="C46" s="256" t="inlineStr">
        <is>
          <t>%</t>
        </is>
      </c>
      <c r="D46" s="278">
        <f>SUMIFS('D Engine'!$F$129:$F$144,'D Engine'!$B$129:$B$144,"Pickup",'D Engine'!$C$129:$C$144,2)</f>
        <v/>
      </c>
      <c r="E46" s="278">
        <f>SUMIFS('D Engine'!$F$129:$F$144,'D Engine'!$B$129:$B$144,"Pickup",'D Engine'!$C$129:$C$144,2)</f>
        <v/>
      </c>
      <c r="F46" s="278">
        <f>SUMIFS('D Engine'!$F$129:$F$144,'D Engine'!$B$129:$B$144,"Pickup",'D Engine'!$C$129:$C$144,2)</f>
        <v/>
      </c>
      <c r="G46" s="278">
        <f>SUMIFS('D Engine'!$F$129:$F$144,'D Engine'!$B$129:$B$144,"Pickup",'D Engine'!$C$129:$C$144,2)</f>
        <v/>
      </c>
      <c r="H46" s="278">
        <f>SUMIFS('D Engine'!$F$129:$F$144,'D Engine'!$B$129:$B$144,"Pickup",'D Engine'!$C$129:$C$144,2)</f>
        <v/>
      </c>
      <c r="I46" s="278">
        <f>SUMIFS('D Engine'!$F$129:$F$144,'D Engine'!$B$129:$B$144,"Pickup",'D Engine'!$C$129:$C$144,2)</f>
        <v/>
      </c>
      <c r="J46" s="278">
        <f>SUMIFS('D Engine'!$F$129:$F$144,'D Engine'!$B$129:$B$144,"Pickup",'D Engine'!$C$129:$C$144,2)</f>
        <v/>
      </c>
      <c r="K46" s="278">
        <f>SUMIFS('D Engine'!$F$129:$F$144,'D Engine'!$B$129:$B$144,"Pickup",'D Engine'!$C$129:$C$144,2)</f>
        <v/>
      </c>
      <c r="L46" s="278">
        <f>SUMIFS('D Engine'!$F$129:$F$144,'D Engine'!$B$129:$B$144,"Pickup",'D Engine'!$C$129:$C$144,2)</f>
        <v/>
      </c>
      <c r="M46" s="278">
        <f>SUMIFS('D Engine'!$F$129:$F$144,'D Engine'!$B$129:$B$144,"Pickup",'D Engine'!$C$129:$C$144,2)</f>
        <v/>
      </c>
      <c r="N46" s="278">
        <f>SUMIFS('D Engine'!$F$129:$F$144,'D Engine'!$B$129:$B$144,"Pickup",'D Engine'!$C$129:$C$144,2)</f>
        <v/>
      </c>
      <c r="O46" s="278">
        <f>SUMIFS('D Engine'!$F$129:$F$144,'D Engine'!$B$129:$B$144,"Pickup",'D Engine'!$C$129:$C$144,2)</f>
        <v/>
      </c>
    </row>
    <row r="47">
      <c r="B47" s="277" t="inlineStr">
        <is>
          <t>Pickup — 7+ years</t>
        </is>
      </c>
      <c r="C47" s="256" t="inlineStr">
        <is>
          <t>%</t>
        </is>
      </c>
      <c r="D47" s="278">
        <f>SUMIFS('D Engine'!$F$129:$F$144,'D Engine'!$B$129:$B$144,"Pickup",'D Engine'!$C$129:$C$144,3)</f>
        <v/>
      </c>
      <c r="E47" s="278">
        <f>SUMIFS('D Engine'!$F$129:$F$144,'D Engine'!$B$129:$B$144,"Pickup",'D Engine'!$C$129:$C$144,3)</f>
        <v/>
      </c>
      <c r="F47" s="278">
        <f>SUMIFS('D Engine'!$F$129:$F$144,'D Engine'!$B$129:$B$144,"Pickup",'D Engine'!$C$129:$C$144,3)</f>
        <v/>
      </c>
      <c r="G47" s="278">
        <f>SUMIFS('D Engine'!$F$129:$F$144,'D Engine'!$B$129:$B$144,"Pickup",'D Engine'!$C$129:$C$144,3)</f>
        <v/>
      </c>
      <c r="H47" s="278">
        <f>SUMIFS('D Engine'!$F$129:$F$144,'D Engine'!$B$129:$B$144,"Pickup",'D Engine'!$C$129:$C$144,3)</f>
        <v/>
      </c>
      <c r="I47" s="278">
        <f>SUMIFS('D Engine'!$F$129:$F$144,'D Engine'!$B$129:$B$144,"Pickup",'D Engine'!$C$129:$C$144,3)</f>
        <v/>
      </c>
      <c r="J47" s="278">
        <f>SUMIFS('D Engine'!$F$129:$F$144,'D Engine'!$B$129:$B$144,"Pickup",'D Engine'!$C$129:$C$144,3)</f>
        <v/>
      </c>
      <c r="K47" s="278">
        <f>SUMIFS('D Engine'!$F$129:$F$144,'D Engine'!$B$129:$B$144,"Pickup",'D Engine'!$C$129:$C$144,3)</f>
        <v/>
      </c>
      <c r="L47" s="278">
        <f>SUMIFS('D Engine'!$F$129:$F$144,'D Engine'!$B$129:$B$144,"Pickup",'D Engine'!$C$129:$C$144,3)</f>
        <v/>
      </c>
      <c r="M47" s="278">
        <f>SUMIFS('D Engine'!$F$129:$F$144,'D Engine'!$B$129:$B$144,"Pickup",'D Engine'!$C$129:$C$144,3)</f>
        <v/>
      </c>
      <c r="N47" s="278">
        <f>SUMIFS('D Engine'!$F$129:$F$144,'D Engine'!$B$129:$B$144,"Pickup",'D Engine'!$C$129:$C$144,3)</f>
        <v/>
      </c>
      <c r="O47" s="278">
        <f>SUMIFS('D Engine'!$F$129:$F$144,'D Engine'!$B$129:$B$144,"Pickup",'D Engine'!$C$129:$C$144,3)</f>
        <v/>
      </c>
    </row>
    <row r="48">
      <c r="B48" s="238" t="inlineStr">
        <is>
          <t>Van / minivan — 0 (current or newer)</t>
        </is>
      </c>
      <c r="C48" s="256" t="inlineStr">
        <is>
          <t>%</t>
        </is>
      </c>
      <c r="D48" s="278">
        <f>SUMIFS('D Engine'!$F$129:$F$144,'D Engine'!$B$129:$B$144,"Van",'D Engine'!$C$129:$C$144,0)</f>
        <v/>
      </c>
      <c r="E48" s="278">
        <f>SUMIFS('D Engine'!$F$129:$F$144,'D Engine'!$B$129:$B$144,"Van",'D Engine'!$C$129:$C$144,0)</f>
        <v/>
      </c>
      <c r="F48" s="278">
        <f>SUMIFS('D Engine'!$F$129:$F$144,'D Engine'!$B$129:$B$144,"Van",'D Engine'!$C$129:$C$144,0)</f>
        <v/>
      </c>
      <c r="G48" s="278">
        <f>SUMIFS('D Engine'!$F$129:$F$144,'D Engine'!$B$129:$B$144,"Van",'D Engine'!$C$129:$C$144,0)</f>
        <v/>
      </c>
      <c r="H48" s="278">
        <f>SUMIFS('D Engine'!$F$129:$F$144,'D Engine'!$B$129:$B$144,"Van",'D Engine'!$C$129:$C$144,0)</f>
        <v/>
      </c>
      <c r="I48" s="278">
        <f>SUMIFS('D Engine'!$F$129:$F$144,'D Engine'!$B$129:$B$144,"Van",'D Engine'!$C$129:$C$144,0)</f>
        <v/>
      </c>
      <c r="J48" s="278">
        <f>SUMIFS('D Engine'!$F$129:$F$144,'D Engine'!$B$129:$B$144,"Van",'D Engine'!$C$129:$C$144,0)</f>
        <v/>
      </c>
      <c r="K48" s="278">
        <f>SUMIFS('D Engine'!$F$129:$F$144,'D Engine'!$B$129:$B$144,"Van",'D Engine'!$C$129:$C$144,0)</f>
        <v/>
      </c>
      <c r="L48" s="278">
        <f>SUMIFS('D Engine'!$F$129:$F$144,'D Engine'!$B$129:$B$144,"Van",'D Engine'!$C$129:$C$144,0)</f>
        <v/>
      </c>
      <c r="M48" s="278">
        <f>SUMIFS('D Engine'!$F$129:$F$144,'D Engine'!$B$129:$B$144,"Van",'D Engine'!$C$129:$C$144,0)</f>
        <v/>
      </c>
      <c r="N48" s="278">
        <f>SUMIFS('D Engine'!$F$129:$F$144,'D Engine'!$B$129:$B$144,"Van",'D Engine'!$C$129:$C$144,0)</f>
        <v/>
      </c>
      <c r="O48" s="278">
        <f>SUMIFS('D Engine'!$F$129:$F$144,'D Engine'!$B$129:$B$144,"Van",'D Engine'!$C$129:$C$144,0)</f>
        <v/>
      </c>
    </row>
    <row r="49">
      <c r="B49" s="277" t="inlineStr">
        <is>
          <t>Van / minivan — 1–3 years</t>
        </is>
      </c>
      <c r="C49" s="256" t="inlineStr">
        <is>
          <t>%</t>
        </is>
      </c>
      <c r="D49" s="278">
        <f>SUMIFS('D Engine'!$F$129:$F$144,'D Engine'!$B$129:$B$144,"Van",'D Engine'!$C$129:$C$144,1)</f>
        <v/>
      </c>
      <c r="E49" s="278">
        <f>SUMIFS('D Engine'!$F$129:$F$144,'D Engine'!$B$129:$B$144,"Van",'D Engine'!$C$129:$C$144,1)</f>
        <v/>
      </c>
      <c r="F49" s="278">
        <f>SUMIFS('D Engine'!$F$129:$F$144,'D Engine'!$B$129:$B$144,"Van",'D Engine'!$C$129:$C$144,1)</f>
        <v/>
      </c>
      <c r="G49" s="278">
        <f>SUMIFS('D Engine'!$F$129:$F$144,'D Engine'!$B$129:$B$144,"Van",'D Engine'!$C$129:$C$144,1)</f>
        <v/>
      </c>
      <c r="H49" s="278">
        <f>SUMIFS('D Engine'!$F$129:$F$144,'D Engine'!$B$129:$B$144,"Van",'D Engine'!$C$129:$C$144,1)</f>
        <v/>
      </c>
      <c r="I49" s="278">
        <f>SUMIFS('D Engine'!$F$129:$F$144,'D Engine'!$B$129:$B$144,"Van",'D Engine'!$C$129:$C$144,1)</f>
        <v/>
      </c>
      <c r="J49" s="278">
        <f>SUMIFS('D Engine'!$F$129:$F$144,'D Engine'!$B$129:$B$144,"Van",'D Engine'!$C$129:$C$144,1)</f>
        <v/>
      </c>
      <c r="K49" s="278">
        <f>SUMIFS('D Engine'!$F$129:$F$144,'D Engine'!$B$129:$B$144,"Van",'D Engine'!$C$129:$C$144,1)</f>
        <v/>
      </c>
      <c r="L49" s="278">
        <f>SUMIFS('D Engine'!$F$129:$F$144,'D Engine'!$B$129:$B$144,"Van",'D Engine'!$C$129:$C$144,1)</f>
        <v/>
      </c>
      <c r="M49" s="278">
        <f>SUMIFS('D Engine'!$F$129:$F$144,'D Engine'!$B$129:$B$144,"Van",'D Engine'!$C$129:$C$144,1)</f>
        <v/>
      </c>
      <c r="N49" s="278">
        <f>SUMIFS('D Engine'!$F$129:$F$144,'D Engine'!$B$129:$B$144,"Van",'D Engine'!$C$129:$C$144,1)</f>
        <v/>
      </c>
      <c r="O49" s="278">
        <f>SUMIFS('D Engine'!$F$129:$F$144,'D Engine'!$B$129:$B$144,"Van",'D Engine'!$C$129:$C$144,1)</f>
        <v/>
      </c>
    </row>
    <row r="50">
      <c r="B50" s="277" t="inlineStr">
        <is>
          <t>Van / minivan — 4–6 years</t>
        </is>
      </c>
      <c r="C50" s="256" t="inlineStr">
        <is>
          <t>%</t>
        </is>
      </c>
      <c r="D50" s="278">
        <f>SUMIFS('D Engine'!$F$129:$F$144,'D Engine'!$B$129:$B$144,"Van",'D Engine'!$C$129:$C$144,2)</f>
        <v/>
      </c>
      <c r="E50" s="278">
        <f>SUMIFS('D Engine'!$F$129:$F$144,'D Engine'!$B$129:$B$144,"Van",'D Engine'!$C$129:$C$144,2)</f>
        <v/>
      </c>
      <c r="F50" s="278">
        <f>SUMIFS('D Engine'!$F$129:$F$144,'D Engine'!$B$129:$B$144,"Van",'D Engine'!$C$129:$C$144,2)</f>
        <v/>
      </c>
      <c r="G50" s="278">
        <f>SUMIFS('D Engine'!$F$129:$F$144,'D Engine'!$B$129:$B$144,"Van",'D Engine'!$C$129:$C$144,2)</f>
        <v/>
      </c>
      <c r="H50" s="278">
        <f>SUMIFS('D Engine'!$F$129:$F$144,'D Engine'!$B$129:$B$144,"Van",'D Engine'!$C$129:$C$144,2)</f>
        <v/>
      </c>
      <c r="I50" s="278">
        <f>SUMIFS('D Engine'!$F$129:$F$144,'D Engine'!$B$129:$B$144,"Van",'D Engine'!$C$129:$C$144,2)</f>
        <v/>
      </c>
      <c r="J50" s="278">
        <f>SUMIFS('D Engine'!$F$129:$F$144,'D Engine'!$B$129:$B$144,"Van",'D Engine'!$C$129:$C$144,2)</f>
        <v/>
      </c>
      <c r="K50" s="278">
        <f>SUMIFS('D Engine'!$F$129:$F$144,'D Engine'!$B$129:$B$144,"Van",'D Engine'!$C$129:$C$144,2)</f>
        <v/>
      </c>
      <c r="L50" s="278">
        <f>SUMIFS('D Engine'!$F$129:$F$144,'D Engine'!$B$129:$B$144,"Van",'D Engine'!$C$129:$C$144,2)</f>
        <v/>
      </c>
      <c r="M50" s="278">
        <f>SUMIFS('D Engine'!$F$129:$F$144,'D Engine'!$B$129:$B$144,"Van",'D Engine'!$C$129:$C$144,2)</f>
        <v/>
      </c>
      <c r="N50" s="278">
        <f>SUMIFS('D Engine'!$F$129:$F$144,'D Engine'!$B$129:$B$144,"Van",'D Engine'!$C$129:$C$144,2)</f>
        <v/>
      </c>
      <c r="O50" s="278">
        <f>SUMIFS('D Engine'!$F$129:$F$144,'D Engine'!$B$129:$B$144,"Van",'D Engine'!$C$129:$C$144,2)</f>
        <v/>
      </c>
    </row>
    <row r="51">
      <c r="B51" s="277" t="inlineStr">
        <is>
          <t>Van / minivan — 7+ years</t>
        </is>
      </c>
      <c r="C51" s="256" t="inlineStr">
        <is>
          <t>%</t>
        </is>
      </c>
      <c r="D51" s="278">
        <f>SUMIFS('D Engine'!$F$129:$F$144,'D Engine'!$B$129:$B$144,"Van",'D Engine'!$C$129:$C$144,3)</f>
        <v/>
      </c>
      <c r="E51" s="278">
        <f>SUMIFS('D Engine'!$F$129:$F$144,'D Engine'!$B$129:$B$144,"Van",'D Engine'!$C$129:$C$144,3)</f>
        <v/>
      </c>
      <c r="F51" s="278">
        <f>SUMIFS('D Engine'!$F$129:$F$144,'D Engine'!$B$129:$B$144,"Van",'D Engine'!$C$129:$C$144,3)</f>
        <v/>
      </c>
      <c r="G51" s="278">
        <f>SUMIFS('D Engine'!$F$129:$F$144,'D Engine'!$B$129:$B$144,"Van",'D Engine'!$C$129:$C$144,3)</f>
        <v/>
      </c>
      <c r="H51" s="278">
        <f>SUMIFS('D Engine'!$F$129:$F$144,'D Engine'!$B$129:$B$144,"Van",'D Engine'!$C$129:$C$144,3)</f>
        <v/>
      </c>
      <c r="I51" s="278">
        <f>SUMIFS('D Engine'!$F$129:$F$144,'D Engine'!$B$129:$B$144,"Van",'D Engine'!$C$129:$C$144,3)</f>
        <v/>
      </c>
      <c r="J51" s="278">
        <f>SUMIFS('D Engine'!$F$129:$F$144,'D Engine'!$B$129:$B$144,"Van",'D Engine'!$C$129:$C$144,3)</f>
        <v/>
      </c>
      <c r="K51" s="278">
        <f>SUMIFS('D Engine'!$F$129:$F$144,'D Engine'!$B$129:$B$144,"Van",'D Engine'!$C$129:$C$144,3)</f>
        <v/>
      </c>
      <c r="L51" s="278">
        <f>SUMIFS('D Engine'!$F$129:$F$144,'D Engine'!$B$129:$B$144,"Van",'D Engine'!$C$129:$C$144,3)</f>
        <v/>
      </c>
      <c r="M51" s="278">
        <f>SUMIFS('D Engine'!$F$129:$F$144,'D Engine'!$B$129:$B$144,"Van",'D Engine'!$C$129:$C$144,3)</f>
        <v/>
      </c>
      <c r="N51" s="278">
        <f>SUMIFS('D Engine'!$F$129:$F$144,'D Engine'!$B$129:$B$144,"Van",'D Engine'!$C$129:$C$144,3)</f>
        <v/>
      </c>
      <c r="O51" s="278">
        <f>SUMIFS('D Engine'!$F$129:$F$144,'D Engine'!$B$129:$B$144,"Van",'D Engine'!$C$129:$C$144,3)</f>
        <v/>
      </c>
    </row>
    <row r="52"/>
    <row r="53"/>
    <row r="54">
      <c r="B54" s="254" t="inlineStr">
        <is>
          <t>D. Total losses by cell = claims mass × TLF</t>
        </is>
      </c>
      <c r="C54" s="274" t="n"/>
      <c r="D54" s="274" t="n"/>
      <c r="E54" s="274" t="n"/>
      <c r="F54" s="274" t="n"/>
      <c r="G54" s="274" t="n"/>
      <c r="H54" s="274" t="n"/>
      <c r="I54" s="274" t="n"/>
      <c r="J54" s="274" t="n"/>
      <c r="K54" s="274" t="n"/>
      <c r="L54" s="274" t="n"/>
      <c r="M54" s="274" t="n"/>
      <c r="N54" s="274" t="n"/>
      <c r="O54" s="274" t="n"/>
      <c r="P54" s="274" t="n"/>
      <c r="Q54" s="274" t="n"/>
      <c r="R54" s="274" t="n"/>
      <c r="S54" s="274" t="n"/>
    </row>
    <row r="55">
      <c r="B55" s="238" t="inlineStr">
        <is>
          <t>Car — 0 (current or newer)</t>
        </is>
      </c>
      <c r="C55" s="256" t="inlineStr">
        <is>
          <t>index</t>
        </is>
      </c>
      <c r="D55" s="276">
        <f>D16*D36</f>
        <v/>
      </c>
      <c r="E55" s="276">
        <f>E16*E36</f>
        <v/>
      </c>
      <c r="F55" s="276">
        <f>F16*F36</f>
        <v/>
      </c>
      <c r="G55" s="276">
        <f>G16*G36</f>
        <v/>
      </c>
      <c r="H55" s="276">
        <f>H16*H36</f>
        <v/>
      </c>
      <c r="I55" s="276">
        <f>I16*I36</f>
        <v/>
      </c>
      <c r="J55" s="276">
        <f>J16*J36</f>
        <v/>
      </c>
      <c r="K55" s="276">
        <f>K16*K36</f>
        <v/>
      </c>
      <c r="L55" s="276">
        <f>L16*L36</f>
        <v/>
      </c>
      <c r="M55" s="276">
        <f>M16*M36</f>
        <v/>
      </c>
      <c r="N55" s="276">
        <f>N16*N36</f>
        <v/>
      </c>
      <c r="O55" s="276">
        <f>O16*O36</f>
        <v/>
      </c>
      <c r="P55" s="276">
        <f>SUM(D55:G55)</f>
        <v/>
      </c>
      <c r="Q55" s="276">
        <f>SUM(H55:K55)</f>
        <v/>
      </c>
      <c r="R55" s="276">
        <f>SUM(L55:O55)</f>
        <v/>
      </c>
    </row>
    <row r="56">
      <c r="B56" s="277" t="inlineStr">
        <is>
          <t>Car — 1–3 years</t>
        </is>
      </c>
      <c r="C56" s="256" t="inlineStr">
        <is>
          <t>index</t>
        </is>
      </c>
      <c r="D56" s="276">
        <f>D17*D37</f>
        <v/>
      </c>
      <c r="E56" s="276">
        <f>E17*E37</f>
        <v/>
      </c>
      <c r="F56" s="276">
        <f>F17*F37</f>
        <v/>
      </c>
      <c r="G56" s="276">
        <f>G17*G37</f>
        <v/>
      </c>
      <c r="H56" s="276">
        <f>H17*H37</f>
        <v/>
      </c>
      <c r="I56" s="276">
        <f>I17*I37</f>
        <v/>
      </c>
      <c r="J56" s="276">
        <f>J17*J37</f>
        <v/>
      </c>
      <c r="K56" s="276">
        <f>K17*K37</f>
        <v/>
      </c>
      <c r="L56" s="276">
        <f>L17*L37</f>
        <v/>
      </c>
      <c r="M56" s="276">
        <f>M17*M37</f>
        <v/>
      </c>
      <c r="N56" s="276">
        <f>N17*N37</f>
        <v/>
      </c>
      <c r="O56" s="276">
        <f>O17*O37</f>
        <v/>
      </c>
      <c r="P56" s="276">
        <f>SUM(D56:G56)</f>
        <v/>
      </c>
      <c r="Q56" s="276">
        <f>SUM(H56:K56)</f>
        <v/>
      </c>
      <c r="R56" s="276">
        <f>SUM(L56:O56)</f>
        <v/>
      </c>
    </row>
    <row r="57">
      <c r="B57" s="277" t="inlineStr">
        <is>
          <t>Car — 4–6 years</t>
        </is>
      </c>
      <c r="C57" s="256" t="inlineStr">
        <is>
          <t>index</t>
        </is>
      </c>
      <c r="D57" s="276">
        <f>D18*D38</f>
        <v/>
      </c>
      <c r="E57" s="276">
        <f>E18*E38</f>
        <v/>
      </c>
      <c r="F57" s="276">
        <f>F18*F38</f>
        <v/>
      </c>
      <c r="G57" s="276">
        <f>G18*G38</f>
        <v/>
      </c>
      <c r="H57" s="276">
        <f>H18*H38</f>
        <v/>
      </c>
      <c r="I57" s="276">
        <f>I18*I38</f>
        <v/>
      </c>
      <c r="J57" s="276">
        <f>J18*J38</f>
        <v/>
      </c>
      <c r="K57" s="276">
        <f>K18*K38</f>
        <v/>
      </c>
      <c r="L57" s="276">
        <f>L18*L38</f>
        <v/>
      </c>
      <c r="M57" s="276">
        <f>M18*M38</f>
        <v/>
      </c>
      <c r="N57" s="276">
        <f>N18*N38</f>
        <v/>
      </c>
      <c r="O57" s="276">
        <f>O18*O38</f>
        <v/>
      </c>
      <c r="P57" s="276">
        <f>SUM(D57:G57)</f>
        <v/>
      </c>
      <c r="Q57" s="276">
        <f>SUM(H57:K57)</f>
        <v/>
      </c>
      <c r="R57" s="276">
        <f>SUM(L57:O57)</f>
        <v/>
      </c>
    </row>
    <row r="58">
      <c r="B58" s="277" t="inlineStr">
        <is>
          <t>Car — 7+ years</t>
        </is>
      </c>
      <c r="C58" s="256" t="inlineStr">
        <is>
          <t>index</t>
        </is>
      </c>
      <c r="D58" s="276">
        <f>D19*D39</f>
        <v/>
      </c>
      <c r="E58" s="276">
        <f>E19*E39</f>
        <v/>
      </c>
      <c r="F58" s="276">
        <f>F19*F39</f>
        <v/>
      </c>
      <c r="G58" s="276">
        <f>G19*G39</f>
        <v/>
      </c>
      <c r="H58" s="276">
        <f>H19*H39</f>
        <v/>
      </c>
      <c r="I58" s="276">
        <f>I19*I39</f>
        <v/>
      </c>
      <c r="J58" s="276">
        <f>J19*J39</f>
        <v/>
      </c>
      <c r="K58" s="276">
        <f>K19*K39</f>
        <v/>
      </c>
      <c r="L58" s="276">
        <f>L19*L39</f>
        <v/>
      </c>
      <c r="M58" s="276">
        <f>M19*M39</f>
        <v/>
      </c>
      <c r="N58" s="276">
        <f>N19*N39</f>
        <v/>
      </c>
      <c r="O58" s="276">
        <f>O19*O39</f>
        <v/>
      </c>
      <c r="P58" s="276">
        <f>SUM(D58:G58)</f>
        <v/>
      </c>
      <c r="Q58" s="276">
        <f>SUM(H58:K58)</f>
        <v/>
      </c>
      <c r="R58" s="276">
        <f>SUM(L58:O58)</f>
        <v/>
      </c>
    </row>
    <row r="59">
      <c r="B59" s="238" t="inlineStr">
        <is>
          <t>Utility vehicle (SUV) — 0 (current or newer)</t>
        </is>
      </c>
      <c r="C59" s="256" t="inlineStr">
        <is>
          <t>index</t>
        </is>
      </c>
      <c r="D59" s="276">
        <f>D20*D40</f>
        <v/>
      </c>
      <c r="E59" s="276">
        <f>E20*E40</f>
        <v/>
      </c>
      <c r="F59" s="276">
        <f>F20*F40</f>
        <v/>
      </c>
      <c r="G59" s="276">
        <f>G20*G40</f>
        <v/>
      </c>
      <c r="H59" s="276">
        <f>H20*H40</f>
        <v/>
      </c>
      <c r="I59" s="276">
        <f>I20*I40</f>
        <v/>
      </c>
      <c r="J59" s="276">
        <f>J20*J40</f>
        <v/>
      </c>
      <c r="K59" s="276">
        <f>K20*K40</f>
        <v/>
      </c>
      <c r="L59" s="276">
        <f>L20*L40</f>
        <v/>
      </c>
      <c r="M59" s="276">
        <f>M20*M40</f>
        <v/>
      </c>
      <c r="N59" s="276">
        <f>N20*N40</f>
        <v/>
      </c>
      <c r="O59" s="276">
        <f>O20*O40</f>
        <v/>
      </c>
      <c r="P59" s="276">
        <f>SUM(D59:G59)</f>
        <v/>
      </c>
      <c r="Q59" s="276">
        <f>SUM(H59:K59)</f>
        <v/>
      </c>
      <c r="R59" s="276">
        <f>SUM(L59:O59)</f>
        <v/>
      </c>
    </row>
    <row r="60">
      <c r="B60" s="277" t="inlineStr">
        <is>
          <t>Utility vehicle (SUV) — 1–3 years</t>
        </is>
      </c>
      <c r="C60" s="256" t="inlineStr">
        <is>
          <t>index</t>
        </is>
      </c>
      <c r="D60" s="276">
        <f>D21*D41</f>
        <v/>
      </c>
      <c r="E60" s="276">
        <f>E21*E41</f>
        <v/>
      </c>
      <c r="F60" s="276">
        <f>F21*F41</f>
        <v/>
      </c>
      <c r="G60" s="276">
        <f>G21*G41</f>
        <v/>
      </c>
      <c r="H60" s="276">
        <f>H21*H41</f>
        <v/>
      </c>
      <c r="I60" s="276">
        <f>I21*I41</f>
        <v/>
      </c>
      <c r="J60" s="276">
        <f>J21*J41</f>
        <v/>
      </c>
      <c r="K60" s="276">
        <f>K21*K41</f>
        <v/>
      </c>
      <c r="L60" s="276">
        <f>L21*L41</f>
        <v/>
      </c>
      <c r="M60" s="276">
        <f>M21*M41</f>
        <v/>
      </c>
      <c r="N60" s="276">
        <f>N21*N41</f>
        <v/>
      </c>
      <c r="O60" s="276">
        <f>O21*O41</f>
        <v/>
      </c>
      <c r="P60" s="276">
        <f>SUM(D60:G60)</f>
        <v/>
      </c>
      <c r="Q60" s="276">
        <f>SUM(H60:K60)</f>
        <v/>
      </c>
      <c r="R60" s="276">
        <f>SUM(L60:O60)</f>
        <v/>
      </c>
    </row>
    <row r="61">
      <c r="B61" s="277" t="inlineStr">
        <is>
          <t>Utility vehicle (SUV) — 4–6 years</t>
        </is>
      </c>
      <c r="C61" s="256" t="inlineStr">
        <is>
          <t>index</t>
        </is>
      </c>
      <c r="D61" s="276">
        <f>D22*D42</f>
        <v/>
      </c>
      <c r="E61" s="276">
        <f>E22*E42</f>
        <v/>
      </c>
      <c r="F61" s="276">
        <f>F22*F42</f>
        <v/>
      </c>
      <c r="G61" s="276">
        <f>G22*G42</f>
        <v/>
      </c>
      <c r="H61" s="276">
        <f>H22*H42</f>
        <v/>
      </c>
      <c r="I61" s="276">
        <f>I22*I42</f>
        <v/>
      </c>
      <c r="J61" s="276">
        <f>J22*J42</f>
        <v/>
      </c>
      <c r="K61" s="276">
        <f>K22*K42</f>
        <v/>
      </c>
      <c r="L61" s="276">
        <f>L22*L42</f>
        <v/>
      </c>
      <c r="M61" s="276">
        <f>M22*M42</f>
        <v/>
      </c>
      <c r="N61" s="276">
        <f>N22*N42</f>
        <v/>
      </c>
      <c r="O61" s="276">
        <f>O22*O42</f>
        <v/>
      </c>
      <c r="P61" s="276">
        <f>SUM(D61:G61)</f>
        <v/>
      </c>
      <c r="Q61" s="276">
        <f>SUM(H61:K61)</f>
        <v/>
      </c>
      <c r="R61" s="276">
        <f>SUM(L61:O61)</f>
        <v/>
      </c>
    </row>
    <row r="62">
      <c r="B62" s="277" t="inlineStr">
        <is>
          <t>Utility vehicle (SUV) — 7+ years</t>
        </is>
      </c>
      <c r="C62" s="256" t="inlineStr">
        <is>
          <t>index</t>
        </is>
      </c>
      <c r="D62" s="276">
        <f>D23*D43</f>
        <v/>
      </c>
      <c r="E62" s="276">
        <f>E23*E43</f>
        <v/>
      </c>
      <c r="F62" s="276">
        <f>F23*F43</f>
        <v/>
      </c>
      <c r="G62" s="276">
        <f>G23*G43</f>
        <v/>
      </c>
      <c r="H62" s="276">
        <f>H23*H43</f>
        <v/>
      </c>
      <c r="I62" s="276">
        <f>I23*I43</f>
        <v/>
      </c>
      <c r="J62" s="276">
        <f>J23*J43</f>
        <v/>
      </c>
      <c r="K62" s="276">
        <f>K23*K43</f>
        <v/>
      </c>
      <c r="L62" s="276">
        <f>L23*L43</f>
        <v/>
      </c>
      <c r="M62" s="276">
        <f>M23*M43</f>
        <v/>
      </c>
      <c r="N62" s="276">
        <f>N23*N43</f>
        <v/>
      </c>
      <c r="O62" s="276">
        <f>O23*O43</f>
        <v/>
      </c>
      <c r="P62" s="276">
        <f>SUM(D62:G62)</f>
        <v/>
      </c>
      <c r="Q62" s="276">
        <f>SUM(H62:K62)</f>
        <v/>
      </c>
      <c r="R62" s="276">
        <f>SUM(L62:O62)</f>
        <v/>
      </c>
    </row>
    <row r="63">
      <c r="B63" s="238" t="inlineStr">
        <is>
          <t>Pickup — 0 (current or newer)</t>
        </is>
      </c>
      <c r="C63" s="256" t="inlineStr">
        <is>
          <t>index</t>
        </is>
      </c>
      <c r="D63" s="276">
        <f>D24*D44</f>
        <v/>
      </c>
      <c r="E63" s="276">
        <f>E24*E44</f>
        <v/>
      </c>
      <c r="F63" s="276">
        <f>F24*F44</f>
        <v/>
      </c>
      <c r="G63" s="276">
        <f>G24*G44</f>
        <v/>
      </c>
      <c r="H63" s="276">
        <f>H24*H44</f>
        <v/>
      </c>
      <c r="I63" s="276">
        <f>I24*I44</f>
        <v/>
      </c>
      <c r="J63" s="276">
        <f>J24*J44</f>
        <v/>
      </c>
      <c r="K63" s="276">
        <f>K24*K44</f>
        <v/>
      </c>
      <c r="L63" s="276">
        <f>L24*L44</f>
        <v/>
      </c>
      <c r="M63" s="276">
        <f>M24*M44</f>
        <v/>
      </c>
      <c r="N63" s="276">
        <f>N24*N44</f>
        <v/>
      </c>
      <c r="O63" s="276">
        <f>O24*O44</f>
        <v/>
      </c>
      <c r="P63" s="276">
        <f>SUM(D63:G63)</f>
        <v/>
      </c>
      <c r="Q63" s="276">
        <f>SUM(H63:K63)</f>
        <v/>
      </c>
      <c r="R63" s="276">
        <f>SUM(L63:O63)</f>
        <v/>
      </c>
    </row>
    <row r="64">
      <c r="B64" s="277" t="inlineStr">
        <is>
          <t>Pickup — 1–3 years</t>
        </is>
      </c>
      <c r="C64" s="256" t="inlineStr">
        <is>
          <t>index</t>
        </is>
      </c>
      <c r="D64" s="276">
        <f>D25*D45</f>
        <v/>
      </c>
      <c r="E64" s="276">
        <f>E25*E45</f>
        <v/>
      </c>
      <c r="F64" s="276">
        <f>F25*F45</f>
        <v/>
      </c>
      <c r="G64" s="276">
        <f>G25*G45</f>
        <v/>
      </c>
      <c r="H64" s="276">
        <f>H25*H45</f>
        <v/>
      </c>
      <c r="I64" s="276">
        <f>I25*I45</f>
        <v/>
      </c>
      <c r="J64" s="276">
        <f>J25*J45</f>
        <v/>
      </c>
      <c r="K64" s="276">
        <f>K25*K45</f>
        <v/>
      </c>
      <c r="L64" s="276">
        <f>L25*L45</f>
        <v/>
      </c>
      <c r="M64" s="276">
        <f>M25*M45</f>
        <v/>
      </c>
      <c r="N64" s="276">
        <f>N25*N45</f>
        <v/>
      </c>
      <c r="O64" s="276">
        <f>O25*O45</f>
        <v/>
      </c>
      <c r="P64" s="276">
        <f>SUM(D64:G64)</f>
        <v/>
      </c>
      <c r="Q64" s="276">
        <f>SUM(H64:K64)</f>
        <v/>
      </c>
      <c r="R64" s="276">
        <f>SUM(L64:O64)</f>
        <v/>
      </c>
    </row>
    <row r="65">
      <c r="B65" s="277" t="inlineStr">
        <is>
          <t>Pickup — 4–6 years</t>
        </is>
      </c>
      <c r="C65" s="256" t="inlineStr">
        <is>
          <t>index</t>
        </is>
      </c>
      <c r="D65" s="276">
        <f>D26*D46</f>
        <v/>
      </c>
      <c r="E65" s="276">
        <f>E26*E46</f>
        <v/>
      </c>
      <c r="F65" s="276">
        <f>F26*F46</f>
        <v/>
      </c>
      <c r="G65" s="276">
        <f>G26*G46</f>
        <v/>
      </c>
      <c r="H65" s="276">
        <f>H26*H46</f>
        <v/>
      </c>
      <c r="I65" s="276">
        <f>I26*I46</f>
        <v/>
      </c>
      <c r="J65" s="276">
        <f>J26*J46</f>
        <v/>
      </c>
      <c r="K65" s="276">
        <f>K26*K46</f>
        <v/>
      </c>
      <c r="L65" s="276">
        <f>L26*L46</f>
        <v/>
      </c>
      <c r="M65" s="276">
        <f>M26*M46</f>
        <v/>
      </c>
      <c r="N65" s="276">
        <f>N26*N46</f>
        <v/>
      </c>
      <c r="O65" s="276">
        <f>O26*O46</f>
        <v/>
      </c>
      <c r="P65" s="276">
        <f>SUM(D65:G65)</f>
        <v/>
      </c>
      <c r="Q65" s="276">
        <f>SUM(H65:K65)</f>
        <v/>
      </c>
      <c r="R65" s="276">
        <f>SUM(L65:O65)</f>
        <v/>
      </c>
    </row>
    <row r="66">
      <c r="B66" s="277" t="inlineStr">
        <is>
          <t>Pickup — 7+ years</t>
        </is>
      </c>
      <c r="C66" s="256" t="inlineStr">
        <is>
          <t>index</t>
        </is>
      </c>
      <c r="D66" s="276">
        <f>D27*D47</f>
        <v/>
      </c>
      <c r="E66" s="276">
        <f>E27*E47</f>
        <v/>
      </c>
      <c r="F66" s="276">
        <f>F27*F47</f>
        <v/>
      </c>
      <c r="G66" s="276">
        <f>G27*G47</f>
        <v/>
      </c>
      <c r="H66" s="276">
        <f>H27*H47</f>
        <v/>
      </c>
      <c r="I66" s="276">
        <f>I27*I47</f>
        <v/>
      </c>
      <c r="J66" s="276">
        <f>J27*J47</f>
        <v/>
      </c>
      <c r="K66" s="276">
        <f>K27*K47</f>
        <v/>
      </c>
      <c r="L66" s="276">
        <f>L27*L47</f>
        <v/>
      </c>
      <c r="M66" s="276">
        <f>M27*M47</f>
        <v/>
      </c>
      <c r="N66" s="276">
        <f>N27*N47</f>
        <v/>
      </c>
      <c r="O66" s="276">
        <f>O27*O47</f>
        <v/>
      </c>
      <c r="P66" s="276">
        <f>SUM(D66:G66)</f>
        <v/>
      </c>
      <c r="Q66" s="276">
        <f>SUM(H66:K66)</f>
        <v/>
      </c>
      <c r="R66" s="276">
        <f>SUM(L66:O66)</f>
        <v/>
      </c>
    </row>
    <row r="67">
      <c r="B67" s="238" t="inlineStr">
        <is>
          <t>Van / minivan — 0 (current or newer)</t>
        </is>
      </c>
      <c r="C67" s="256" t="inlineStr">
        <is>
          <t>index</t>
        </is>
      </c>
      <c r="D67" s="276">
        <f>D28*D48</f>
        <v/>
      </c>
      <c r="E67" s="276">
        <f>E28*E48</f>
        <v/>
      </c>
      <c r="F67" s="276">
        <f>F28*F48</f>
        <v/>
      </c>
      <c r="G67" s="276">
        <f>G28*G48</f>
        <v/>
      </c>
      <c r="H67" s="276">
        <f>H28*H48</f>
        <v/>
      </c>
      <c r="I67" s="276">
        <f>I28*I48</f>
        <v/>
      </c>
      <c r="J67" s="276">
        <f>J28*J48</f>
        <v/>
      </c>
      <c r="K67" s="276">
        <f>K28*K48</f>
        <v/>
      </c>
      <c r="L67" s="276">
        <f>L28*L48</f>
        <v/>
      </c>
      <c r="M67" s="276">
        <f>M28*M48</f>
        <v/>
      </c>
      <c r="N67" s="276">
        <f>N28*N48</f>
        <v/>
      </c>
      <c r="O67" s="276">
        <f>O28*O48</f>
        <v/>
      </c>
      <c r="P67" s="276">
        <f>SUM(D67:G67)</f>
        <v/>
      </c>
      <c r="Q67" s="276">
        <f>SUM(H67:K67)</f>
        <v/>
      </c>
      <c r="R67" s="276">
        <f>SUM(L67:O67)</f>
        <v/>
      </c>
    </row>
    <row r="68">
      <c r="B68" s="277" t="inlineStr">
        <is>
          <t>Van / minivan — 1–3 years</t>
        </is>
      </c>
      <c r="C68" s="256" t="inlineStr">
        <is>
          <t>index</t>
        </is>
      </c>
      <c r="D68" s="276">
        <f>D29*D49</f>
        <v/>
      </c>
      <c r="E68" s="276">
        <f>E29*E49</f>
        <v/>
      </c>
      <c r="F68" s="276">
        <f>F29*F49</f>
        <v/>
      </c>
      <c r="G68" s="276">
        <f>G29*G49</f>
        <v/>
      </c>
      <c r="H68" s="276">
        <f>H29*H49</f>
        <v/>
      </c>
      <c r="I68" s="276">
        <f>I29*I49</f>
        <v/>
      </c>
      <c r="J68" s="276">
        <f>J29*J49</f>
        <v/>
      </c>
      <c r="K68" s="276">
        <f>K29*K49</f>
        <v/>
      </c>
      <c r="L68" s="276">
        <f>L29*L49</f>
        <v/>
      </c>
      <c r="M68" s="276">
        <f>M29*M49</f>
        <v/>
      </c>
      <c r="N68" s="276">
        <f>N29*N49</f>
        <v/>
      </c>
      <c r="O68" s="276">
        <f>O29*O49</f>
        <v/>
      </c>
      <c r="P68" s="276">
        <f>SUM(D68:G68)</f>
        <v/>
      </c>
      <c r="Q68" s="276">
        <f>SUM(H68:K68)</f>
        <v/>
      </c>
      <c r="R68" s="276">
        <f>SUM(L68:O68)</f>
        <v/>
      </c>
    </row>
    <row r="69">
      <c r="B69" s="277" t="inlineStr">
        <is>
          <t>Van / minivan — 4–6 years</t>
        </is>
      </c>
      <c r="C69" s="256" t="inlineStr">
        <is>
          <t>index</t>
        </is>
      </c>
      <c r="D69" s="276">
        <f>D30*D50</f>
        <v/>
      </c>
      <c r="E69" s="276">
        <f>E30*E50</f>
        <v/>
      </c>
      <c r="F69" s="276">
        <f>F30*F50</f>
        <v/>
      </c>
      <c r="G69" s="276">
        <f>G30*G50</f>
        <v/>
      </c>
      <c r="H69" s="276">
        <f>H30*H50</f>
        <v/>
      </c>
      <c r="I69" s="276">
        <f>I30*I50</f>
        <v/>
      </c>
      <c r="J69" s="276">
        <f>J30*J50</f>
        <v/>
      </c>
      <c r="K69" s="276">
        <f>K30*K50</f>
        <v/>
      </c>
      <c r="L69" s="276">
        <f>L30*L50</f>
        <v/>
      </c>
      <c r="M69" s="276">
        <f>M30*M50</f>
        <v/>
      </c>
      <c r="N69" s="276">
        <f>N30*N50</f>
        <v/>
      </c>
      <c r="O69" s="276">
        <f>O30*O50</f>
        <v/>
      </c>
      <c r="P69" s="276">
        <f>SUM(D69:G69)</f>
        <v/>
      </c>
      <c r="Q69" s="276">
        <f>SUM(H69:K69)</f>
        <v/>
      </c>
      <c r="R69" s="276">
        <f>SUM(L69:O69)</f>
        <v/>
      </c>
    </row>
    <row r="70">
      <c r="B70" s="277" t="inlineStr">
        <is>
          <t>Van / minivan — 7+ years</t>
        </is>
      </c>
      <c r="C70" s="256" t="inlineStr">
        <is>
          <t>index</t>
        </is>
      </c>
      <c r="D70" s="276">
        <f>D31*D51</f>
        <v/>
      </c>
      <c r="E70" s="276">
        <f>E31*E51</f>
        <v/>
      </c>
      <c r="F70" s="276">
        <f>F31*F51</f>
        <v/>
      </c>
      <c r="G70" s="276">
        <f>G31*G51</f>
        <v/>
      </c>
      <c r="H70" s="276">
        <f>H31*H51</f>
        <v/>
      </c>
      <c r="I70" s="276">
        <f>I31*I51</f>
        <v/>
      </c>
      <c r="J70" s="276">
        <f>J31*J51</f>
        <v/>
      </c>
      <c r="K70" s="276">
        <f>K31*K51</f>
        <v/>
      </c>
      <c r="L70" s="276">
        <f>L31*L51</f>
        <v/>
      </c>
      <c r="M70" s="276">
        <f>M31*M51</f>
        <v/>
      </c>
      <c r="N70" s="276">
        <f>N31*N51</f>
        <v/>
      </c>
      <c r="O70" s="276">
        <f>O31*O51</f>
        <v/>
      </c>
      <c r="P70" s="276">
        <f>SUM(D70:G70)</f>
        <v/>
      </c>
      <c r="Q70" s="276">
        <f>SUM(H70:K70)</f>
        <v/>
      </c>
      <c r="R70" s="276">
        <f>SUM(L70:O70)</f>
        <v/>
      </c>
    </row>
    <row r="71">
      <c r="B71" s="242" t="inlineStr">
        <is>
          <t>Total-loss pool reaching the insurance auction channel (× routing × (1 + extra CAT))</t>
        </is>
      </c>
      <c r="C71" s="256" t="inlineStr">
        <is>
          <t>index</t>
        </is>
      </c>
      <c r="D71" s="271">
        <f>SUM(D55:D70)*$D$82*(1+$D$83)</f>
        <v/>
      </c>
      <c r="E71" s="271">
        <f>SUM(E55:E70)*$D$82*(1+$D$83)</f>
        <v/>
      </c>
      <c r="F71" s="271">
        <f>SUM(F55:F70)*$D$82*(1+$D$83)</f>
        <v/>
      </c>
      <c r="G71" s="271">
        <f>SUM(G55:G70)*$D$82*(1+$D$83)</f>
        <v/>
      </c>
      <c r="H71" s="271">
        <f>SUM(H55:H70)*$D$82*(1+$D$83)</f>
        <v/>
      </c>
      <c r="I71" s="271">
        <f>SUM(I55:I70)*$D$82*(1+$D$83)</f>
        <v/>
      </c>
      <c r="J71" s="271">
        <f>SUM(J55:J70)*$D$82*(1+$D$83)</f>
        <v/>
      </c>
      <c r="K71" s="271">
        <f>SUM(K55:K70)*$D$82*(1+$D$83)</f>
        <v/>
      </c>
      <c r="L71" s="271">
        <f>SUM(L55:L70)*$D$82*(1+$D$83)</f>
        <v/>
      </c>
      <c r="M71" s="271">
        <f>SUM(M55:M70)*$D$82*(1+$D$83)</f>
        <v/>
      </c>
      <c r="N71" s="271">
        <f>SUM(N55:N70)*$D$82*(1+$D$83)</f>
        <v/>
      </c>
      <c r="O71" s="271">
        <f>SUM(O55:O70)*$D$82*(1+$D$83)</f>
        <v/>
      </c>
      <c r="P71" s="285">
        <f>SUM(D71:G71)</f>
        <v/>
      </c>
      <c r="Q71" s="285">
        <f>SUM(H71:K71)</f>
        <v/>
      </c>
      <c r="R71" s="285">
        <f>SUM(L71:O71)</f>
        <v/>
      </c>
    </row>
    <row r="72">
      <c r="B72" s="272" t="inlineStr">
        <is>
          <t xml:space="preserve">   y/y</t>
        </is>
      </c>
      <c r="C72" s="256" t="inlineStr">
        <is>
          <t>%</t>
        </is>
      </c>
      <c r="H72" s="273">
        <f>H71/D71-1</f>
        <v/>
      </c>
      <c r="I72" s="273">
        <f>I71/E71-1</f>
        <v/>
      </c>
      <c r="J72" s="273">
        <f>J71/F71-1</f>
        <v/>
      </c>
      <c r="K72" s="273">
        <f>K71/G71-1</f>
        <v/>
      </c>
      <c r="L72" s="273">
        <f>L71/H71-1</f>
        <v/>
      </c>
      <c r="M72" s="273">
        <f>M71/I71-1</f>
        <v/>
      </c>
      <c r="N72" s="273">
        <f>N71/J71-1</f>
        <v/>
      </c>
      <c r="O72" s="273">
        <f>O71/K71-1</f>
        <v/>
      </c>
      <c r="Q72" s="273">
        <f>Q71/P71-1</f>
        <v/>
      </c>
      <c r="R72" s="273">
        <f>R71/Q71-1</f>
        <v/>
      </c>
    </row>
    <row r="73">
      <c r="B73" s="272" t="inlineStr">
        <is>
          <t xml:space="preserve">   aggregate total-loss frequency (pool ÷ claims)</t>
        </is>
      </c>
      <c r="C73" s="256" t="inlineStr">
        <is>
          <t>%</t>
        </is>
      </c>
      <c r="D73" s="273">
        <f>D71/D32/$D$82/(1+$D$83)</f>
        <v/>
      </c>
      <c r="E73" s="273">
        <f>E71/E32/$D$82/(1+$D$83)</f>
        <v/>
      </c>
      <c r="F73" s="273">
        <f>F71/F32/$D$82/(1+$D$83)</f>
        <v/>
      </c>
      <c r="G73" s="273">
        <f>G71/G32/$D$82/(1+$D$83)</f>
        <v/>
      </c>
      <c r="H73" s="273">
        <f>H71/H32/$D$82/(1+$D$83)</f>
        <v/>
      </c>
      <c r="I73" s="273">
        <f>I71/I32/$D$82/(1+$D$83)</f>
        <v/>
      </c>
      <c r="J73" s="273">
        <f>J71/J32/$D$82/(1+$D$83)</f>
        <v/>
      </c>
      <c r="K73" s="273">
        <f>K71/K32/$D$82/(1+$D$83)</f>
        <v/>
      </c>
      <c r="L73" s="273">
        <f>L71/L32/$D$82/(1+$D$83)</f>
        <v/>
      </c>
      <c r="M73" s="273">
        <f>M71/M32/$D$82/(1+$D$83)</f>
        <v/>
      </c>
      <c r="N73" s="273">
        <f>N71/N32/$D$82/(1+$D$83)</f>
        <v/>
      </c>
      <c r="O73" s="273">
        <f>O71/O32/$D$82/(1+$D$83)</f>
        <v/>
      </c>
      <c r="P73" s="273">
        <f>P71/P32/$D$82/(1+$D$83)</f>
        <v/>
      </c>
      <c r="Q73" s="273">
        <f>Q71/Q32/$D$82/(1+$D$83)</f>
        <v/>
      </c>
      <c r="R73" s="273">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86">
        <f>H71/D71</f>
        <v/>
      </c>
      <c r="I75" s="286">
        <f>I71/E71</f>
        <v/>
      </c>
      <c r="J75" s="286">
        <f>J71/F71</f>
        <v/>
      </c>
      <c r="K75" s="286">
        <f>K71/G71</f>
        <v/>
      </c>
      <c r="L75" s="286">
        <f>L71/H71</f>
        <v/>
      </c>
      <c r="M75" s="286">
        <f>M71/I71</f>
        <v/>
      </c>
      <c r="N75" s="286">
        <f>N71/J71</f>
        <v/>
      </c>
      <c r="O75" s="286">
        <f>O71/K71</f>
        <v/>
      </c>
    </row>
    <row r="76"/>
    <row r="77">
      <c r="B77" s="234" t="inlineStr">
        <is>
          <t>Feeds →  Scenarios (pool ratio, row 75); E5 (aggregate TLF, diagnostic only)</t>
        </is>
      </c>
    </row>
    <row r="78"/>
    <row r="79">
      <c r="B79" s="235" t="inlineStr">
        <is>
          <t>Inputs</t>
        </is>
      </c>
      <c r="C79" s="236" t="n"/>
      <c r="D79" s="269" t="inlineStr">
        <is>
          <t>Value</t>
        </is>
      </c>
      <c r="E79" s="269"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80" t="n">
        <v>1</v>
      </c>
      <c r="E80" s="234" t="inlineStr">
        <is>
          <t>ASSUMED</t>
        </is>
      </c>
      <c r="S80" s="234" t="inlineStr">
        <is>
          <t>Neutral default; the 0.98 stress has no empirical anchor (driver_register.json)</t>
        </is>
      </c>
    </row>
    <row r="81">
      <c r="B81" s="238" t="inlineStr">
        <is>
          <t>Paired repairable non-filing term (deductible shift)</t>
        </is>
      </c>
      <c r="D81" s="280" t="n">
        <v>0</v>
      </c>
      <c r="E81" s="234" t="inlineStr">
        <is>
          <t>ASSUMED</t>
        </is>
      </c>
      <c r="S81" s="234" t="inlineStr">
        <is>
          <t>Placeholder; CCC deductible-share series could bound it. Not yet wired</t>
        </is>
      </c>
    </row>
    <row r="82">
      <c r="B82" s="238" t="inlineStr">
        <is>
          <t>Routing fraction of total losses to the insurance auction channel</t>
        </is>
      </c>
      <c r="D82" s="280" t="n">
        <v>1</v>
      </c>
      <c r="E82" s="234" t="inlineStr">
        <is>
          <t>ASSUMED</t>
        </is>
      </c>
      <c r="S82" s="234" t="inlineStr">
        <is>
          <t>Convention; dismantlers may buy directly from insurers (10-K)</t>
        </is>
      </c>
    </row>
    <row r="83">
      <c r="B83" s="238" t="inlineStr">
        <is>
          <t>Extra catastrophe unit fraction</t>
        </is>
      </c>
      <c r="D83" s="280"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274" t="n"/>
      <c r="D85" s="254" t="inlineStr">
        <is>
          <t>CY2023</t>
        </is>
      </c>
      <c r="E85" s="254" t="inlineStr">
        <is>
          <t>CY2024</t>
        </is>
      </c>
      <c r="F85" s="254" t="inlineStr">
        <is>
          <t>CY2025</t>
        </is>
      </c>
      <c r="G85" s="254" t="inlineStr">
        <is>
          <t>CY2026</t>
        </is>
      </c>
      <c r="H85" s="254" t="inlineStr">
        <is>
          <t>CY2027</t>
        </is>
      </c>
      <c r="I85" s="254" t="inlineStr">
        <is>
          <t>CY2028</t>
        </is>
      </c>
      <c r="J85" s="274" t="n"/>
      <c r="K85" s="274" t="n"/>
      <c r="L85" s="274" t="n"/>
      <c r="M85" s="274" t="n"/>
      <c r="N85" s="274" t="n"/>
      <c r="O85" s="274" t="n"/>
      <c r="P85" s="274" t="n"/>
      <c r="Q85" s="274" t="n"/>
      <c r="R85" s="274" t="n"/>
      <c r="S85" s="274" t="n"/>
    </row>
    <row r="86">
      <c r="B86" s="238" t="inlineStr">
        <is>
          <t>Car — 0 (current or newer)</t>
        </is>
      </c>
      <c r="D86" s="270">
        <f>SUMIFS('E1a Fleet (roll)'!T$7:T$190,'E1a Fleet (roll)'!$A$7:$A$190,"Car",'E1a Fleet (roll)'!$C$7:$C$190,0)</f>
        <v/>
      </c>
      <c r="E86" s="270">
        <f>SUMIFS('E1a Fleet (roll)'!U$7:U$190,'E1a Fleet (roll)'!$A$7:$A$190,"Car",'E1a Fleet (roll)'!$C$7:$C$190,0)</f>
        <v/>
      </c>
      <c r="F86" s="270">
        <f>SUMIFS('E1a Fleet (roll)'!V$7:V$190,'E1a Fleet (roll)'!$A$7:$A$190,"Car",'E1a Fleet (roll)'!$C$7:$C$190,0)</f>
        <v/>
      </c>
      <c r="G86" s="270">
        <f>SUMIFS('E1a Fleet (roll)'!W$7:W$190,'E1a Fleet (roll)'!$A$7:$A$190,"Car",'E1a Fleet (roll)'!$C$7:$C$190,0)</f>
        <v/>
      </c>
      <c r="H86" s="270">
        <f>SUMIFS('E1a Fleet (roll)'!X$7:X$190,'E1a Fleet (roll)'!$A$7:$A$190,"Car",'E1a Fleet (roll)'!$C$7:$C$190,0)</f>
        <v/>
      </c>
      <c r="I86" s="270">
        <f>SUMIFS('E1a Fleet (roll)'!Y$7:Y$190,'E1a Fleet (roll)'!$A$7:$A$190,"Car",'E1a Fleet (roll)'!$C$7:$C$190,0)</f>
        <v/>
      </c>
    </row>
    <row r="87">
      <c r="B87" s="277" t="inlineStr">
        <is>
          <t>Car — 1–3 years</t>
        </is>
      </c>
      <c r="D87" s="270">
        <f>SUMIFS('E1a Fleet (roll)'!T$7:T$190,'E1a Fleet (roll)'!$A$7:$A$190,"Car",'E1a Fleet (roll)'!$C$7:$C$190,1)</f>
        <v/>
      </c>
      <c r="E87" s="270">
        <f>SUMIFS('E1a Fleet (roll)'!U$7:U$190,'E1a Fleet (roll)'!$A$7:$A$190,"Car",'E1a Fleet (roll)'!$C$7:$C$190,1)</f>
        <v/>
      </c>
      <c r="F87" s="270">
        <f>SUMIFS('E1a Fleet (roll)'!V$7:V$190,'E1a Fleet (roll)'!$A$7:$A$190,"Car",'E1a Fleet (roll)'!$C$7:$C$190,1)</f>
        <v/>
      </c>
      <c r="G87" s="270">
        <f>SUMIFS('E1a Fleet (roll)'!W$7:W$190,'E1a Fleet (roll)'!$A$7:$A$190,"Car",'E1a Fleet (roll)'!$C$7:$C$190,1)</f>
        <v/>
      </c>
      <c r="H87" s="270">
        <f>SUMIFS('E1a Fleet (roll)'!X$7:X$190,'E1a Fleet (roll)'!$A$7:$A$190,"Car",'E1a Fleet (roll)'!$C$7:$C$190,1)</f>
        <v/>
      </c>
      <c r="I87" s="270">
        <f>SUMIFS('E1a Fleet (roll)'!Y$7:Y$190,'E1a Fleet (roll)'!$A$7:$A$190,"Car",'E1a Fleet (roll)'!$C$7:$C$190,1)</f>
        <v/>
      </c>
    </row>
    <row r="88">
      <c r="B88" s="277" t="inlineStr">
        <is>
          <t>Car — 4–6 years</t>
        </is>
      </c>
      <c r="D88" s="270">
        <f>SUMIFS('E1a Fleet (roll)'!T$7:T$190,'E1a Fleet (roll)'!$A$7:$A$190,"Car",'E1a Fleet (roll)'!$C$7:$C$190,2)</f>
        <v/>
      </c>
      <c r="E88" s="270">
        <f>SUMIFS('E1a Fleet (roll)'!U$7:U$190,'E1a Fleet (roll)'!$A$7:$A$190,"Car",'E1a Fleet (roll)'!$C$7:$C$190,2)</f>
        <v/>
      </c>
      <c r="F88" s="270">
        <f>SUMIFS('E1a Fleet (roll)'!V$7:V$190,'E1a Fleet (roll)'!$A$7:$A$190,"Car",'E1a Fleet (roll)'!$C$7:$C$190,2)</f>
        <v/>
      </c>
      <c r="G88" s="270">
        <f>SUMIFS('E1a Fleet (roll)'!W$7:W$190,'E1a Fleet (roll)'!$A$7:$A$190,"Car",'E1a Fleet (roll)'!$C$7:$C$190,2)</f>
        <v/>
      </c>
      <c r="H88" s="270">
        <f>SUMIFS('E1a Fleet (roll)'!X$7:X$190,'E1a Fleet (roll)'!$A$7:$A$190,"Car",'E1a Fleet (roll)'!$C$7:$C$190,2)</f>
        <v/>
      </c>
      <c r="I88" s="270">
        <f>SUMIFS('E1a Fleet (roll)'!Y$7:Y$190,'E1a Fleet (roll)'!$A$7:$A$190,"Car",'E1a Fleet (roll)'!$C$7:$C$190,2)</f>
        <v/>
      </c>
    </row>
    <row r="89">
      <c r="B89" s="277" t="inlineStr">
        <is>
          <t>Car — 7+ years</t>
        </is>
      </c>
      <c r="D89" s="270">
        <f>SUMIFS('E1a Fleet (roll)'!T$7:T$190,'E1a Fleet (roll)'!$A$7:$A$190,"Car",'E1a Fleet (roll)'!$C$7:$C$190,3)</f>
        <v/>
      </c>
      <c r="E89" s="270">
        <f>SUMIFS('E1a Fleet (roll)'!U$7:U$190,'E1a Fleet (roll)'!$A$7:$A$190,"Car",'E1a Fleet (roll)'!$C$7:$C$190,3)</f>
        <v/>
      </c>
      <c r="F89" s="270">
        <f>SUMIFS('E1a Fleet (roll)'!V$7:V$190,'E1a Fleet (roll)'!$A$7:$A$190,"Car",'E1a Fleet (roll)'!$C$7:$C$190,3)</f>
        <v/>
      </c>
      <c r="G89" s="270">
        <f>SUMIFS('E1a Fleet (roll)'!W$7:W$190,'E1a Fleet (roll)'!$A$7:$A$190,"Car",'E1a Fleet (roll)'!$C$7:$C$190,3)</f>
        <v/>
      </c>
      <c r="H89" s="270">
        <f>SUMIFS('E1a Fleet (roll)'!X$7:X$190,'E1a Fleet (roll)'!$A$7:$A$190,"Car",'E1a Fleet (roll)'!$C$7:$C$190,3)</f>
        <v/>
      </c>
      <c r="I89" s="270">
        <f>SUMIFS('E1a Fleet (roll)'!Y$7:Y$190,'E1a Fleet (roll)'!$A$7:$A$190,"Car",'E1a Fleet (roll)'!$C$7:$C$190,3)</f>
        <v/>
      </c>
    </row>
    <row r="90">
      <c r="B90" s="238" t="inlineStr">
        <is>
          <t>Utility vehicle (SUV) — 0 (current or newer)</t>
        </is>
      </c>
      <c r="D90" s="270">
        <f>SUMIFS('E1a Fleet (roll)'!T$7:T$190,'E1a Fleet (roll)'!$A$7:$A$190,"SUV",'E1a Fleet (roll)'!$C$7:$C$190,0)</f>
        <v/>
      </c>
      <c r="E90" s="270">
        <f>SUMIFS('E1a Fleet (roll)'!U$7:U$190,'E1a Fleet (roll)'!$A$7:$A$190,"SUV",'E1a Fleet (roll)'!$C$7:$C$190,0)</f>
        <v/>
      </c>
      <c r="F90" s="270">
        <f>SUMIFS('E1a Fleet (roll)'!V$7:V$190,'E1a Fleet (roll)'!$A$7:$A$190,"SUV",'E1a Fleet (roll)'!$C$7:$C$190,0)</f>
        <v/>
      </c>
      <c r="G90" s="270">
        <f>SUMIFS('E1a Fleet (roll)'!W$7:W$190,'E1a Fleet (roll)'!$A$7:$A$190,"SUV",'E1a Fleet (roll)'!$C$7:$C$190,0)</f>
        <v/>
      </c>
      <c r="H90" s="270">
        <f>SUMIFS('E1a Fleet (roll)'!X$7:X$190,'E1a Fleet (roll)'!$A$7:$A$190,"SUV",'E1a Fleet (roll)'!$C$7:$C$190,0)</f>
        <v/>
      </c>
      <c r="I90" s="270">
        <f>SUMIFS('E1a Fleet (roll)'!Y$7:Y$190,'E1a Fleet (roll)'!$A$7:$A$190,"SUV",'E1a Fleet (roll)'!$C$7:$C$190,0)</f>
        <v/>
      </c>
    </row>
    <row r="91">
      <c r="B91" s="277" t="inlineStr">
        <is>
          <t>Utility vehicle (SUV) — 1–3 years</t>
        </is>
      </c>
      <c r="D91" s="270">
        <f>SUMIFS('E1a Fleet (roll)'!T$7:T$190,'E1a Fleet (roll)'!$A$7:$A$190,"SUV",'E1a Fleet (roll)'!$C$7:$C$190,1)</f>
        <v/>
      </c>
      <c r="E91" s="270">
        <f>SUMIFS('E1a Fleet (roll)'!U$7:U$190,'E1a Fleet (roll)'!$A$7:$A$190,"SUV",'E1a Fleet (roll)'!$C$7:$C$190,1)</f>
        <v/>
      </c>
      <c r="F91" s="270">
        <f>SUMIFS('E1a Fleet (roll)'!V$7:V$190,'E1a Fleet (roll)'!$A$7:$A$190,"SUV",'E1a Fleet (roll)'!$C$7:$C$190,1)</f>
        <v/>
      </c>
      <c r="G91" s="270">
        <f>SUMIFS('E1a Fleet (roll)'!W$7:W$190,'E1a Fleet (roll)'!$A$7:$A$190,"SUV",'E1a Fleet (roll)'!$C$7:$C$190,1)</f>
        <v/>
      </c>
      <c r="H91" s="270">
        <f>SUMIFS('E1a Fleet (roll)'!X$7:X$190,'E1a Fleet (roll)'!$A$7:$A$190,"SUV",'E1a Fleet (roll)'!$C$7:$C$190,1)</f>
        <v/>
      </c>
      <c r="I91" s="270">
        <f>SUMIFS('E1a Fleet (roll)'!Y$7:Y$190,'E1a Fleet (roll)'!$A$7:$A$190,"SUV",'E1a Fleet (roll)'!$C$7:$C$190,1)</f>
        <v/>
      </c>
    </row>
    <row r="92">
      <c r="B92" s="277" t="inlineStr">
        <is>
          <t>Utility vehicle (SUV) — 4–6 years</t>
        </is>
      </c>
      <c r="D92" s="270">
        <f>SUMIFS('E1a Fleet (roll)'!T$7:T$190,'E1a Fleet (roll)'!$A$7:$A$190,"SUV",'E1a Fleet (roll)'!$C$7:$C$190,2)</f>
        <v/>
      </c>
      <c r="E92" s="270">
        <f>SUMIFS('E1a Fleet (roll)'!U$7:U$190,'E1a Fleet (roll)'!$A$7:$A$190,"SUV",'E1a Fleet (roll)'!$C$7:$C$190,2)</f>
        <v/>
      </c>
      <c r="F92" s="270">
        <f>SUMIFS('E1a Fleet (roll)'!V$7:V$190,'E1a Fleet (roll)'!$A$7:$A$190,"SUV",'E1a Fleet (roll)'!$C$7:$C$190,2)</f>
        <v/>
      </c>
      <c r="G92" s="270">
        <f>SUMIFS('E1a Fleet (roll)'!W$7:W$190,'E1a Fleet (roll)'!$A$7:$A$190,"SUV",'E1a Fleet (roll)'!$C$7:$C$190,2)</f>
        <v/>
      </c>
      <c r="H92" s="270">
        <f>SUMIFS('E1a Fleet (roll)'!X$7:X$190,'E1a Fleet (roll)'!$A$7:$A$190,"SUV",'E1a Fleet (roll)'!$C$7:$C$190,2)</f>
        <v/>
      </c>
      <c r="I92" s="270">
        <f>SUMIFS('E1a Fleet (roll)'!Y$7:Y$190,'E1a Fleet (roll)'!$A$7:$A$190,"SUV",'E1a Fleet (roll)'!$C$7:$C$190,2)</f>
        <v/>
      </c>
    </row>
    <row r="93">
      <c r="B93" s="277" t="inlineStr">
        <is>
          <t>Utility vehicle (SUV) — 7+ years</t>
        </is>
      </c>
      <c r="D93" s="270">
        <f>SUMIFS('E1a Fleet (roll)'!T$7:T$190,'E1a Fleet (roll)'!$A$7:$A$190,"SUV",'E1a Fleet (roll)'!$C$7:$C$190,3)</f>
        <v/>
      </c>
      <c r="E93" s="270">
        <f>SUMIFS('E1a Fleet (roll)'!U$7:U$190,'E1a Fleet (roll)'!$A$7:$A$190,"SUV",'E1a Fleet (roll)'!$C$7:$C$190,3)</f>
        <v/>
      </c>
      <c r="F93" s="270">
        <f>SUMIFS('E1a Fleet (roll)'!V$7:V$190,'E1a Fleet (roll)'!$A$7:$A$190,"SUV",'E1a Fleet (roll)'!$C$7:$C$190,3)</f>
        <v/>
      </c>
      <c r="G93" s="270">
        <f>SUMIFS('E1a Fleet (roll)'!W$7:W$190,'E1a Fleet (roll)'!$A$7:$A$190,"SUV",'E1a Fleet (roll)'!$C$7:$C$190,3)</f>
        <v/>
      </c>
      <c r="H93" s="270">
        <f>SUMIFS('E1a Fleet (roll)'!X$7:X$190,'E1a Fleet (roll)'!$A$7:$A$190,"SUV",'E1a Fleet (roll)'!$C$7:$C$190,3)</f>
        <v/>
      </c>
      <c r="I93" s="270">
        <f>SUMIFS('E1a Fleet (roll)'!Y$7:Y$190,'E1a Fleet (roll)'!$A$7:$A$190,"SUV",'E1a Fleet (roll)'!$C$7:$C$190,3)</f>
        <v/>
      </c>
    </row>
    <row r="94">
      <c r="B94" s="238" t="inlineStr">
        <is>
          <t>Pickup — 0 (current or newer)</t>
        </is>
      </c>
      <c r="D94" s="270">
        <f>SUMIFS('E1a Fleet (roll)'!T$7:T$190,'E1a Fleet (roll)'!$A$7:$A$190,"Pickup",'E1a Fleet (roll)'!$C$7:$C$190,0)</f>
        <v/>
      </c>
      <c r="E94" s="270">
        <f>SUMIFS('E1a Fleet (roll)'!U$7:U$190,'E1a Fleet (roll)'!$A$7:$A$190,"Pickup",'E1a Fleet (roll)'!$C$7:$C$190,0)</f>
        <v/>
      </c>
      <c r="F94" s="270">
        <f>SUMIFS('E1a Fleet (roll)'!V$7:V$190,'E1a Fleet (roll)'!$A$7:$A$190,"Pickup",'E1a Fleet (roll)'!$C$7:$C$190,0)</f>
        <v/>
      </c>
      <c r="G94" s="270">
        <f>SUMIFS('E1a Fleet (roll)'!W$7:W$190,'E1a Fleet (roll)'!$A$7:$A$190,"Pickup",'E1a Fleet (roll)'!$C$7:$C$190,0)</f>
        <v/>
      </c>
      <c r="H94" s="270">
        <f>SUMIFS('E1a Fleet (roll)'!X$7:X$190,'E1a Fleet (roll)'!$A$7:$A$190,"Pickup",'E1a Fleet (roll)'!$C$7:$C$190,0)</f>
        <v/>
      </c>
      <c r="I94" s="270">
        <f>SUMIFS('E1a Fleet (roll)'!Y$7:Y$190,'E1a Fleet (roll)'!$A$7:$A$190,"Pickup",'E1a Fleet (roll)'!$C$7:$C$190,0)</f>
        <v/>
      </c>
    </row>
    <row r="95">
      <c r="B95" s="277" t="inlineStr">
        <is>
          <t>Pickup — 1–3 years</t>
        </is>
      </c>
      <c r="D95" s="270">
        <f>SUMIFS('E1a Fleet (roll)'!T$7:T$190,'E1a Fleet (roll)'!$A$7:$A$190,"Pickup",'E1a Fleet (roll)'!$C$7:$C$190,1)</f>
        <v/>
      </c>
      <c r="E95" s="270">
        <f>SUMIFS('E1a Fleet (roll)'!U$7:U$190,'E1a Fleet (roll)'!$A$7:$A$190,"Pickup",'E1a Fleet (roll)'!$C$7:$C$190,1)</f>
        <v/>
      </c>
      <c r="F95" s="270">
        <f>SUMIFS('E1a Fleet (roll)'!V$7:V$190,'E1a Fleet (roll)'!$A$7:$A$190,"Pickup",'E1a Fleet (roll)'!$C$7:$C$190,1)</f>
        <v/>
      </c>
      <c r="G95" s="270">
        <f>SUMIFS('E1a Fleet (roll)'!W$7:W$190,'E1a Fleet (roll)'!$A$7:$A$190,"Pickup",'E1a Fleet (roll)'!$C$7:$C$190,1)</f>
        <v/>
      </c>
      <c r="H95" s="270">
        <f>SUMIFS('E1a Fleet (roll)'!X$7:X$190,'E1a Fleet (roll)'!$A$7:$A$190,"Pickup",'E1a Fleet (roll)'!$C$7:$C$190,1)</f>
        <v/>
      </c>
      <c r="I95" s="270">
        <f>SUMIFS('E1a Fleet (roll)'!Y$7:Y$190,'E1a Fleet (roll)'!$A$7:$A$190,"Pickup",'E1a Fleet (roll)'!$C$7:$C$190,1)</f>
        <v/>
      </c>
    </row>
    <row r="96">
      <c r="B96" s="277" t="inlineStr">
        <is>
          <t>Pickup — 4–6 years</t>
        </is>
      </c>
      <c r="D96" s="270">
        <f>SUMIFS('E1a Fleet (roll)'!T$7:T$190,'E1a Fleet (roll)'!$A$7:$A$190,"Pickup",'E1a Fleet (roll)'!$C$7:$C$190,2)</f>
        <v/>
      </c>
      <c r="E96" s="270">
        <f>SUMIFS('E1a Fleet (roll)'!U$7:U$190,'E1a Fleet (roll)'!$A$7:$A$190,"Pickup",'E1a Fleet (roll)'!$C$7:$C$190,2)</f>
        <v/>
      </c>
      <c r="F96" s="270">
        <f>SUMIFS('E1a Fleet (roll)'!V$7:V$190,'E1a Fleet (roll)'!$A$7:$A$190,"Pickup",'E1a Fleet (roll)'!$C$7:$C$190,2)</f>
        <v/>
      </c>
      <c r="G96" s="270">
        <f>SUMIFS('E1a Fleet (roll)'!W$7:W$190,'E1a Fleet (roll)'!$A$7:$A$190,"Pickup",'E1a Fleet (roll)'!$C$7:$C$190,2)</f>
        <v/>
      </c>
      <c r="H96" s="270">
        <f>SUMIFS('E1a Fleet (roll)'!X$7:X$190,'E1a Fleet (roll)'!$A$7:$A$190,"Pickup",'E1a Fleet (roll)'!$C$7:$C$190,2)</f>
        <v/>
      </c>
      <c r="I96" s="270">
        <f>SUMIFS('E1a Fleet (roll)'!Y$7:Y$190,'E1a Fleet (roll)'!$A$7:$A$190,"Pickup",'E1a Fleet (roll)'!$C$7:$C$190,2)</f>
        <v/>
      </c>
    </row>
    <row r="97">
      <c r="B97" s="277" t="inlineStr">
        <is>
          <t>Pickup — 7+ years</t>
        </is>
      </c>
      <c r="D97" s="270">
        <f>SUMIFS('E1a Fleet (roll)'!T$7:T$190,'E1a Fleet (roll)'!$A$7:$A$190,"Pickup",'E1a Fleet (roll)'!$C$7:$C$190,3)</f>
        <v/>
      </c>
      <c r="E97" s="270">
        <f>SUMIFS('E1a Fleet (roll)'!U$7:U$190,'E1a Fleet (roll)'!$A$7:$A$190,"Pickup",'E1a Fleet (roll)'!$C$7:$C$190,3)</f>
        <v/>
      </c>
      <c r="F97" s="270">
        <f>SUMIFS('E1a Fleet (roll)'!V$7:V$190,'E1a Fleet (roll)'!$A$7:$A$190,"Pickup",'E1a Fleet (roll)'!$C$7:$C$190,3)</f>
        <v/>
      </c>
      <c r="G97" s="270">
        <f>SUMIFS('E1a Fleet (roll)'!W$7:W$190,'E1a Fleet (roll)'!$A$7:$A$190,"Pickup",'E1a Fleet (roll)'!$C$7:$C$190,3)</f>
        <v/>
      </c>
      <c r="H97" s="270">
        <f>SUMIFS('E1a Fleet (roll)'!X$7:X$190,'E1a Fleet (roll)'!$A$7:$A$190,"Pickup",'E1a Fleet (roll)'!$C$7:$C$190,3)</f>
        <v/>
      </c>
      <c r="I97" s="270">
        <f>SUMIFS('E1a Fleet (roll)'!Y$7:Y$190,'E1a Fleet (roll)'!$A$7:$A$190,"Pickup",'E1a Fleet (roll)'!$C$7:$C$190,3)</f>
        <v/>
      </c>
    </row>
    <row r="98">
      <c r="B98" s="238" t="inlineStr">
        <is>
          <t>Van / minivan — 0 (current or newer)</t>
        </is>
      </c>
      <c r="D98" s="270">
        <f>SUMIFS('E1a Fleet (roll)'!T$7:T$190,'E1a Fleet (roll)'!$A$7:$A$190,"Van",'E1a Fleet (roll)'!$C$7:$C$190,0)</f>
        <v/>
      </c>
      <c r="E98" s="270">
        <f>SUMIFS('E1a Fleet (roll)'!U$7:U$190,'E1a Fleet (roll)'!$A$7:$A$190,"Van",'E1a Fleet (roll)'!$C$7:$C$190,0)</f>
        <v/>
      </c>
      <c r="F98" s="270">
        <f>SUMIFS('E1a Fleet (roll)'!V$7:V$190,'E1a Fleet (roll)'!$A$7:$A$190,"Van",'E1a Fleet (roll)'!$C$7:$C$190,0)</f>
        <v/>
      </c>
      <c r="G98" s="270">
        <f>SUMIFS('E1a Fleet (roll)'!W$7:W$190,'E1a Fleet (roll)'!$A$7:$A$190,"Van",'E1a Fleet (roll)'!$C$7:$C$190,0)</f>
        <v/>
      </c>
      <c r="H98" s="270">
        <f>SUMIFS('E1a Fleet (roll)'!X$7:X$190,'E1a Fleet (roll)'!$A$7:$A$190,"Van",'E1a Fleet (roll)'!$C$7:$C$190,0)</f>
        <v/>
      </c>
      <c r="I98" s="270">
        <f>SUMIFS('E1a Fleet (roll)'!Y$7:Y$190,'E1a Fleet (roll)'!$A$7:$A$190,"Van",'E1a Fleet (roll)'!$C$7:$C$190,0)</f>
        <v/>
      </c>
    </row>
    <row r="99">
      <c r="B99" s="277" t="inlineStr">
        <is>
          <t>Van / minivan — 1–3 years</t>
        </is>
      </c>
      <c r="D99" s="270">
        <f>SUMIFS('E1a Fleet (roll)'!T$7:T$190,'E1a Fleet (roll)'!$A$7:$A$190,"Van",'E1a Fleet (roll)'!$C$7:$C$190,1)</f>
        <v/>
      </c>
      <c r="E99" s="270">
        <f>SUMIFS('E1a Fleet (roll)'!U$7:U$190,'E1a Fleet (roll)'!$A$7:$A$190,"Van",'E1a Fleet (roll)'!$C$7:$C$190,1)</f>
        <v/>
      </c>
      <c r="F99" s="270">
        <f>SUMIFS('E1a Fleet (roll)'!V$7:V$190,'E1a Fleet (roll)'!$A$7:$A$190,"Van",'E1a Fleet (roll)'!$C$7:$C$190,1)</f>
        <v/>
      </c>
      <c r="G99" s="270">
        <f>SUMIFS('E1a Fleet (roll)'!W$7:W$190,'E1a Fleet (roll)'!$A$7:$A$190,"Van",'E1a Fleet (roll)'!$C$7:$C$190,1)</f>
        <v/>
      </c>
      <c r="H99" s="270">
        <f>SUMIFS('E1a Fleet (roll)'!X$7:X$190,'E1a Fleet (roll)'!$A$7:$A$190,"Van",'E1a Fleet (roll)'!$C$7:$C$190,1)</f>
        <v/>
      </c>
      <c r="I99" s="270">
        <f>SUMIFS('E1a Fleet (roll)'!Y$7:Y$190,'E1a Fleet (roll)'!$A$7:$A$190,"Van",'E1a Fleet (roll)'!$C$7:$C$190,1)</f>
        <v/>
      </c>
    </row>
    <row r="100">
      <c r="B100" s="277" t="inlineStr">
        <is>
          <t>Van / minivan — 4–6 years</t>
        </is>
      </c>
      <c r="D100" s="270">
        <f>SUMIFS('E1a Fleet (roll)'!T$7:T$190,'E1a Fleet (roll)'!$A$7:$A$190,"Van",'E1a Fleet (roll)'!$C$7:$C$190,2)</f>
        <v/>
      </c>
      <c r="E100" s="270">
        <f>SUMIFS('E1a Fleet (roll)'!U$7:U$190,'E1a Fleet (roll)'!$A$7:$A$190,"Van",'E1a Fleet (roll)'!$C$7:$C$190,2)</f>
        <v/>
      </c>
      <c r="F100" s="270">
        <f>SUMIFS('E1a Fleet (roll)'!V$7:V$190,'E1a Fleet (roll)'!$A$7:$A$190,"Van",'E1a Fleet (roll)'!$C$7:$C$190,2)</f>
        <v/>
      </c>
      <c r="G100" s="270">
        <f>SUMIFS('E1a Fleet (roll)'!W$7:W$190,'E1a Fleet (roll)'!$A$7:$A$190,"Van",'E1a Fleet (roll)'!$C$7:$C$190,2)</f>
        <v/>
      </c>
      <c r="H100" s="270">
        <f>SUMIFS('E1a Fleet (roll)'!X$7:X$190,'E1a Fleet (roll)'!$A$7:$A$190,"Van",'E1a Fleet (roll)'!$C$7:$C$190,2)</f>
        <v/>
      </c>
      <c r="I100" s="270">
        <f>SUMIFS('E1a Fleet (roll)'!Y$7:Y$190,'E1a Fleet (roll)'!$A$7:$A$190,"Van",'E1a Fleet (roll)'!$C$7:$C$190,2)</f>
        <v/>
      </c>
    </row>
    <row r="101">
      <c r="B101" s="277" t="inlineStr">
        <is>
          <t>Van / minivan — 7+ years</t>
        </is>
      </c>
      <c r="D101" s="270">
        <f>SUMIFS('E1a Fleet (roll)'!T$7:T$190,'E1a Fleet (roll)'!$A$7:$A$190,"Van",'E1a Fleet (roll)'!$C$7:$C$190,3)</f>
        <v/>
      </c>
      <c r="E101" s="270">
        <f>SUMIFS('E1a Fleet (roll)'!U$7:U$190,'E1a Fleet (roll)'!$A$7:$A$190,"Van",'E1a Fleet (roll)'!$C$7:$C$190,3)</f>
        <v/>
      </c>
      <c r="F101" s="270">
        <f>SUMIFS('E1a Fleet (roll)'!V$7:V$190,'E1a Fleet (roll)'!$A$7:$A$190,"Van",'E1a Fleet (roll)'!$C$7:$C$190,3)</f>
        <v/>
      </c>
      <c r="G101" s="270">
        <f>SUMIFS('E1a Fleet (roll)'!W$7:W$190,'E1a Fleet (roll)'!$A$7:$A$190,"Van",'E1a Fleet (roll)'!$C$7:$C$190,3)</f>
        <v/>
      </c>
      <c r="H101" s="270">
        <f>SUMIFS('E1a Fleet (roll)'!X$7:X$190,'E1a Fleet (roll)'!$A$7:$A$190,"Van",'E1a Fleet (roll)'!$C$7:$C$190,3)</f>
        <v/>
      </c>
      <c r="I101" s="270">
        <f>SUMIFS('E1a Fleet (roll)'!Y$7:Y$190,'E1a Fleet (roll)'!$A$7:$A$190,"Van",'E1a Fleet (roll)'!$C$7:$C$190,3)</f>
        <v/>
      </c>
    </row>
    <row r="102"/>
    <row r="103">
      <c r="B103" s="254" t="inlineStr">
        <is>
          <t>F. Coverage &amp; filing (thesis 1): physical-damage coverage index, premium burden, and forward coverage paths</t>
        </is>
      </c>
      <c r="C103" s="274" t="n"/>
      <c r="D103" s="274" t="n"/>
      <c r="E103" s="274" t="n"/>
      <c r="F103" s="274" t="n"/>
      <c r="G103" s="274" t="n"/>
      <c r="H103" s="274" t="n"/>
      <c r="I103" s="274" t="n"/>
      <c r="J103" s="274" t="n"/>
      <c r="K103" s="274" t="n"/>
      <c r="L103" s="274" t="n"/>
      <c r="M103" s="274" t="n"/>
      <c r="N103" s="274" t="n"/>
      <c r="O103" s="274" t="n"/>
      <c r="P103" s="274" t="n"/>
      <c r="Q103" s="274" t="n"/>
      <c r="R103" s="274" t="n"/>
      <c r="S103" s="274"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row>
    <row r="105">
      <c r="B105" s="238" t="inlineStr">
        <is>
          <t>Uninsured-motorist rate (IRC; endpoints verified, path interpolated)</t>
        </is>
      </c>
      <c r="C105" s="256" t="inlineStr">
        <is>
          <t>%</t>
        </is>
      </c>
      <c r="D105" s="279">
        <f>'D Coverage'!D8</f>
        <v/>
      </c>
      <c r="E105" s="279">
        <f>'D Coverage'!$D$8+('D Coverage'!$J$8-'D Coverage'!$D$8)*(2018-2017)/6</f>
        <v/>
      </c>
      <c r="F105" s="279">
        <f>'D Coverage'!$D$8+('D Coverage'!$J$8-'D Coverage'!$D$8)*(2019-2017)/6</f>
        <v/>
      </c>
      <c r="G105" s="279">
        <f>'D Coverage'!$D$8+('D Coverage'!$J$8-'D Coverage'!$D$8)*(2020-2017)/6</f>
        <v/>
      </c>
      <c r="H105" s="279">
        <f>'D Coverage'!$D$8+('D Coverage'!$J$8-'D Coverage'!$D$8)*(2021-2017)/6</f>
        <v/>
      </c>
      <c r="I105" s="279">
        <f>'D Coverage'!$D$8+('D Coverage'!$J$8-'D Coverage'!$D$8)*(2022-2017)/6</f>
        <v/>
      </c>
      <c r="J105" s="279">
        <f>'D Coverage'!J8</f>
        <v/>
      </c>
      <c r="K105" s="279">
        <f>'D Coverage'!J8</f>
        <v/>
      </c>
      <c r="L105" s="279">
        <f>'D Coverage'!J8</f>
        <v/>
      </c>
      <c r="M105" s="279">
        <f>'D Coverage'!J8</f>
        <v/>
      </c>
      <c r="S105" s="234" t="inlineStr">
        <is>
          <t>UNVERIFIED path: linear between 2017 and 2023; 2024–26 held at 2023 (IRC notes UM "continues to tick upward")</t>
        </is>
      </c>
    </row>
    <row r="106">
      <c r="B106" s="238" t="inlineStr">
        <is>
          <t>Share of insured drivers with collision coverage (NAIC via III; 2023 only)</t>
        </is>
      </c>
      <c r="C106" s="256" t="inlineStr">
        <is>
          <t>%</t>
        </is>
      </c>
      <c r="D106" s="279">
        <f>'D Coverage'!$J$9</f>
        <v/>
      </c>
      <c r="E106" s="279">
        <f>'D Coverage'!$J$9</f>
        <v/>
      </c>
      <c r="F106" s="279">
        <f>'D Coverage'!$J$9</f>
        <v/>
      </c>
      <c r="G106" s="279">
        <f>'D Coverage'!$J$9</f>
        <v/>
      </c>
      <c r="H106" s="279">
        <f>'D Coverage'!$J$9</f>
        <v/>
      </c>
      <c r="I106" s="279">
        <f>'D Coverage'!$J$9</f>
        <v/>
      </c>
      <c r="J106" s="279">
        <f>'D Coverage'!$J$9</f>
        <v/>
      </c>
      <c r="K106" s="279">
        <f>'D Coverage'!$J$9</f>
        <v/>
      </c>
      <c r="L106" s="279">
        <f>'D Coverage'!$J$9</f>
        <v/>
      </c>
      <c r="M106" s="279">
        <f>'D Coverage'!$J$9</f>
        <v/>
      </c>
      <c r="S106" s="234" t="inlineStr">
        <is>
          <t>Held flat at the 2023 value in every year because NAIC history was not obtained; the index therefore understates any collision-share decline</t>
        </is>
      </c>
    </row>
    <row r="107">
      <c r="B107" s="242" t="inlineStr">
        <is>
          <t>Physical-damage coverage index  (1 − uninsured) × collision share, 2025 = 1</t>
        </is>
      </c>
      <c r="C107" s="256" t="inlineStr">
        <is>
          <t>x</t>
        </is>
      </c>
      <c r="D107" s="286">
        <f>(1-D105)*D106/((1-$L$105)*$L$106)</f>
        <v/>
      </c>
      <c r="E107" s="286">
        <f>(1-E105)*E106/((1-$L$105)*$L$106)</f>
        <v/>
      </c>
      <c r="F107" s="286">
        <f>(1-F105)*F106/((1-$L$105)*$L$106)</f>
        <v/>
      </c>
      <c r="G107" s="286">
        <f>(1-G105)*G106/((1-$L$105)*$L$106)</f>
        <v/>
      </c>
      <c r="H107" s="286">
        <f>(1-H105)*H106/((1-$L$105)*$L$106)</f>
        <v/>
      </c>
      <c r="I107" s="286">
        <f>(1-I105)*I106/((1-$L$105)*$L$106)</f>
        <v/>
      </c>
      <c r="J107" s="286">
        <f>(1-J105)*J106/((1-$L$105)*$L$106)</f>
        <v/>
      </c>
      <c r="K107" s="286">
        <f>(1-K105)*K106/((1-$L$105)*$L$106)</f>
        <v/>
      </c>
      <c r="L107" s="286">
        <f>(1-L105)*L106/((1-$L$105)*$L$106)</f>
        <v/>
      </c>
      <c r="M107" s="286">
        <f>(1-M105)*M106/((1-$L$105)*$L$106)</f>
        <v/>
      </c>
    </row>
    <row r="108">
      <c r="B108" s="238" t="inlineStr">
        <is>
          <t>Premium burden: insurance CPI ÷ average hourly earnings, 2025 = 1</t>
        </is>
      </c>
      <c r="C108" s="256" t="inlineStr">
        <is>
          <t>x</t>
        </is>
      </c>
      <c r="D108" s="283">
        <f>('D Coverage'!D5/'D Coverage'!D7)/('D Coverage'!$L$5/'D Coverage'!$L$7)</f>
        <v/>
      </c>
      <c r="E108" s="283">
        <f>('D Coverage'!E5/'D Coverage'!E7)/('D Coverage'!$L$5/'D Coverage'!$L$7)</f>
        <v/>
      </c>
      <c r="F108" s="283">
        <f>('D Coverage'!F5/'D Coverage'!F7)/('D Coverage'!$L$5/'D Coverage'!$L$7)</f>
        <v/>
      </c>
      <c r="G108" s="283">
        <f>('D Coverage'!G5/'D Coverage'!G7)/('D Coverage'!$L$5/'D Coverage'!$L$7)</f>
        <v/>
      </c>
      <c r="H108" s="283">
        <f>('D Coverage'!H5/'D Coverage'!H7)/('D Coverage'!$L$5/'D Coverage'!$L$7)</f>
        <v/>
      </c>
      <c r="I108" s="283">
        <f>('D Coverage'!I5/'D Coverage'!I7)/('D Coverage'!$L$5/'D Coverage'!$L$7)</f>
        <v/>
      </c>
      <c r="J108" s="283">
        <f>('D Coverage'!J5/'D Coverage'!J7)/('D Coverage'!$L$5/'D Coverage'!$L$7)</f>
        <v/>
      </c>
      <c r="K108" s="283">
        <f>('D Coverage'!K5/'D Coverage'!K7)/('D Coverage'!$L$5/'D Coverage'!$L$7)</f>
        <v/>
      </c>
      <c r="L108" s="283">
        <f>('D Coverage'!L5/'D Coverage'!L7)/('D Coverage'!$L$5/'D Coverage'!$L$7)</f>
        <v/>
      </c>
      <c r="M108" s="283">
        <f>('D Coverage'!M5/'D Coverage'!M7)/('D Coverage'!$L$5/'D Coverage'!$L$7)</f>
        <v/>
      </c>
    </row>
    <row r="109">
      <c r="B109" s="272" t="inlineStr">
        <is>
          <t xml:space="preserve">   premium burden y/y</t>
        </is>
      </c>
      <c r="C109" s="256" t="inlineStr">
        <is>
          <t>%</t>
        </is>
      </c>
      <c r="E109" s="273">
        <f>E108/D108-1</f>
        <v/>
      </c>
      <c r="F109" s="273">
        <f>F108/E108-1</f>
        <v/>
      </c>
      <c r="G109" s="273">
        <f>G108/F108-1</f>
        <v/>
      </c>
      <c r="H109" s="273">
        <f>H108/G108-1</f>
        <v/>
      </c>
      <c r="I109" s="273">
        <f>I108/H108-1</f>
        <v/>
      </c>
      <c r="J109" s="273">
        <f>J108/I108-1</f>
        <v/>
      </c>
      <c r="K109" s="273">
        <f>K108/J108-1</f>
        <v/>
      </c>
      <c r="L109" s="273">
        <f>L108/K108-1</f>
        <v/>
      </c>
      <c r="M109" s="273">
        <f>M108/L108-1</f>
        <v/>
      </c>
    </row>
    <row r="110">
      <c r="B110" s="238" t="inlineStr">
        <is>
          <t>Two-point coverage response ε = −ln(C₂₀₂₃ ÷ C₂₀₁₇) ÷ ln(B₂₀₂₃ ÷ B₂₀₁₇)</t>
        </is>
      </c>
      <c r="C110" s="256" t="inlineStr">
        <is>
          <t>x</t>
        </is>
      </c>
      <c r="D110" s="275">
        <f>-LN(J107/D107)/LN(J108/D108)</f>
        <v/>
      </c>
      <c r="S110" s="234" t="inlineStr">
        <is>
          <t>UNVERIFIED: two observations only; sign and scale indicative. Used solely in the premium-response path below</t>
        </is>
      </c>
    </row>
    <row r="111">
      <c r="B111" s="272" t="inlineStr">
        <is>
          <t>Context: CCC total claim volume y/y (2024, 2025) and ex-comprehensive</t>
        </is>
      </c>
      <c r="C111" s="256" t="inlineStr">
        <is>
          <t>%</t>
        </is>
      </c>
      <c r="K111" s="279">
        <f>'D Coverage'!K10</f>
        <v/>
      </c>
      <c r="L111" s="279">
        <f>'D Coverage'!L10</f>
        <v/>
      </c>
      <c r="S111" s="234" t="inlineStr">
        <is>
          <t>Coverage explains only part of the claim-volume decline; frequency and non-filing explain the rest</t>
        </is>
      </c>
    </row>
    <row r="112">
      <c r="B112" s="272" t="inlineStr">
        <is>
          <t xml:space="preserve">   ex-comprehensive</t>
        </is>
      </c>
      <c r="C112" s="256" t="inlineStr">
        <is>
          <t>%</t>
        </is>
      </c>
      <c r="K112" s="279">
        <f>'D Coverage'!K11</f>
        <v/>
      </c>
      <c r="L112" s="279">
        <f>'D Coverage'!L11</f>
        <v/>
      </c>
    </row>
    <row r="113"/>
    <row r="114">
      <c r="B114" s="254" t="inlineStr">
        <is>
          <t>Forward coverage ratios to the same quarter a year earlier, by path  (→ Scenarios units chain)</t>
        </is>
      </c>
      <c r="C114" s="274" t="n"/>
      <c r="D114" s="274" t="n"/>
      <c r="E114" s="274" t="n"/>
      <c r="F114" s="274" t="n"/>
      <c r="G114" s="274" t="n"/>
      <c r="H114" s="274" t="n"/>
      <c r="I114" s="274" t="n"/>
      <c r="J114" s="274" t="n"/>
      <c r="K114" s="274" t="n"/>
      <c r="L114" s="274" t="n"/>
      <c r="M114" s="274" t="n"/>
      <c r="N114" s="274" t="n"/>
      <c r="O114" s="274" t="n"/>
      <c r="P114" s="274" t="n"/>
      <c r="Q114" s="274" t="n"/>
      <c r="R114" s="274" t="n"/>
      <c r="S114" s="274"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286" t="n">
        <v>1</v>
      </c>
      <c r="I116" s="286" t="n">
        <v>1</v>
      </c>
      <c r="J116" s="286" t="n">
        <v>1</v>
      </c>
      <c r="K116" s="286" t="n">
        <v>1</v>
      </c>
      <c r="L116" s="286" t="n">
        <v>1</v>
      </c>
      <c r="M116" s="286" t="n">
        <v>1</v>
      </c>
      <c r="N116" s="286" t="n">
        <v>1</v>
      </c>
      <c r="O116" s="286" t="n">
        <v>1</v>
      </c>
      <c r="S116" s="234" t="inlineStr">
        <is>
          <t>The thesis: lapsed physical-damage coverage does not return because price and friction (lapse surcharges) have not improved</t>
        </is>
      </c>
    </row>
    <row r="117">
      <c r="B117" s="242" t="inlineStr">
        <is>
          <t>Premium-response: coverage ratio = (1 + premium growth − earnings growth)^(−ε)</t>
        </is>
      </c>
      <c r="C117" s="256" t="inlineStr">
        <is>
          <t>x</t>
        </is>
      </c>
      <c r="H117" s="286">
        <f>(1+$D$121-$D$122)^(-$D$110)</f>
        <v/>
      </c>
      <c r="I117" s="286">
        <f>(1+$D$121-$D$122)^(-$D$110)</f>
        <v/>
      </c>
      <c r="J117" s="286">
        <f>(1+$D$121-$D$122)^(-$D$110)</f>
        <v/>
      </c>
      <c r="K117" s="286">
        <f>(1+$D$121-$D$122)^(-$D$110)</f>
        <v/>
      </c>
      <c r="L117" s="286">
        <f>(1+$D$123-$D$122)^(-$D$110)</f>
        <v/>
      </c>
      <c r="M117" s="286">
        <f>(1+$D$123-$D$122)^(-$D$110)</f>
        <v/>
      </c>
      <c r="N117" s="286">
        <f>(1+$D$123-$D$122)^(-$D$110)</f>
        <v/>
      </c>
      <c r="O117" s="286">
        <f>(1+$D$123-$D$122)^(-$D$110)</f>
        <v/>
      </c>
      <c r="S117" s="234" t="inlineStr">
        <is>
          <t>Mechanistic bull path: what falling premiums would restore if coverage responded as in 2017–2023</t>
        </is>
      </c>
    </row>
    <row r="118">
      <c r="B118" s="242" t="inlineStr">
        <is>
          <t>Street-implied recovery: FY27 ratio reverse-solved so case 0 reaches JPM $4,061m; FY28 held</t>
        </is>
      </c>
      <c r="C118" s="256" t="inlineStr">
        <is>
          <t>x</t>
        </is>
      </c>
      <c r="H118" s="286">
        <f>1+$D$124</f>
        <v/>
      </c>
      <c r="I118" s="286">
        <f>1+$D$124</f>
        <v/>
      </c>
      <c r="J118" s="286">
        <f>1+$D$124</f>
        <v/>
      </c>
      <c r="K118" s="286">
        <f>1+$D$124</f>
        <v/>
      </c>
      <c r="L118" s="286" t="n">
        <v>1</v>
      </c>
      <c r="M118" s="286" t="n">
        <v>1</v>
      </c>
      <c r="N118" s="286" t="n">
        <v>1</v>
      </c>
      <c r="O118" s="286" t="n">
        <v>1</v>
      </c>
      <c r="S118" s="234" t="inlineStr">
        <is>
          <t>r = (JPM − case 1 legacy FY27) ÷ case 1 US insurance service FY27 (identity; RPU unchanged)</t>
        </is>
      </c>
    </row>
    <row r="119"/>
    <row r="120">
      <c r="B120" s="235" t="inlineStr">
        <is>
          <t>Coverage inputs</t>
        </is>
      </c>
      <c r="C120" s="236" t="n"/>
      <c r="D120" s="269" t="inlineStr">
        <is>
          <t>Value</t>
        </is>
      </c>
      <c r="E120" s="269" t="inlineStr">
        <is>
          <t>Label</t>
        </is>
      </c>
      <c r="F120" s="236" t="n"/>
      <c r="G120" s="236" t="n"/>
      <c r="H120" s="236" t="n"/>
      <c r="I120" s="236" t="n"/>
      <c r="J120" s="236" t="n"/>
      <c r="K120" s="236" t="n"/>
      <c r="L120" s="236" t="n"/>
      <c r="M120" s="236" t="n"/>
      <c r="N120" s="236" t="n"/>
      <c r="O120" s="236" t="n"/>
      <c r="P120" s="236" t="n"/>
      <c r="Q120" s="236" t="n"/>
      <c r="R120" s="236" t="n"/>
      <c r="S120" s="236" t="n"/>
    </row>
    <row r="121">
      <c r="B121" s="238" t="inlineStr">
        <is>
          <t>Premium growth, FY27 (default: BLS CPI motor vehicle insurance, Aug 2026 vs Aug 2025)</t>
        </is>
      </c>
      <c r="D121" s="279">
        <f>'D Coverage'!Q17</f>
        <v/>
      </c>
      <c r="E121" s="234" t="inlineStr">
        <is>
          <t>VERIFIED</t>
        </is>
      </c>
      <c r="S121" s="234" t="inlineStr">
        <is>
          <t>raw/bls series CUUR0000SETE, latest month y/y; the owner's S&amp;P forecast can replace it (licensed; paraphrase with date)</t>
        </is>
      </c>
    </row>
    <row r="122">
      <c r="B122" s="238" t="inlineStr">
        <is>
          <t>Earnings growth, FY27 and FY28 (default: CES average hourly earnings, latest year y/y)</t>
        </is>
      </c>
      <c r="D122" s="279">
        <f>'D Coverage'!M7/'D Coverage'!L7-1</f>
        <v/>
      </c>
      <c r="E122" s="234" t="inlineStr">
        <is>
          <t>VERIFIED</t>
        </is>
      </c>
      <c r="S122" s="234" t="inlineStr">
        <is>
          <t>raw/bls CES0500000003</t>
        </is>
      </c>
    </row>
    <row r="123">
      <c r="B123" s="238" t="inlineStr">
        <is>
          <t>Premium growth, FY28</t>
        </is>
      </c>
      <c r="D123" s="257" t="n">
        <v>0</v>
      </c>
      <c r="E123" s="234" t="inlineStr">
        <is>
          <t>ASSUMED</t>
        </is>
      </c>
      <c r="S123" s="234" t="inlineStr">
        <is>
          <t>Flat; replace with the S&amp;P 2027 forecast if the owner supplies it</t>
        </is>
      </c>
    </row>
    <row r="124">
      <c r="B124" s="238" t="inlineStr">
        <is>
          <t>r: Street-implied FY27 coverage recovery (reverse-solved, live)</t>
        </is>
      </c>
      <c r="D124">
        <f>(Scenarios!$D$108-Scenarios!Q29)/Scenarios!Q26</f>
        <v/>
      </c>
      <c r="E124" s="234" t="inlineStr">
        <is>
          <t>MEASURED</t>
        </is>
      </c>
      <c r="S124" s="234" t="inlineStr">
        <is>
          <t>Identity from Scenarios case 1 and the JPM benchmark; recomputes with every input change</t>
        </is>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Carrier weights: share of the insured total-loss pool (frozen at FQ4 FY26)</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State Farm</t>
        </is>
      </c>
      <c r="C6" s="256" t="inlineStr">
        <is>
          <t>share</t>
        </is>
      </c>
      <c r="D6" s="287">
        <f>'D Carriers'!$F$5</f>
        <v/>
      </c>
      <c r="E6" s="287">
        <f>'D Carriers'!$F$5</f>
        <v/>
      </c>
      <c r="F6" s="287">
        <f>'D Carriers'!$F$5</f>
        <v/>
      </c>
      <c r="G6" s="287">
        <f>'D Carriers'!$F$5</f>
        <v/>
      </c>
      <c r="H6" s="287">
        <f>'D Carriers'!$F$5</f>
        <v/>
      </c>
      <c r="I6" s="287">
        <f>'D Carriers'!$F$5</f>
        <v/>
      </c>
      <c r="J6" s="287">
        <f>'D Carriers'!$F$5</f>
        <v/>
      </c>
      <c r="K6" s="287">
        <f>'D Carriers'!$F$5</f>
        <v/>
      </c>
      <c r="L6" s="287">
        <f>'D Carriers'!$F$5</f>
        <v/>
      </c>
      <c r="M6" s="287">
        <f>'D Carriers'!$F$5</f>
        <v/>
      </c>
      <c r="N6" s="287">
        <f>'D Carriers'!$F$5</f>
        <v/>
      </c>
      <c r="O6" s="287">
        <f>'D Carriers'!$F$5</f>
        <v/>
      </c>
      <c r="S6" s="234" t="inlineStr">
        <is>
          <t>D Carriers (UNVERIFIED premium-share proxy; frozen per carrier test 28 Sep)</t>
        </is>
      </c>
    </row>
    <row r="7">
      <c r="B7" s="238" t="inlineStr">
        <is>
          <t>Progressive</t>
        </is>
      </c>
      <c r="C7" s="256" t="inlineStr">
        <is>
          <t>share</t>
        </is>
      </c>
      <c r="D7" s="287">
        <f>'D Carriers'!$F$6</f>
        <v/>
      </c>
      <c r="E7" s="287">
        <f>'D Carriers'!$F$6</f>
        <v/>
      </c>
      <c r="F7" s="287">
        <f>'D Carriers'!$F$6</f>
        <v/>
      </c>
      <c r="G7" s="287">
        <f>'D Carriers'!$F$6</f>
        <v/>
      </c>
      <c r="H7" s="287">
        <f>'D Carriers'!$F$6</f>
        <v/>
      </c>
      <c r="I7" s="287">
        <f>'D Carriers'!$F$6</f>
        <v/>
      </c>
      <c r="J7" s="287">
        <f>'D Carriers'!$F$6</f>
        <v/>
      </c>
      <c r="K7" s="287">
        <f>'D Carriers'!$F$6</f>
        <v/>
      </c>
      <c r="L7" s="287">
        <f>'D Carriers'!$F$6</f>
        <v/>
      </c>
      <c r="M7" s="287">
        <f>'D Carriers'!$F$6</f>
        <v/>
      </c>
      <c r="N7" s="287">
        <f>'D Carriers'!$F$6</f>
        <v/>
      </c>
      <c r="O7" s="287">
        <f>'D Carriers'!$F$6</f>
        <v/>
      </c>
    </row>
    <row r="8">
      <c r="B8" s="238" t="inlineStr">
        <is>
          <t>GEICO</t>
        </is>
      </c>
      <c r="C8" s="256" t="inlineStr">
        <is>
          <t>share</t>
        </is>
      </c>
      <c r="D8" s="287">
        <f>'D Carriers'!$F$7</f>
        <v/>
      </c>
      <c r="E8" s="287">
        <f>'D Carriers'!$F$7</f>
        <v/>
      </c>
      <c r="F8" s="287">
        <f>'D Carriers'!$F$7</f>
        <v/>
      </c>
      <c r="G8" s="287">
        <f>'D Carriers'!$F$7</f>
        <v/>
      </c>
      <c r="H8" s="287">
        <f>'D Carriers'!$F$7</f>
        <v/>
      </c>
      <c r="I8" s="287">
        <f>'D Carriers'!$F$7</f>
        <v/>
      </c>
      <c r="J8" s="287">
        <f>'D Carriers'!$F$7</f>
        <v/>
      </c>
      <c r="K8" s="287">
        <f>'D Carriers'!$F$7</f>
        <v/>
      </c>
      <c r="L8" s="287">
        <f>'D Carriers'!$F$7</f>
        <v/>
      </c>
      <c r="M8" s="287">
        <f>'D Carriers'!$F$7</f>
        <v/>
      </c>
      <c r="N8" s="287">
        <f>'D Carriers'!$F$7</f>
        <v/>
      </c>
      <c r="O8" s="287">
        <f>'D Carriers'!$F$7</f>
        <v/>
      </c>
    </row>
    <row r="9">
      <c r="B9" s="238" t="inlineStr">
        <is>
          <t>Allstate</t>
        </is>
      </c>
      <c r="C9" s="256" t="inlineStr">
        <is>
          <t>share</t>
        </is>
      </c>
      <c r="D9" s="287">
        <f>'D Carriers'!$F$8</f>
        <v/>
      </c>
      <c r="E9" s="287">
        <f>'D Carriers'!$F$8</f>
        <v/>
      </c>
      <c r="F9" s="287">
        <f>'D Carriers'!$F$8</f>
        <v/>
      </c>
      <c r="G9" s="287">
        <f>'D Carriers'!$F$8</f>
        <v/>
      </c>
      <c r="H9" s="287">
        <f>'D Carriers'!$F$8</f>
        <v/>
      </c>
      <c r="I9" s="287">
        <f>'D Carriers'!$F$8</f>
        <v/>
      </c>
      <c r="J9" s="287">
        <f>'D Carriers'!$F$8</f>
        <v/>
      </c>
      <c r="K9" s="287">
        <f>'D Carriers'!$F$8</f>
        <v/>
      </c>
      <c r="L9" s="287">
        <f>'D Carriers'!$F$8</f>
        <v/>
      </c>
      <c r="M9" s="287">
        <f>'D Carriers'!$F$8</f>
        <v/>
      </c>
      <c r="N9" s="287">
        <f>'D Carriers'!$F$8</f>
        <v/>
      </c>
      <c r="O9" s="287">
        <f>'D Carriers'!$F$8</f>
        <v/>
      </c>
    </row>
    <row r="10">
      <c r="B10" s="238" t="inlineStr">
        <is>
          <t>USAA</t>
        </is>
      </c>
      <c r="C10" s="256" t="inlineStr">
        <is>
          <t>share</t>
        </is>
      </c>
      <c r="D10" s="287">
        <f>'D Carriers'!$F$9</f>
        <v/>
      </c>
      <c r="E10" s="287">
        <f>'D Carriers'!$F$9</f>
        <v/>
      </c>
      <c r="F10" s="287">
        <f>'D Carriers'!$F$9</f>
        <v/>
      </c>
      <c r="G10" s="287">
        <f>'D Carriers'!$F$9</f>
        <v/>
      </c>
      <c r="H10" s="287">
        <f>'D Carriers'!$F$9</f>
        <v/>
      </c>
      <c r="I10" s="287">
        <f>'D Carriers'!$F$9</f>
        <v/>
      </c>
      <c r="J10" s="287">
        <f>'D Carriers'!$F$9</f>
        <v/>
      </c>
      <c r="K10" s="287">
        <f>'D Carriers'!$F$9</f>
        <v/>
      </c>
      <c r="L10" s="287">
        <f>'D Carriers'!$F$9</f>
        <v/>
      </c>
      <c r="M10" s="287">
        <f>'D Carriers'!$F$9</f>
        <v/>
      </c>
      <c r="N10" s="287">
        <f>'D Carriers'!$F$9</f>
        <v/>
      </c>
      <c r="O10" s="287">
        <f>'D Carriers'!$F$9</f>
        <v/>
      </c>
    </row>
    <row r="11">
      <c r="B11" s="238" t="inlineStr">
        <is>
          <t>Farmers</t>
        </is>
      </c>
      <c r="C11" s="256" t="inlineStr">
        <is>
          <t>share</t>
        </is>
      </c>
      <c r="D11" s="287">
        <f>'D Carriers'!$F$10</f>
        <v/>
      </c>
      <c r="E11" s="287">
        <f>'D Carriers'!$F$10</f>
        <v/>
      </c>
      <c r="F11" s="287">
        <f>'D Carriers'!$F$10</f>
        <v/>
      </c>
      <c r="G11" s="287">
        <f>'D Carriers'!$F$10</f>
        <v/>
      </c>
      <c r="H11" s="287">
        <f>'D Carriers'!$F$10</f>
        <v/>
      </c>
      <c r="I11" s="287">
        <f>'D Carriers'!$F$10</f>
        <v/>
      </c>
      <c r="J11" s="287">
        <f>'D Carriers'!$F$10</f>
        <v/>
      </c>
      <c r="K11" s="287">
        <f>'D Carriers'!$F$10</f>
        <v/>
      </c>
      <c r="L11" s="287">
        <f>'D Carriers'!$F$10</f>
        <v/>
      </c>
      <c r="M11" s="287">
        <f>'D Carriers'!$F$10</f>
        <v/>
      </c>
      <c r="N11" s="287">
        <f>'D Carriers'!$F$10</f>
        <v/>
      </c>
      <c r="O11" s="287">
        <f>'D Carriers'!$F$10</f>
        <v/>
      </c>
    </row>
    <row r="12">
      <c r="B12" s="238" t="inlineStr">
        <is>
          <t>Liberty Mutual</t>
        </is>
      </c>
      <c r="C12" s="256" t="inlineStr">
        <is>
          <t>share</t>
        </is>
      </c>
      <c r="D12" s="287">
        <f>'D Carriers'!$F$11</f>
        <v/>
      </c>
      <c r="E12" s="287">
        <f>'D Carriers'!$F$11</f>
        <v/>
      </c>
      <c r="F12" s="287">
        <f>'D Carriers'!$F$11</f>
        <v/>
      </c>
      <c r="G12" s="287">
        <f>'D Carriers'!$F$11</f>
        <v/>
      </c>
      <c r="H12" s="287">
        <f>'D Carriers'!$F$11</f>
        <v/>
      </c>
      <c r="I12" s="287">
        <f>'D Carriers'!$F$11</f>
        <v/>
      </c>
      <c r="J12" s="287">
        <f>'D Carriers'!$F$11</f>
        <v/>
      </c>
      <c r="K12" s="287">
        <f>'D Carriers'!$F$11</f>
        <v/>
      </c>
      <c r="L12" s="287">
        <f>'D Carriers'!$F$11</f>
        <v/>
      </c>
      <c r="M12" s="287">
        <f>'D Carriers'!$F$11</f>
        <v/>
      </c>
      <c r="N12" s="287">
        <f>'D Carriers'!$F$11</f>
        <v/>
      </c>
      <c r="O12" s="287">
        <f>'D Carriers'!$F$11</f>
        <v/>
      </c>
    </row>
    <row r="13">
      <c r="B13" s="238" t="inlineStr">
        <is>
          <t>Travelers</t>
        </is>
      </c>
      <c r="C13" s="256" t="inlineStr">
        <is>
          <t>share</t>
        </is>
      </c>
      <c r="D13" s="287">
        <f>'D Carriers'!$F$12</f>
        <v/>
      </c>
      <c r="E13" s="287">
        <f>'D Carriers'!$F$12</f>
        <v/>
      </c>
      <c r="F13" s="287">
        <f>'D Carriers'!$F$12</f>
        <v/>
      </c>
      <c r="G13" s="287">
        <f>'D Carriers'!$F$12</f>
        <v/>
      </c>
      <c r="H13" s="287">
        <f>'D Carriers'!$F$12</f>
        <v/>
      </c>
      <c r="I13" s="287">
        <f>'D Carriers'!$F$12</f>
        <v/>
      </c>
      <c r="J13" s="287">
        <f>'D Carriers'!$F$12</f>
        <v/>
      </c>
      <c r="K13" s="287">
        <f>'D Carriers'!$F$12</f>
        <v/>
      </c>
      <c r="L13" s="287">
        <f>'D Carriers'!$F$12</f>
        <v/>
      </c>
      <c r="M13" s="287">
        <f>'D Carriers'!$F$12</f>
        <v/>
      </c>
      <c r="N13" s="287">
        <f>'D Carriers'!$F$12</f>
        <v/>
      </c>
      <c r="O13" s="287">
        <f>'D Carriers'!$F$12</f>
        <v/>
      </c>
    </row>
    <row r="14">
      <c r="B14" s="238" t="inlineStr">
        <is>
          <t>Nationwide</t>
        </is>
      </c>
      <c r="C14" s="256" t="inlineStr">
        <is>
          <t>share</t>
        </is>
      </c>
      <c r="D14" s="287">
        <f>'D Carriers'!$F$13</f>
        <v/>
      </c>
      <c r="E14" s="287">
        <f>'D Carriers'!$F$13</f>
        <v/>
      </c>
      <c r="F14" s="287">
        <f>'D Carriers'!$F$13</f>
        <v/>
      </c>
      <c r="G14" s="287">
        <f>'D Carriers'!$F$13</f>
        <v/>
      </c>
      <c r="H14" s="287">
        <f>'D Carriers'!$F$13</f>
        <v/>
      </c>
      <c r="I14" s="287">
        <f>'D Carriers'!$F$13</f>
        <v/>
      </c>
      <c r="J14" s="287">
        <f>'D Carriers'!$F$13</f>
        <v/>
      </c>
      <c r="K14" s="287">
        <f>'D Carriers'!$F$13</f>
        <v/>
      </c>
      <c r="L14" s="287">
        <f>'D Carriers'!$F$13</f>
        <v/>
      </c>
      <c r="M14" s="287">
        <f>'D Carriers'!$F$13</f>
        <v/>
      </c>
      <c r="N14" s="287">
        <f>'D Carriers'!$F$13</f>
        <v/>
      </c>
      <c r="O14" s="287">
        <f>'D Carriers'!$F$13</f>
        <v/>
      </c>
    </row>
    <row r="15">
      <c r="B15" s="238" t="inlineStr">
        <is>
          <t>Other (Erie, AAA, AmFam, regionals)</t>
        </is>
      </c>
      <c r="C15" s="256" t="inlineStr">
        <is>
          <t>share</t>
        </is>
      </c>
      <c r="D15" s="287">
        <f>'D Carriers'!$F$14</f>
        <v/>
      </c>
      <c r="E15" s="287">
        <f>'D Carriers'!$F$14</f>
        <v/>
      </c>
      <c r="F15" s="287">
        <f>'D Carriers'!$F$14</f>
        <v/>
      </c>
      <c r="G15" s="287">
        <f>'D Carriers'!$F$14</f>
        <v/>
      </c>
      <c r="H15" s="287">
        <f>'D Carriers'!$F$14</f>
        <v/>
      </c>
      <c r="I15" s="287">
        <f>'D Carriers'!$F$14</f>
        <v/>
      </c>
      <c r="J15" s="287">
        <f>'D Carriers'!$F$14</f>
        <v/>
      </c>
      <c r="K15" s="287">
        <f>'D Carriers'!$F$14</f>
        <v/>
      </c>
      <c r="L15" s="287">
        <f>'D Carriers'!$F$14</f>
        <v/>
      </c>
      <c r="M15" s="287">
        <f>'D Carriers'!$F$14</f>
        <v/>
      </c>
      <c r="N15" s="287">
        <f>'D Carriers'!$F$14</f>
        <v/>
      </c>
      <c r="O15" s="287">
        <f>'D Carriers'!$F$14</f>
        <v/>
      </c>
    </row>
    <row r="16">
      <c r="B16" s="272" t="inlineStr">
        <is>
          <t xml:space="preserve">   check: weights sum to one</t>
        </is>
      </c>
      <c r="D16" s="284">
        <f>SUM(D6:D15)</f>
        <v/>
      </c>
      <c r="E16" s="284">
        <f>SUM(E6:E15)</f>
        <v/>
      </c>
      <c r="F16" s="284">
        <f>SUM(F6:F15)</f>
        <v/>
      </c>
      <c r="G16" s="284">
        <f>SUM(G6:G15)</f>
        <v/>
      </c>
      <c r="H16" s="284">
        <f>SUM(H6:H15)</f>
        <v/>
      </c>
      <c r="I16" s="284">
        <f>SUM(I6:I15)</f>
        <v/>
      </c>
      <c r="J16" s="284">
        <f>SUM(J6:J15)</f>
        <v/>
      </c>
      <c r="K16" s="284">
        <f>SUM(K6:K15)</f>
        <v/>
      </c>
      <c r="L16" s="284">
        <f>SUM(L6:L15)</f>
        <v/>
      </c>
      <c r="M16" s="284">
        <f>SUM(M6:M15)</f>
        <v/>
      </c>
      <c r="N16" s="284">
        <f>SUM(N6:N15)</f>
        <v/>
      </c>
      <c r="O16" s="284">
        <f>SUM(O6:O15)</f>
        <v/>
      </c>
    </row>
    <row r="17"/>
    <row r="18">
      <c r="B18" s="254" t="inlineStr">
        <is>
          <t>B. Copart allocation by carrier — base: FY26 inherited reconstruction; from FQ1 FY27 Progressive follows its runoff path and every other carrier is frozen at FQ4 FY26</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State Farm</t>
        </is>
      </c>
      <c r="C19" s="256" t="inlineStr">
        <is>
          <t>share</t>
        </is>
      </c>
      <c r="D19" s="282">
        <f>'D Carriers'!$C$18</f>
        <v/>
      </c>
      <c r="E19" s="282">
        <f>'D Carriers'!$D$18</f>
        <v/>
      </c>
      <c r="F19" s="282">
        <f>'D Carriers'!$E$18</f>
        <v/>
      </c>
      <c r="G19" s="282">
        <f>'D Carriers'!$F$18</f>
        <v/>
      </c>
      <c r="H19" s="282">
        <f>'D Carriers'!$F$18</f>
        <v/>
      </c>
      <c r="I19" s="282">
        <f>'D Carriers'!$F$18</f>
        <v/>
      </c>
      <c r="J19" s="282">
        <f>'D Carriers'!$F$18</f>
        <v/>
      </c>
      <c r="K19" s="282">
        <f>'D Carriers'!$F$18</f>
        <v/>
      </c>
      <c r="L19" s="282">
        <f>'D Carriers'!$F$18</f>
        <v/>
      </c>
      <c r="M19" s="282">
        <f>'D Carriers'!$F$18</f>
        <v/>
      </c>
      <c r="N19" s="282">
        <f>'D Carriers'!$F$18</f>
        <v/>
      </c>
      <c r="O19" s="282">
        <f>'D Carriers'!$F$18</f>
        <v/>
      </c>
    </row>
    <row r="20">
      <c r="B20" s="238" t="inlineStr">
        <is>
          <t>Progressive</t>
        </is>
      </c>
      <c r="C20" s="256" t="inlineStr">
        <is>
          <t>share</t>
        </is>
      </c>
      <c r="D20" s="282">
        <f>'D Carriers'!$C$19</f>
        <v/>
      </c>
      <c r="E20" s="282">
        <f>'D Carriers'!$D$19</f>
        <v/>
      </c>
      <c r="F20" s="282">
        <f>'D Carriers'!$E$19</f>
        <v/>
      </c>
      <c r="G20" s="282">
        <f>'D Carriers'!$F$19</f>
        <v/>
      </c>
      <c r="H20" s="282">
        <f>'D Carriers'!$G$19</f>
        <v/>
      </c>
      <c r="I20" s="282">
        <f>'D Carriers'!$H$19</f>
        <v/>
      </c>
      <c r="J20" s="282">
        <f>'D Carriers'!$I$19</f>
        <v/>
      </c>
      <c r="K20" s="282">
        <f>'D Carriers'!$J$19</f>
        <v/>
      </c>
      <c r="L20" s="282">
        <f>'D Carriers'!$J$19</f>
        <v/>
      </c>
      <c r="M20" s="282">
        <f>'D Carriers'!$J$19</f>
        <v/>
      </c>
      <c r="N20" s="282">
        <f>'D Carriers'!$J$19</f>
        <v/>
      </c>
      <c r="O20" s="282">
        <f>'D Carriers'!$J$19</f>
        <v/>
      </c>
      <c r="S20" s="234" t="inlineStr">
        <is>
          <t>Progressive: inherited runoff (FITTED to the FQ4 FY26 print), then flat</t>
        </is>
      </c>
    </row>
    <row r="21">
      <c r="B21" s="238" t="inlineStr">
        <is>
          <t>GEICO</t>
        </is>
      </c>
      <c r="C21" s="256" t="inlineStr">
        <is>
          <t>share</t>
        </is>
      </c>
      <c r="D21" s="282">
        <f>'D Carriers'!$C$20</f>
        <v/>
      </c>
      <c r="E21" s="282">
        <f>'D Carriers'!$D$20</f>
        <v/>
      </c>
      <c r="F21" s="282">
        <f>'D Carriers'!$E$20</f>
        <v/>
      </c>
      <c r="G21" s="282">
        <f>'D Carriers'!$F$20</f>
        <v/>
      </c>
      <c r="H21" s="282">
        <f>'D Carriers'!$F$20</f>
        <v/>
      </c>
      <c r="I21" s="282">
        <f>'D Carriers'!$F$20</f>
        <v/>
      </c>
      <c r="J21" s="282">
        <f>'D Carriers'!$F$20</f>
        <v/>
      </c>
      <c r="K21" s="282">
        <f>'D Carriers'!$F$20</f>
        <v/>
      </c>
      <c r="L21" s="282">
        <f>'D Carriers'!$F$20</f>
        <v/>
      </c>
      <c r="M21" s="282">
        <f>'D Carriers'!$F$20</f>
        <v/>
      </c>
      <c r="N21" s="282">
        <f>'D Carriers'!$F$20</f>
        <v/>
      </c>
      <c r="O21" s="282">
        <f>'D Carriers'!$F$20</f>
        <v/>
      </c>
    </row>
    <row r="22">
      <c r="B22" s="238" t="inlineStr">
        <is>
          <t>Allstate</t>
        </is>
      </c>
      <c r="C22" s="256" t="inlineStr">
        <is>
          <t>share</t>
        </is>
      </c>
      <c r="D22" s="282">
        <f>'D Carriers'!$C$21</f>
        <v/>
      </c>
      <c r="E22" s="282">
        <f>'D Carriers'!$D$21</f>
        <v/>
      </c>
      <c r="F22" s="282">
        <f>'D Carriers'!$E$21</f>
        <v/>
      </c>
      <c r="G22" s="282">
        <f>'D Carriers'!$F$21</f>
        <v/>
      </c>
      <c r="H22" s="282">
        <f>'D Carriers'!$F$21</f>
        <v/>
      </c>
      <c r="I22" s="282">
        <f>'D Carriers'!$F$21</f>
        <v/>
      </c>
      <c r="J22" s="282">
        <f>'D Carriers'!$F$21</f>
        <v/>
      </c>
      <c r="K22" s="282">
        <f>'D Carriers'!$F$21</f>
        <v/>
      </c>
      <c r="L22" s="282">
        <f>'D Carriers'!$F$21</f>
        <v/>
      </c>
      <c r="M22" s="282">
        <f>'D Carriers'!$F$21</f>
        <v/>
      </c>
      <c r="N22" s="282">
        <f>'D Carriers'!$F$21</f>
        <v/>
      </c>
      <c r="O22" s="282">
        <f>'D Carriers'!$F$21</f>
        <v/>
      </c>
    </row>
    <row r="23">
      <c r="B23" s="238" t="inlineStr">
        <is>
          <t>USAA</t>
        </is>
      </c>
      <c r="C23" s="256" t="inlineStr">
        <is>
          <t>share</t>
        </is>
      </c>
      <c r="D23" s="282">
        <f>'D Carriers'!$C$22</f>
        <v/>
      </c>
      <c r="E23" s="282">
        <f>'D Carriers'!$D$22</f>
        <v/>
      </c>
      <c r="F23" s="282">
        <f>'D Carriers'!$E$22</f>
        <v/>
      </c>
      <c r="G23" s="282">
        <f>'D Carriers'!$F$22</f>
        <v/>
      </c>
      <c r="H23" s="282">
        <f>'D Carriers'!$F$22</f>
        <v/>
      </c>
      <c r="I23" s="282">
        <f>'D Carriers'!$F$22</f>
        <v/>
      </c>
      <c r="J23" s="282">
        <f>'D Carriers'!$F$22</f>
        <v/>
      </c>
      <c r="K23" s="282">
        <f>'D Carriers'!$F$22</f>
        <v/>
      </c>
      <c r="L23" s="282">
        <f>'D Carriers'!$F$22</f>
        <v/>
      </c>
      <c r="M23" s="282">
        <f>'D Carriers'!$F$22</f>
        <v/>
      </c>
      <c r="N23" s="282">
        <f>'D Carriers'!$F$22</f>
        <v/>
      </c>
      <c r="O23" s="282">
        <f>'D Carriers'!$F$22</f>
        <v/>
      </c>
    </row>
    <row r="24">
      <c r="B24" s="238" t="inlineStr">
        <is>
          <t>Farmers</t>
        </is>
      </c>
      <c r="C24" s="256" t="inlineStr">
        <is>
          <t>share</t>
        </is>
      </c>
      <c r="D24" s="282">
        <f>'D Carriers'!$C$23</f>
        <v/>
      </c>
      <c r="E24" s="282">
        <f>'D Carriers'!$D$23</f>
        <v/>
      </c>
      <c r="F24" s="282">
        <f>'D Carriers'!$E$23</f>
        <v/>
      </c>
      <c r="G24" s="282">
        <f>'D Carriers'!$F$23</f>
        <v/>
      </c>
      <c r="H24" s="282">
        <f>'D Carriers'!$F$23</f>
        <v/>
      </c>
      <c r="I24" s="282">
        <f>'D Carriers'!$F$23</f>
        <v/>
      </c>
      <c r="J24" s="282">
        <f>'D Carriers'!$F$23</f>
        <v/>
      </c>
      <c r="K24" s="282">
        <f>'D Carriers'!$F$23</f>
        <v/>
      </c>
      <c r="L24" s="282">
        <f>'D Carriers'!$F$23</f>
        <v/>
      </c>
      <c r="M24" s="282">
        <f>'D Carriers'!$F$23</f>
        <v/>
      </c>
      <c r="N24" s="282">
        <f>'D Carriers'!$F$23</f>
        <v/>
      </c>
      <c r="O24" s="282">
        <f>'D Carriers'!$F$23</f>
        <v/>
      </c>
    </row>
    <row r="25">
      <c r="B25" s="238" t="inlineStr">
        <is>
          <t>Liberty Mutual</t>
        </is>
      </c>
      <c r="C25" s="256" t="inlineStr">
        <is>
          <t>share</t>
        </is>
      </c>
      <c r="D25" s="282">
        <f>'D Carriers'!$C$24</f>
        <v/>
      </c>
      <c r="E25" s="282">
        <f>'D Carriers'!$D$24</f>
        <v/>
      </c>
      <c r="F25" s="282">
        <f>'D Carriers'!$E$24</f>
        <v/>
      </c>
      <c r="G25" s="282">
        <f>'D Carriers'!$F$24</f>
        <v/>
      </c>
      <c r="H25" s="282">
        <f>'D Carriers'!$F$24</f>
        <v/>
      </c>
      <c r="I25" s="282">
        <f>'D Carriers'!$F$24</f>
        <v/>
      </c>
      <c r="J25" s="282">
        <f>'D Carriers'!$F$24</f>
        <v/>
      </c>
      <c r="K25" s="282">
        <f>'D Carriers'!$F$24</f>
        <v/>
      </c>
      <c r="L25" s="282">
        <f>'D Carriers'!$F$24</f>
        <v/>
      </c>
      <c r="M25" s="282">
        <f>'D Carriers'!$F$24</f>
        <v/>
      </c>
      <c r="N25" s="282">
        <f>'D Carriers'!$F$24</f>
        <v/>
      </c>
      <c r="O25" s="282">
        <f>'D Carriers'!$F$24</f>
        <v/>
      </c>
    </row>
    <row r="26">
      <c r="B26" s="238" t="inlineStr">
        <is>
          <t>Travelers</t>
        </is>
      </c>
      <c r="C26" s="256" t="inlineStr">
        <is>
          <t>share</t>
        </is>
      </c>
      <c r="D26" s="282">
        <f>'D Carriers'!$C$25</f>
        <v/>
      </c>
      <c r="E26" s="282">
        <f>'D Carriers'!$D$25</f>
        <v/>
      </c>
      <c r="F26" s="282">
        <f>'D Carriers'!$E$25</f>
        <v/>
      </c>
      <c r="G26" s="282">
        <f>'D Carriers'!$F$25</f>
        <v/>
      </c>
      <c r="H26" s="282">
        <f>'D Carriers'!$F$25</f>
        <v/>
      </c>
      <c r="I26" s="282">
        <f>'D Carriers'!$F$25</f>
        <v/>
      </c>
      <c r="J26" s="282">
        <f>'D Carriers'!$F$25</f>
        <v/>
      </c>
      <c r="K26" s="282">
        <f>'D Carriers'!$F$25</f>
        <v/>
      </c>
      <c r="L26" s="282">
        <f>'D Carriers'!$F$25</f>
        <v/>
      </c>
      <c r="M26" s="282">
        <f>'D Carriers'!$F$25</f>
        <v/>
      </c>
      <c r="N26" s="282">
        <f>'D Carriers'!$F$25</f>
        <v/>
      </c>
      <c r="O26" s="282">
        <f>'D Carriers'!$F$25</f>
        <v/>
      </c>
    </row>
    <row r="27">
      <c r="B27" s="238" t="inlineStr">
        <is>
          <t>Nationwide</t>
        </is>
      </c>
      <c r="C27" s="256" t="inlineStr">
        <is>
          <t>share</t>
        </is>
      </c>
      <c r="D27" s="282">
        <f>'D Carriers'!$C$26</f>
        <v/>
      </c>
      <c r="E27" s="282">
        <f>'D Carriers'!$D$26</f>
        <v/>
      </c>
      <c r="F27" s="282">
        <f>'D Carriers'!$E$26</f>
        <v/>
      </c>
      <c r="G27" s="282">
        <f>'D Carriers'!$F$26</f>
        <v/>
      </c>
      <c r="H27" s="282">
        <f>'D Carriers'!$F$26</f>
        <v/>
      </c>
      <c r="I27" s="282">
        <f>'D Carriers'!$F$26</f>
        <v/>
      </c>
      <c r="J27" s="282">
        <f>'D Carriers'!$F$26</f>
        <v/>
      </c>
      <c r="K27" s="282">
        <f>'D Carriers'!$F$26</f>
        <v/>
      </c>
      <c r="L27" s="282">
        <f>'D Carriers'!$F$26</f>
        <v/>
      </c>
      <c r="M27" s="282">
        <f>'D Carriers'!$F$26</f>
        <v/>
      </c>
      <c r="N27" s="282">
        <f>'D Carriers'!$F$26</f>
        <v/>
      </c>
      <c r="O27" s="282">
        <f>'D Carriers'!$F$26</f>
        <v/>
      </c>
    </row>
    <row r="28">
      <c r="B28" s="238" t="inlineStr">
        <is>
          <t>Other (Erie, AAA, AmFam, regionals)</t>
        </is>
      </c>
      <c r="C28" s="256" t="inlineStr">
        <is>
          <t>share</t>
        </is>
      </c>
      <c r="D28" s="282">
        <f>'D Carriers'!$C$27</f>
        <v/>
      </c>
      <c r="E28" s="282">
        <f>'D Carriers'!$D$27</f>
        <v/>
      </c>
      <c r="F28" s="282">
        <f>'D Carriers'!$E$27</f>
        <v/>
      </c>
      <c r="G28" s="282">
        <f>'D Carriers'!$F$27</f>
        <v/>
      </c>
      <c r="H28" s="282">
        <f>'D Carriers'!$F$27</f>
        <v/>
      </c>
      <c r="I28" s="282">
        <f>'D Carriers'!$F$27</f>
        <v/>
      </c>
      <c r="J28" s="282">
        <f>'D Carriers'!$F$27</f>
        <v/>
      </c>
      <c r="K28" s="282">
        <f>'D Carriers'!$F$27</f>
        <v/>
      </c>
      <c r="L28" s="282">
        <f>'D Carriers'!$F$27</f>
        <v/>
      </c>
      <c r="M28" s="282">
        <f>'D Carriers'!$F$27</f>
        <v/>
      </c>
      <c r="N28" s="282">
        <f>'D Carriers'!$F$27</f>
        <v/>
      </c>
      <c r="O28" s="282">
        <f>'D Carriers'!$F$27</f>
        <v/>
      </c>
    </row>
    <row r="29"/>
    <row r="30">
      <c r="B30" s="254" t="inlineStr">
        <is>
          <t>C. Allocation with thesis-A additions — events switch a carrier to its inherited event path; drift subtracts points per quarter from FQ1 FY27</t>
        </is>
      </c>
      <c r="C30" s="274" t="n"/>
      <c r="D30" s="274" t="n"/>
      <c r="E30" s="274" t="n"/>
      <c r="F30" s="274" t="n"/>
      <c r="G30" s="274" t="n"/>
      <c r="H30" s="274" t="n"/>
      <c r="I30" s="274" t="n"/>
      <c r="J30" s="274" t="n"/>
      <c r="K30" s="274" t="n"/>
      <c r="L30" s="274" t="n"/>
      <c r="M30" s="274" t="n"/>
      <c r="N30" s="274" t="n"/>
      <c r="O30" s="274" t="n"/>
      <c r="P30" s="274" t="n"/>
      <c r="Q30" s="274" t="n"/>
      <c r="R30" s="274" t="n"/>
      <c r="S30" s="274" t="n"/>
    </row>
    <row r="31">
      <c r="B31" s="238" t="inlineStr">
        <is>
          <t>State Farm</t>
        </is>
      </c>
      <c r="C31" s="256" t="inlineStr">
        <is>
          <t>share</t>
        </is>
      </c>
      <c r="D31" s="275">
        <f>D19</f>
        <v/>
      </c>
      <c r="E31" s="275">
        <f>E19</f>
        <v/>
      </c>
      <c r="F31" s="275">
        <f>F19</f>
        <v/>
      </c>
      <c r="G31" s="275">
        <f>G19</f>
        <v/>
      </c>
      <c r="H31" s="275">
        <f>MAX(0,IF($D$67*$D$64=1,'D Carriers'!$G$18,H19)-$D$69*1*$D$64)</f>
        <v/>
      </c>
      <c r="I31" s="275">
        <f>MAX(0,IF($D$67*$D$64=1,'D Carriers'!$H$18,I19)-$D$69*2*$D$64)</f>
        <v/>
      </c>
      <c r="J31" s="275">
        <f>MAX(0,IF($D$67*$D$64=1,'D Carriers'!$I$18,J19)-$D$69*3*$D$64)</f>
        <v/>
      </c>
      <c r="K31" s="275">
        <f>MAX(0,IF($D$67*$D$64=1,'D Carriers'!$J$18,K19)-$D$69*4*$D$64)</f>
        <v/>
      </c>
      <c r="L31" s="275">
        <f>MAX(0,IF($D$67*$D$64=1,'D Carriers'!$J$18,L19)-$D$69*5*$D$64)</f>
        <v/>
      </c>
      <c r="M31" s="275">
        <f>MAX(0,IF($D$67*$D$64=1,'D Carriers'!$J$18,M19)-$D$69*6*$D$64)</f>
        <v/>
      </c>
      <c r="N31" s="275">
        <f>MAX(0,IF($D$67*$D$64=1,'D Carriers'!$J$18,N19)-$D$69*7*$D$64)</f>
        <v/>
      </c>
      <c r="O31" s="275">
        <f>MAX(0,IF($D$67*$D$64=1,'D Carriers'!$J$18,O19)-$D$69*8*$D$64)</f>
        <v/>
      </c>
    </row>
    <row r="32">
      <c r="B32" s="238" t="inlineStr">
        <is>
          <t>Progressive</t>
        </is>
      </c>
      <c r="C32" s="256" t="inlineStr">
        <is>
          <t>share</t>
        </is>
      </c>
      <c r="D32" s="275">
        <f>D20</f>
        <v/>
      </c>
      <c r="E32" s="275">
        <f>E20</f>
        <v/>
      </c>
      <c r="F32" s="275">
        <f>F20</f>
        <v/>
      </c>
      <c r="G32" s="275">
        <f>G20</f>
        <v/>
      </c>
      <c r="H32" s="275">
        <f>MAX(0,H20-$D$70*1*$D$64)</f>
        <v/>
      </c>
      <c r="I32" s="275">
        <f>MAX(0,I20-$D$70*2*$D$64)</f>
        <v/>
      </c>
      <c r="J32" s="275">
        <f>MAX(0,J20-$D$70*3*$D$64)</f>
        <v/>
      </c>
      <c r="K32" s="275">
        <f>MAX(0,K20-$D$70*4*$D$64)</f>
        <v/>
      </c>
      <c r="L32" s="275">
        <f>MAX(0,L20-$D$70*5*$D$64)</f>
        <v/>
      </c>
      <c r="M32" s="275">
        <f>MAX(0,M20-$D$70*6*$D$64)</f>
        <v/>
      </c>
      <c r="N32" s="275">
        <f>MAX(0,N20-$D$70*7*$D$64)</f>
        <v/>
      </c>
      <c r="O32" s="275">
        <f>MAX(0,O20-$D$70*8*$D$64)</f>
        <v/>
      </c>
    </row>
    <row r="33">
      <c r="B33" s="238" t="inlineStr">
        <is>
          <t>GEICO</t>
        </is>
      </c>
      <c r="C33" s="256" t="inlineStr">
        <is>
          <t>share</t>
        </is>
      </c>
      <c r="D33" s="275">
        <f>D21</f>
        <v/>
      </c>
      <c r="E33" s="275">
        <f>E21</f>
        <v/>
      </c>
      <c r="F33" s="275">
        <f>F21</f>
        <v/>
      </c>
      <c r="G33" s="275">
        <f>G21</f>
        <v/>
      </c>
      <c r="H33" s="275">
        <f>MAX(0,IF($D$66*$D$64=1,'D Carriers'!$G$20,H21)-$D$69*1*$D$64)</f>
        <v/>
      </c>
      <c r="I33" s="275">
        <f>MAX(0,IF($D$66*$D$64=1,'D Carriers'!$H$20,I21)-$D$69*2*$D$64)</f>
        <v/>
      </c>
      <c r="J33" s="275">
        <f>MAX(0,IF($D$66*$D$64=1,'D Carriers'!$I$20,J21)-$D$69*3*$D$64)</f>
        <v/>
      </c>
      <c r="K33" s="275">
        <f>MAX(0,IF($D$66*$D$64=1,'D Carriers'!$J$20,K21)-$D$69*4*$D$64)</f>
        <v/>
      </c>
      <c r="L33" s="275">
        <f>MAX(0,IF($D$66*$D$64=1,'D Carriers'!$J$20,L21)-$D$69*5*$D$64)</f>
        <v/>
      </c>
      <c r="M33" s="275">
        <f>MAX(0,IF($D$66*$D$64=1,'D Carriers'!$J$20,M21)-$D$69*6*$D$64)</f>
        <v/>
      </c>
      <c r="N33" s="275">
        <f>MAX(0,IF($D$66*$D$64=1,'D Carriers'!$J$20,N21)-$D$69*7*$D$64)</f>
        <v/>
      </c>
      <c r="O33" s="275">
        <f>MAX(0,IF($D$66*$D$64=1,'D Carriers'!$J$20,O21)-$D$69*8*$D$64)</f>
        <v/>
      </c>
    </row>
    <row r="34">
      <c r="B34" s="238" t="inlineStr">
        <is>
          <t>Allstate</t>
        </is>
      </c>
      <c r="C34" s="256" t="inlineStr">
        <is>
          <t>share</t>
        </is>
      </c>
      <c r="D34" s="275">
        <f>D22</f>
        <v/>
      </c>
      <c r="E34" s="275">
        <f>E22</f>
        <v/>
      </c>
      <c r="F34" s="275">
        <f>F22</f>
        <v/>
      </c>
      <c r="G34" s="275">
        <f>G22</f>
        <v/>
      </c>
      <c r="H34" s="275">
        <f>MAX(0,H22-$D$69*1*$D$64)</f>
        <v/>
      </c>
      <c r="I34" s="275">
        <f>MAX(0,I22-$D$69*2*$D$64)</f>
        <v/>
      </c>
      <c r="J34" s="275">
        <f>MAX(0,J22-$D$69*3*$D$64)</f>
        <v/>
      </c>
      <c r="K34" s="275">
        <f>MAX(0,K22-$D$69*4*$D$64)</f>
        <v/>
      </c>
      <c r="L34" s="275">
        <f>MAX(0,L22-$D$69*5*$D$64)</f>
        <v/>
      </c>
      <c r="M34" s="275">
        <f>MAX(0,M22-$D$69*6*$D$64)</f>
        <v/>
      </c>
      <c r="N34" s="275">
        <f>MAX(0,N22-$D$69*7*$D$64)</f>
        <v/>
      </c>
      <c r="O34" s="275">
        <f>MAX(0,O22-$D$69*8*$D$64)</f>
        <v/>
      </c>
    </row>
    <row r="35">
      <c r="B35" s="238" t="inlineStr">
        <is>
          <t>USAA</t>
        </is>
      </c>
      <c r="C35" s="256" t="inlineStr">
        <is>
          <t>share</t>
        </is>
      </c>
      <c r="D35" s="275">
        <f>D23</f>
        <v/>
      </c>
      <c r="E35" s="275">
        <f>E23</f>
        <v/>
      </c>
      <c r="F35" s="275">
        <f>F23</f>
        <v/>
      </c>
      <c r="G35" s="275">
        <f>G23</f>
        <v/>
      </c>
      <c r="H35" s="275">
        <f>MAX(0,H23-$D$69*1*$D$64)</f>
        <v/>
      </c>
      <c r="I35" s="275">
        <f>MAX(0,I23-$D$69*2*$D$64)</f>
        <v/>
      </c>
      <c r="J35" s="275">
        <f>MAX(0,J23-$D$69*3*$D$64)</f>
        <v/>
      </c>
      <c r="K35" s="275">
        <f>MAX(0,K23-$D$69*4*$D$64)</f>
        <v/>
      </c>
      <c r="L35" s="275">
        <f>MAX(0,L23-$D$69*5*$D$64)</f>
        <v/>
      </c>
      <c r="M35" s="275">
        <f>MAX(0,M23-$D$69*6*$D$64)</f>
        <v/>
      </c>
      <c r="N35" s="275">
        <f>MAX(0,N23-$D$69*7*$D$64)</f>
        <v/>
      </c>
      <c r="O35" s="275">
        <f>MAX(0,O23-$D$69*8*$D$64)</f>
        <v/>
      </c>
    </row>
    <row r="36">
      <c r="B36" s="238" t="inlineStr">
        <is>
          <t>Farmers</t>
        </is>
      </c>
      <c r="C36" s="256" t="inlineStr">
        <is>
          <t>share</t>
        </is>
      </c>
      <c r="D36" s="275">
        <f>D24</f>
        <v/>
      </c>
      <c r="E36" s="275">
        <f>E24</f>
        <v/>
      </c>
      <c r="F36" s="275">
        <f>F24</f>
        <v/>
      </c>
      <c r="G36" s="275">
        <f>G24</f>
        <v/>
      </c>
      <c r="H36" s="275">
        <f>MAX(0,H24-$D$69*1*$D$64)</f>
        <v/>
      </c>
      <c r="I36" s="275">
        <f>MAX(0,I24-$D$69*2*$D$64)</f>
        <v/>
      </c>
      <c r="J36" s="275">
        <f>MAX(0,J24-$D$69*3*$D$64)</f>
        <v/>
      </c>
      <c r="K36" s="275">
        <f>MAX(0,K24-$D$69*4*$D$64)</f>
        <v/>
      </c>
      <c r="L36" s="275">
        <f>MAX(0,L24-$D$69*5*$D$64)</f>
        <v/>
      </c>
      <c r="M36" s="275">
        <f>MAX(0,M24-$D$69*6*$D$64)</f>
        <v/>
      </c>
      <c r="N36" s="275">
        <f>MAX(0,N24-$D$69*7*$D$64)</f>
        <v/>
      </c>
      <c r="O36" s="275">
        <f>MAX(0,O24-$D$69*8*$D$64)</f>
        <v/>
      </c>
    </row>
    <row r="37">
      <c r="B37" s="238" t="inlineStr">
        <is>
          <t>Liberty Mutual</t>
        </is>
      </c>
      <c r="C37" s="256" t="inlineStr">
        <is>
          <t>share</t>
        </is>
      </c>
      <c r="D37" s="275">
        <f>D25</f>
        <v/>
      </c>
      <c r="E37" s="275">
        <f>E25</f>
        <v/>
      </c>
      <c r="F37" s="275">
        <f>F25</f>
        <v/>
      </c>
      <c r="G37" s="275">
        <f>G25</f>
        <v/>
      </c>
      <c r="H37" s="275">
        <f>MAX(0,H25-$D$69*1*$D$64)</f>
        <v/>
      </c>
      <c r="I37" s="275">
        <f>MAX(0,I25-$D$69*2*$D$64)</f>
        <v/>
      </c>
      <c r="J37" s="275">
        <f>MAX(0,J25-$D$69*3*$D$64)</f>
        <v/>
      </c>
      <c r="K37" s="275">
        <f>MAX(0,K25-$D$69*4*$D$64)</f>
        <v/>
      </c>
      <c r="L37" s="275">
        <f>MAX(0,L25-$D$69*5*$D$64)</f>
        <v/>
      </c>
      <c r="M37" s="275">
        <f>MAX(0,M25-$D$69*6*$D$64)</f>
        <v/>
      </c>
      <c r="N37" s="275">
        <f>MAX(0,N25-$D$69*7*$D$64)</f>
        <v/>
      </c>
      <c r="O37" s="275">
        <f>MAX(0,O25-$D$69*8*$D$64)</f>
        <v/>
      </c>
    </row>
    <row r="38">
      <c r="B38" s="238" t="inlineStr">
        <is>
          <t>Travelers</t>
        </is>
      </c>
      <c r="C38" s="256" t="inlineStr">
        <is>
          <t>share</t>
        </is>
      </c>
      <c r="D38" s="275">
        <f>D26</f>
        <v/>
      </c>
      <c r="E38" s="275">
        <f>E26</f>
        <v/>
      </c>
      <c r="F38" s="275">
        <f>F26</f>
        <v/>
      </c>
      <c r="G38" s="275">
        <f>G26</f>
        <v/>
      </c>
      <c r="H38" s="275">
        <f>MAX(0,H26-$D$69*1*$D$64)</f>
        <v/>
      </c>
      <c r="I38" s="275">
        <f>MAX(0,I26-$D$69*2*$D$64)</f>
        <v/>
      </c>
      <c r="J38" s="275">
        <f>MAX(0,J26-$D$69*3*$D$64)</f>
        <v/>
      </c>
      <c r="K38" s="275">
        <f>MAX(0,K26-$D$69*4*$D$64)</f>
        <v/>
      </c>
      <c r="L38" s="275">
        <f>MAX(0,L26-$D$69*5*$D$64)</f>
        <v/>
      </c>
      <c r="M38" s="275">
        <f>MAX(0,M26-$D$69*6*$D$64)</f>
        <v/>
      </c>
      <c r="N38" s="275">
        <f>MAX(0,N26-$D$69*7*$D$64)</f>
        <v/>
      </c>
      <c r="O38" s="275">
        <f>MAX(0,O26-$D$69*8*$D$64)</f>
        <v/>
      </c>
    </row>
    <row r="39">
      <c r="B39" s="238" t="inlineStr">
        <is>
          <t>Nationwide</t>
        </is>
      </c>
      <c r="C39" s="256" t="inlineStr">
        <is>
          <t>share</t>
        </is>
      </c>
      <c r="D39" s="275">
        <f>D27</f>
        <v/>
      </c>
      <c r="E39" s="275">
        <f>E27</f>
        <v/>
      </c>
      <c r="F39" s="275">
        <f>F27</f>
        <v/>
      </c>
      <c r="G39" s="275">
        <f>G27</f>
        <v/>
      </c>
      <c r="H39" s="275">
        <f>MAX(0,H27-$D$69*1*$D$64)</f>
        <v/>
      </c>
      <c r="I39" s="275">
        <f>MAX(0,I27-$D$69*2*$D$64)</f>
        <v/>
      </c>
      <c r="J39" s="275">
        <f>MAX(0,J27-$D$69*3*$D$64)</f>
        <v/>
      </c>
      <c r="K39" s="275">
        <f>MAX(0,K27-$D$69*4*$D$64)</f>
        <v/>
      </c>
      <c r="L39" s="275">
        <f>MAX(0,L27-$D$69*5*$D$64)</f>
        <v/>
      </c>
      <c r="M39" s="275">
        <f>MAX(0,M27-$D$69*6*$D$64)</f>
        <v/>
      </c>
      <c r="N39" s="275">
        <f>MAX(0,N27-$D$69*7*$D$64)</f>
        <v/>
      </c>
      <c r="O39" s="275">
        <f>MAX(0,O27-$D$69*8*$D$64)</f>
        <v/>
      </c>
    </row>
    <row r="40">
      <c r="B40" s="238" t="inlineStr">
        <is>
          <t>Other (Erie, AAA, AmFam, regionals)</t>
        </is>
      </c>
      <c r="C40" s="256" t="inlineStr">
        <is>
          <t>share</t>
        </is>
      </c>
      <c r="D40" s="275">
        <f>D28</f>
        <v/>
      </c>
      <c r="E40" s="275">
        <f>E28</f>
        <v/>
      </c>
      <c r="F40" s="275">
        <f>F28</f>
        <v/>
      </c>
      <c r="G40" s="275">
        <f>G28</f>
        <v/>
      </c>
      <c r="H40" s="275">
        <f>MAX(0,IF($D$68*$D$64=1,'D Carriers'!$G$27,H28)-$D$69*1*$D$64)</f>
        <v/>
      </c>
      <c r="I40" s="275">
        <f>MAX(0,IF($D$68*$D$64=1,'D Carriers'!$H$27,I28)-$D$69*2*$D$64)</f>
        <v/>
      </c>
      <c r="J40" s="275">
        <f>MAX(0,IF($D$68*$D$64=1,'D Carriers'!$I$27,J28)-$D$69*3*$D$64)</f>
        <v/>
      </c>
      <c r="K40" s="275">
        <f>MAX(0,IF($D$68*$D$64=1,'D Carriers'!$J$27,K28)-$D$69*4*$D$64)</f>
        <v/>
      </c>
      <c r="L40" s="275">
        <f>MAX(0,IF($D$68*$D$64=1,'D Carriers'!$J$27,L28)-$D$69*5*$D$64)</f>
        <v/>
      </c>
      <c r="M40" s="275">
        <f>MAX(0,IF($D$68*$D$64=1,'D Carriers'!$J$27,M28)-$D$69*6*$D$64)</f>
        <v/>
      </c>
      <c r="N40" s="275">
        <f>MAX(0,IF($D$68*$D$64=1,'D Carriers'!$J$27,N28)-$D$69*7*$D$64)</f>
        <v/>
      </c>
      <c r="O40" s="275">
        <f>MAX(0,IF($D$68*$D$64=1,'D Carriers'!$J$27,O28)-$D$69*8*$D$64)</f>
        <v/>
      </c>
    </row>
    <row r="41"/>
    <row r="42">
      <c r="B42" s="254" t="inlineStr">
        <is>
          <t>D. Aggregate Copart share of the insured total-loss pool</t>
        </is>
      </c>
      <c r="C42" s="274" t="n"/>
      <c r="D42" s="274" t="n"/>
      <c r="E42" s="274" t="n"/>
      <c r="F42" s="274" t="n"/>
      <c r="G42" s="274" t="n"/>
      <c r="H42" s="274" t="n"/>
      <c r="I42" s="274" t="n"/>
      <c r="J42" s="274" t="n"/>
      <c r="K42" s="274" t="n"/>
      <c r="L42" s="274" t="n"/>
      <c r="M42" s="274" t="n"/>
      <c r="N42" s="274" t="n"/>
      <c r="O42" s="274" t="n"/>
      <c r="P42" s="274" t="n"/>
      <c r="Q42" s="274" t="n"/>
      <c r="R42" s="274" t="n"/>
      <c r="S42" s="274"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3">
        <f>AVERAGE(D43:G43)</f>
        <v/>
      </c>
      <c r="Q43" s="273">
        <f>AVERAGE(H43:K43)</f>
        <v/>
      </c>
      <c r="R43" s="273">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3">
        <f>AVERAGE(D44:G44)</f>
        <v/>
      </c>
      <c r="Q44" s="273">
        <f>AVERAGE(H44:K44)</f>
        <v/>
      </c>
      <c r="R44" s="273">
        <f>AVERAGE(L44:O44)</f>
        <v/>
      </c>
    </row>
    <row r="45">
      <c r="B45" s="272" t="inlineStr">
        <is>
          <t>Reference: Copart share of duopoly listed US inventory, 4 clean nights 11–27 Sep 2026</t>
        </is>
      </c>
      <c r="C45" s="256" t="inlineStr">
        <is>
          <t>%</t>
        </is>
      </c>
      <c r="G45" s="257" t="n">
        <v>0.572</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86">
        <f>H43/D43</f>
        <v/>
      </c>
      <c r="I48" s="286">
        <f>I43/E43</f>
        <v/>
      </c>
      <c r="J48" s="286">
        <f>J43/F43</f>
        <v/>
      </c>
      <c r="K48" s="286">
        <f>K43/G43</f>
        <v/>
      </c>
      <c r="L48" s="286">
        <f>L43/H43</f>
        <v/>
      </c>
      <c r="M48" s="286">
        <f>M43/I43</f>
        <v/>
      </c>
      <c r="N48" s="286">
        <f>N43/J43</f>
        <v/>
      </c>
      <c r="O48" s="286">
        <f>O43/K43</f>
        <v/>
      </c>
    </row>
    <row r="49">
      <c r="B49" s="242" t="inlineStr">
        <is>
          <t>Share ratio to same quarter a year earlier, thesis A  (→ Scenarios)</t>
        </is>
      </c>
      <c r="C49" s="256" t="inlineStr">
        <is>
          <t>x</t>
        </is>
      </c>
      <c r="H49" s="286">
        <f>H44/D43</f>
        <v/>
      </c>
      <c r="I49" s="286">
        <f>I44/E43</f>
        <v/>
      </c>
      <c r="J49" s="286">
        <f>J44/F43</f>
        <v/>
      </c>
      <c r="K49" s="286">
        <f>K44/G43</f>
        <v/>
      </c>
      <c r="L49" s="286">
        <f>L44/H43</f>
        <v/>
      </c>
      <c r="M49" s="286">
        <f>M44/I43</f>
        <v/>
      </c>
      <c r="N49" s="286">
        <f>N44/J43</f>
        <v/>
      </c>
      <c r="O49" s="286">
        <f>O44/K43</f>
        <v/>
      </c>
    </row>
    <row r="50"/>
    <row r="51">
      <c r="B51" s="254" t="inlineStr">
        <is>
          <t>E. Seller terms (commission as a share of the vehicle's sale price)</t>
        </is>
      </c>
      <c r="C51" s="274" t="n"/>
      <c r="D51" s="274" t="n"/>
      <c r="E51" s="274" t="n"/>
      <c r="F51" s="274" t="n"/>
      <c r="G51" s="274" t="n"/>
      <c r="H51" s="274" t="n"/>
      <c r="I51" s="274" t="n"/>
      <c r="J51" s="274" t="n"/>
      <c r="K51" s="274" t="n"/>
      <c r="L51" s="274" t="n"/>
      <c r="M51" s="274" t="n"/>
      <c r="N51" s="274" t="n"/>
      <c r="O51" s="274" t="n"/>
      <c r="P51" s="274" t="n"/>
      <c r="Q51" s="274" t="n"/>
      <c r="R51" s="274" t="n"/>
      <c r="S51" s="274" t="n"/>
    </row>
    <row r="52">
      <c r="B52" s="238" t="inlineStr">
        <is>
          <t>Base seller commission rate</t>
        </is>
      </c>
      <c r="C52" s="256" t="inlineStr">
        <is>
          <t>%</t>
        </is>
      </c>
      <c r="D52" s="279">
        <f>$D$71</f>
        <v/>
      </c>
      <c r="E52" s="279">
        <f>$D$71</f>
        <v/>
      </c>
      <c r="F52" s="279">
        <f>$D$71</f>
        <v/>
      </c>
      <c r="G52" s="279">
        <f>$D$71</f>
        <v/>
      </c>
      <c r="H52" s="279">
        <f>$D$71</f>
        <v/>
      </c>
      <c r="I52" s="279">
        <f>$D$71</f>
        <v/>
      </c>
      <c r="J52" s="279">
        <f>$D$71</f>
        <v/>
      </c>
      <c r="K52" s="279">
        <f>$D$71</f>
        <v/>
      </c>
      <c r="L52" s="279">
        <f>$D$71</f>
        <v/>
      </c>
      <c r="M52" s="279">
        <f>$D$71</f>
        <v/>
      </c>
      <c r="N52" s="279">
        <f>$D$71</f>
        <v/>
      </c>
      <c r="O52" s="279">
        <f>$D$71</f>
        <v/>
      </c>
      <c r="S52" s="234" t="inlineStr">
        <is>
          <t>UNVERIFIED analyst assumption (Barclays 25 Aug 2026 Figure 1 uses 4%); not a contract term</t>
        </is>
      </c>
    </row>
    <row r="53">
      <c r="B53" s="238" t="inlineStr">
        <is>
          <t>Concession on a contested account (share of the commission)</t>
        </is>
      </c>
      <c r="C53" s="256" t="inlineStr">
        <is>
          <t>%</t>
        </is>
      </c>
      <c r="D53" s="279">
        <f>$D$72</f>
        <v/>
      </c>
      <c r="E53" s="279">
        <f>$D$72</f>
        <v/>
      </c>
      <c r="F53" s="279">
        <f>$D$72</f>
        <v/>
      </c>
      <c r="G53" s="279">
        <f>$D$72</f>
        <v/>
      </c>
      <c r="H53" s="279">
        <f>$D$72</f>
        <v/>
      </c>
      <c r="I53" s="279">
        <f>$D$72</f>
        <v/>
      </c>
      <c r="J53" s="279">
        <f>$D$72</f>
        <v/>
      </c>
      <c r="K53" s="279">
        <f>$D$72</f>
        <v/>
      </c>
      <c r="L53" s="279">
        <f>$D$72</f>
        <v/>
      </c>
      <c r="M53" s="279">
        <f>$D$72</f>
        <v/>
      </c>
      <c r="N53" s="279">
        <f>$D$72</f>
        <v/>
      </c>
      <c r="O53" s="279">
        <f>$D$72</f>
        <v/>
      </c>
      <c r="S53" s="234" t="inlineStr">
        <is>
          <t>UNVERIFIED (Barclays illustration, 20%)</t>
        </is>
      </c>
    </row>
    <row r="54">
      <c r="B54" s="238" t="inlineStr">
        <is>
          <t>Share of Copart insurance volume on concession terms (thesis A)</t>
        </is>
      </c>
      <c r="C54" s="256" t="inlineStr">
        <is>
          <t>%</t>
        </is>
      </c>
      <c r="D54" s="278">
        <f>IF(2026&gt;=2027,$D$73*$D$64,0)</f>
        <v/>
      </c>
      <c r="E54" s="278">
        <f>IF(2026&gt;=2027,$D$73*$D$64,0)</f>
        <v/>
      </c>
      <c r="F54" s="278">
        <f>IF(2026&gt;=2027,$D$73*$D$64,0)</f>
        <v/>
      </c>
      <c r="G54" s="278">
        <f>IF(2026&gt;=2027,$D$73*$D$64,0)</f>
        <v/>
      </c>
      <c r="H54" s="278">
        <f>IF(2027&gt;=2027,$D$73*$D$64,0)</f>
        <v/>
      </c>
      <c r="I54" s="278">
        <f>IF(2027&gt;=2027,$D$73*$D$64,0)</f>
        <v/>
      </c>
      <c r="J54" s="278">
        <f>IF(2027&gt;=2027,$D$73*$D$64,0)</f>
        <v/>
      </c>
      <c r="K54" s="278">
        <f>IF(2027&gt;=2027,$D$73*$D$64,0)</f>
        <v/>
      </c>
      <c r="L54" s="278">
        <f>IF(2028&gt;=2027,$D$73*$D$64,0)</f>
        <v/>
      </c>
      <c r="M54" s="278">
        <f>IF(2028&gt;=2027,$D$73*$D$64,0)</f>
        <v/>
      </c>
      <c r="N54" s="278">
        <f>IF(2028&gt;=2027,$D$73*$D$64,0)</f>
        <v/>
      </c>
      <c r="O54" s="278">
        <f>IF(2028&gt;=2027,$D$73*$D$64,0)</f>
        <v/>
      </c>
      <c r="S54" s="234" t="inlineStr">
        <is>
          <t>ASSUMED; 0 in base</t>
        </is>
      </c>
    </row>
    <row r="55">
      <c r="B55" s="242" t="inlineStr">
        <is>
          <t>Effective seller commission rate, base  (→ E5)</t>
        </is>
      </c>
      <c r="C55" s="256" t="inlineStr">
        <is>
          <t>%</t>
        </is>
      </c>
      <c r="D55" s="288">
        <f>D52</f>
        <v/>
      </c>
      <c r="E55" s="288">
        <f>E52</f>
        <v/>
      </c>
      <c r="F55" s="288">
        <f>F52</f>
        <v/>
      </c>
      <c r="G55" s="288">
        <f>G52</f>
        <v/>
      </c>
      <c r="H55" s="288">
        <f>H52</f>
        <v/>
      </c>
      <c r="I55" s="288">
        <f>I52</f>
        <v/>
      </c>
      <c r="J55" s="288">
        <f>J52</f>
        <v/>
      </c>
      <c r="K55" s="288">
        <f>K52</f>
        <v/>
      </c>
      <c r="L55" s="288">
        <f>L52</f>
        <v/>
      </c>
      <c r="M55" s="288">
        <f>M52</f>
        <v/>
      </c>
      <c r="N55" s="288">
        <f>N52</f>
        <v/>
      </c>
      <c r="O55" s="288">
        <f>O52</f>
        <v/>
      </c>
    </row>
    <row r="56">
      <c r="B56" s="242" t="inlineStr">
        <is>
          <t>Effective seller commission rate, thesis A  (→ E5)</t>
        </is>
      </c>
      <c r="C56" s="256" t="inlineStr">
        <is>
          <t>%</t>
        </is>
      </c>
      <c r="D56" s="288">
        <f>D52*(1-D53*D54)</f>
        <v/>
      </c>
      <c r="E56" s="288">
        <f>E52*(1-E53*E54)</f>
        <v/>
      </c>
      <c r="F56" s="288">
        <f>F52*(1-F53*F54)</f>
        <v/>
      </c>
      <c r="G56" s="288">
        <f>G52*(1-G53*G54)</f>
        <v/>
      </c>
      <c r="H56" s="288">
        <f>H52*(1-H53*H54)</f>
        <v/>
      </c>
      <c r="I56" s="288">
        <f>I52*(1-I53*I54)</f>
        <v/>
      </c>
      <c r="J56" s="288">
        <f>J52*(1-J53*J54)</f>
        <v/>
      </c>
      <c r="K56" s="288">
        <f>K52*(1-K53*K54)</f>
        <v/>
      </c>
      <c r="L56" s="288">
        <f>L52*(1-L53*L54)</f>
        <v/>
      </c>
      <c r="M56" s="288">
        <f>M52*(1-M53*M54)</f>
        <v/>
      </c>
      <c r="N56" s="288">
        <f>N52*(1-N53*N54)</f>
        <v/>
      </c>
      <c r="O56" s="288">
        <f>O52*(1-O53*O54)</f>
        <v/>
      </c>
    </row>
    <row r="57"/>
    <row r="58">
      <c r="B58" s="234" t="inlineStr">
        <is>
          <t>Feeds →  Scenarios (share ratios rows 48–49); E5 Prices &amp; Fees (seller rates rows 55–56)</t>
        </is>
      </c>
    </row>
    <row r="59"/>
    <row r="60"/>
    <row r="61"/>
    <row r="62"/>
    <row r="63">
      <c r="B63" s="235" t="inlineStr">
        <is>
          <t>Inputs and toggles</t>
        </is>
      </c>
      <c r="C63" s="236" t="n"/>
      <c r="D63" s="269" t="inlineStr">
        <is>
          <t>Value</t>
        </is>
      </c>
      <c r="E63" s="269"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80" t="n">
        <v>0</v>
      </c>
      <c r="E69" s="234" t="inlineStr">
        <is>
          <t>ASSUMED</t>
        </is>
      </c>
      <c r="S69" s="234" t="inlineStr">
        <is>
          <t>No evidence; 0 by default. Use only as a labelled stress</t>
        </is>
      </c>
    </row>
    <row r="70">
      <c r="B70" s="238" t="inlineStr">
        <is>
          <t>Additional Progressive decline (points per quarter from FQ1 FY27)</t>
        </is>
      </c>
      <c r="D70" s="280" t="n">
        <v>0</v>
      </c>
      <c r="E70" s="234" t="inlineStr">
        <is>
          <t>ASSUMED</t>
        </is>
      </c>
      <c r="S70" s="234" t="inlineStr">
        <is>
          <t>The inherited path already reaches 5%</t>
        </is>
      </c>
    </row>
    <row r="71">
      <c r="B71" s="238" t="inlineStr">
        <is>
          <t>Base seller commission rate</t>
        </is>
      </c>
      <c r="D71" s="280" t="n">
        <v>0.04</v>
      </c>
      <c r="E71" s="234" t="inlineStr">
        <is>
          <t>UNVERIFIED</t>
        </is>
      </c>
      <c r="S71" s="234" t="inlineStr">
        <is>
          <t>Barclays 25 Aug 2026 Figure 1 (licensed, local)</t>
        </is>
      </c>
    </row>
    <row r="72">
      <c r="B72" s="238" t="inlineStr">
        <is>
          <t>Concession, share of commission</t>
        </is>
      </c>
      <c r="D72" s="280" t="n">
        <v>0.2</v>
      </c>
      <c r="E72" s="234" t="inlineStr">
        <is>
          <t>UNVERIFIED</t>
        </is>
      </c>
      <c r="S72" s="234" t="inlineStr">
        <is>
          <t>Barclays 25 Aug 2026 Figure 1</t>
        </is>
      </c>
    </row>
    <row r="73">
      <c r="B73" s="238" t="inlineStr">
        <is>
          <t>Share of volume on concession terms when thesis A is on</t>
        </is>
      </c>
      <c r="D73" s="280"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274" t="n"/>
      <c r="D76" s="254" t="inlineStr">
        <is>
          <t>Move (pts)</t>
        </is>
      </c>
      <c r="E76" s="254" t="inlineStr">
        <is>
          <t>Probability</t>
        </is>
      </c>
      <c r="F76" s="254" t="inlineStr">
        <is>
          <t>Expected (pts)</t>
        </is>
      </c>
      <c r="G76" s="254" t="inlineStr">
        <is>
          <t>Path check (pts)</t>
        </is>
      </c>
      <c r="H76" s="254" t="inlineStr">
        <is>
          <t>Start</t>
        </is>
      </c>
      <c r="I76" s="254" t="inlineStr">
        <is>
          <t>Ramp (qtrs)</t>
        </is>
      </c>
      <c r="J76" s="274" t="n"/>
      <c r="K76" s="274" t="n"/>
      <c r="L76" s="274" t="n"/>
      <c r="M76" s="274" t="n"/>
      <c r="N76" s="274" t="n"/>
      <c r="O76" s="274" t="n"/>
      <c r="P76" s="274" t="n"/>
      <c r="Q76" s="274" t="n"/>
      <c r="R76" s="274" t="n"/>
      <c r="S76" s="274" t="n"/>
    </row>
    <row r="77">
      <c r="B77" s="238" t="inlineStr">
        <is>
          <t>State Farm — adverse shift to IAA</t>
        </is>
      </c>
      <c r="D77" s="280" t="n">
        <v>-0.05</v>
      </c>
      <c r="E77" s="289" t="n">
        <v>0.45</v>
      </c>
      <c r="F77" s="283">
        <f>D77*E77</f>
        <v/>
      </c>
      <c r="G77" s="287">
        <f>'D Carriers'!$J$18-'D Carriers'!$C$18</f>
        <v/>
      </c>
      <c r="H77" s="238" t="inlineStr">
        <is>
          <t>FQ3 FY27</t>
        </is>
      </c>
      <c r="I77" s="290"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280" t="n">
        <v>-0.05</v>
      </c>
      <c r="E78" s="289" t="n">
        <v>0.45</v>
      </c>
      <c r="F78" s="283">
        <f>D78*E78</f>
        <v/>
      </c>
      <c r="G78" s="287">
        <f>'D Carriers'!$J$27-'D Carriers'!$C$27</f>
        <v/>
      </c>
      <c r="H78" s="238" t="inlineStr">
        <is>
          <t>FQ1 FY27</t>
        </is>
      </c>
      <c r="I78" s="290"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280" t="n">
        <v>0.12</v>
      </c>
      <c r="E79" s="289" t="n">
        <v>0.6</v>
      </c>
      <c r="F79" s="283">
        <f>D79*E79</f>
        <v/>
      </c>
      <c r="G79" s="287">
        <f>'D Carriers'!$J$20-'D Carriers'!$C$20</f>
        <v/>
      </c>
      <c r="H79" s="238" t="inlineStr">
        <is>
          <t>FQ4 FY26</t>
        </is>
      </c>
      <c r="I79" s="290" t="n">
        <v>3</v>
      </c>
      <c r="S79" s="234" t="inlineStr">
        <is>
          <t>UNVERIFIED (expert, dated): share build U5 = 60%; expert (Jul 2025) put the GEICO RFP 1–2 years out. Off in the bear variant by default</t>
        </is>
      </c>
    </row>
    <row r="80">
      <c r="B80" s="238" t="inlineStr">
        <is>
          <t>Progressive — realised loss (0.25 → 0.05)</t>
        </is>
      </c>
      <c r="D80" s="280" t="n">
        <v>-0.2</v>
      </c>
      <c r="E80" s="289" t="n">
        <v>1</v>
      </c>
      <c r="F80" s="283">
        <f>D80*E80</f>
        <v/>
      </c>
      <c r="G80" s="287">
        <f>'D Carriers'!$J$19-'D Carriers'!$C$19</f>
        <v/>
      </c>
      <c r="H80" s="238" t="inlineStr">
        <is>
          <t>FQ3 FY26</t>
        </is>
      </c>
      <c r="I80" s="290"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272" t="inlineStr">
        <is>
          <t xml:space="preserve">   Copart share y/y FQ4 FY26 (carrier test) × insurance share of US service × US share of global service = % of global service revenue; × service share of total = % of total revenue</t>
        </is>
      </c>
      <c r="C83" s="291" t="n">
        <v>-0.06508</v>
      </c>
      <c r="D83" s="288">
        <f>C83*'E5 Prices &amp; Fees'!$D$39*('D Reported'!$D$26+'D Reported'!$D$27+'D Reported'!$D$28+'D Reported'!$D$29)/('D Reported'!$D$26+'D Reported'!$D$27+'D Reported'!$D$28+'D Reported'!$D$29+'D Reported'!$E$26+'D Reported'!$E$27+'D Reported'!$E$28+'D Reported'!$E$29)</f>
        <v/>
      </c>
      <c r="E83" s="288">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274" t="n"/>
      <c r="D85" s="254" t="inlineStr">
        <is>
          <t>Copart</t>
        </is>
      </c>
      <c r="E85" s="254" t="inlineStr">
        <is>
          <t>IAA / RB Global</t>
        </is>
      </c>
      <c r="F85" s="254" t="inlineStr">
        <is>
          <t>Label</t>
        </is>
      </c>
      <c r="G85" s="274" t="n"/>
      <c r="H85" s="274" t="n"/>
      <c r="I85" s="274" t="n"/>
      <c r="J85" s="274" t="n"/>
      <c r="K85" s="274" t="n"/>
      <c r="L85" s="274" t="n"/>
      <c r="M85" s="274" t="n"/>
      <c r="N85" s="274" t="n"/>
      <c r="O85" s="274" t="n"/>
      <c r="P85" s="274" t="n"/>
      <c r="Q85" s="274" t="n"/>
      <c r="R85" s="274" t="n"/>
      <c r="S85" s="274" t="n"/>
    </row>
    <row r="86">
      <c r="B86" s="238" t="inlineStr">
        <is>
          <t>Operating acreage (owned + leased)</t>
        </is>
      </c>
      <c r="E86" s="281" t="n">
        <v>14803</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281" t="n">
        <v>286</v>
      </c>
      <c r="E87" s="281" t="n">
        <v>333</v>
      </c>
      <c r="F87" s="234" t="inlineStr">
        <is>
          <t>VERIFIED</t>
        </is>
      </c>
      <c r="S87" s="234" t="inlineStr">
        <is>
          <t>Copart FY2026 10-K Item 2 (281 in FY25); RB Global FY2025 10-K</t>
        </is>
      </c>
    </row>
    <row r="88">
      <c r="B88" s="238" t="inlineStr">
        <is>
          <t>Catastrophe option acreage</t>
        </is>
      </c>
      <c r="E88" s="281" t="n">
        <v>1800</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281" t="n">
        <v>52</v>
      </c>
      <c r="E89" s="281" t="n">
        <v>50</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257" t="n">
        <v>0.418</v>
      </c>
      <c r="E90" s="257" t="n">
        <v>0.453</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257" t="n">
        <v>0.1</v>
      </c>
      <c r="E92" s="257" t="n">
        <v>0.23</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281" t="n">
        <v>2023</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257" t="n">
        <v>-0.075</v>
      </c>
      <c r="E94" s="257" t="n">
        <v>0.11</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257" t="n">
        <v>0.05</v>
      </c>
      <c r="E95" s="257" t="n">
        <v>0.95</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7"/>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Sourcing path: cumulative shift of eligible-basket quantity into aftermarket (points of the basket)</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38" t="inlineStr">
        <is>
          <t>OEM → aftermarket</t>
        </is>
      </c>
      <c r="C7" s="256" t="inlineStr">
        <is>
          <t>pts</t>
        </is>
      </c>
      <c r="D7" s="283">
        <f>IF($D$64=1,$D$65*0,$D$54*MIN(0,4))</f>
        <v/>
      </c>
      <c r="E7" s="283">
        <f>IF($D$64=1,$D$65*0,$D$54*MIN(0,4))</f>
        <v/>
      </c>
      <c r="F7" s="283">
        <f>IF($D$64=1,$D$65*0,$D$54*MIN(0,4))</f>
        <v/>
      </c>
      <c r="G7" s="283">
        <f>IF($D$64=1,$D$65*0,$D$54*MIN(0,4))</f>
        <v/>
      </c>
      <c r="H7" s="283">
        <f>IF($D$64=1,$D$65*1,$D$54*MIN(1,4))</f>
        <v/>
      </c>
      <c r="I7" s="283">
        <f>IF($D$64=1,$D$65*2,$D$54*MIN(2,4))</f>
        <v/>
      </c>
      <c r="J7" s="283">
        <f>IF($D$64=1,$D$65*3,$D$54*MIN(3,4))</f>
        <v/>
      </c>
      <c r="K7" s="283">
        <f>IF($D$64=1,$D$65*4,$D$54*MIN(4,4))</f>
        <v/>
      </c>
      <c r="L7" s="283">
        <f>IF($D$64=1,$D$65*5,$D$54*MIN(5,4)*$D$56)</f>
        <v/>
      </c>
      <c r="M7" s="283">
        <f>IF($D$64=1,$D$65*6,$D$54*MIN(6,4)*$D$56)</f>
        <v/>
      </c>
      <c r="N7" s="283">
        <f>IF($D$64=1,$D$65*7,$D$54*MIN(7,4)*$D$56)</f>
        <v/>
      </c>
      <c r="O7" s="283">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283">
        <f>IF($D$64=1,$D$66*0,$D$55*MIN(0,4))</f>
        <v/>
      </c>
      <c r="E8" s="283">
        <f>IF($D$64=1,$D$66*0,$D$55*MIN(0,4))</f>
        <v/>
      </c>
      <c r="F8" s="283">
        <f>IF($D$64=1,$D$66*0,$D$55*MIN(0,4))</f>
        <v/>
      </c>
      <c r="G8" s="283">
        <f>IF($D$64=1,$D$66*0,$D$55*MIN(0,4))</f>
        <v/>
      </c>
      <c r="H8" s="283">
        <f>IF($D$64=1,$D$66*1,$D$55*MIN(1,4))</f>
        <v/>
      </c>
      <c r="I8" s="283">
        <f>IF($D$64=1,$D$66*2,$D$55*MIN(2,4))</f>
        <v/>
      </c>
      <c r="J8" s="283">
        <f>IF($D$64=1,$D$66*3,$D$55*MIN(3,4))</f>
        <v/>
      </c>
      <c r="K8" s="283">
        <f>IF($D$64=1,$D$66*4,$D$55*MIN(4,4))</f>
        <v/>
      </c>
      <c r="L8" s="283">
        <f>IF($D$64=1,$D$66*5,$D$55*MIN(5,4)*$D$56)</f>
        <v/>
      </c>
      <c r="M8" s="283">
        <f>IF($D$64=1,$D$66*6,$D$55*MIN(6,4)*$D$56)</f>
        <v/>
      </c>
      <c r="N8" s="283">
        <f>IF($D$64=1,$D$66*7,$D$55*MIN(7,4)*$D$56)</f>
        <v/>
      </c>
      <c r="O8" s="283">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row r="10">
      <c r="B10" s="254" t="inlineStr">
        <is>
          <t>B. Repair-cost channel</t>
        </is>
      </c>
      <c r="C10" s="274" t="n"/>
      <c r="D10" s="274" t="n"/>
      <c r="E10" s="274" t="n"/>
      <c r="F10" s="274" t="n"/>
      <c r="G10" s="274" t="n"/>
      <c r="H10" s="274" t="n"/>
      <c r="I10" s="274" t="n"/>
      <c r="J10" s="274" t="n"/>
      <c r="K10" s="274" t="n"/>
      <c r="L10" s="274" t="n"/>
      <c r="M10" s="274" t="n"/>
      <c r="N10" s="274" t="n"/>
      <c r="O10" s="274" t="n"/>
      <c r="P10" s="274" t="n"/>
      <c r="Q10" s="274" t="n"/>
      <c r="R10" s="274" t="n"/>
      <c r="S10" s="274" t="n"/>
    </row>
    <row r="11">
      <c r="B11" s="238" t="inlineStr">
        <is>
          <t>Eligible-basket cost index, before the shift  (Σ q_s p_s)</t>
        </is>
      </c>
      <c r="C11" s="256" t="inlineStr">
        <is>
          <t>x</t>
        </is>
      </c>
      <c r="D11" s="283">
        <f>$D$46*$D$49+$D$47*$D$50+$D$48*$D$51</f>
        <v/>
      </c>
      <c r="E11" s="283">
        <f>$D$46*$D$49+$D$47*$D$50+$D$48*$D$51</f>
        <v/>
      </c>
      <c r="F11" s="283">
        <f>$D$46*$D$49+$D$47*$D$50+$D$48*$D$51</f>
        <v/>
      </c>
      <c r="G11" s="283">
        <f>$D$46*$D$49+$D$47*$D$50+$D$48*$D$51</f>
        <v/>
      </c>
      <c r="H11" s="283">
        <f>$D$46*$D$49+$D$47*$D$50+$D$48*$D$51</f>
        <v/>
      </c>
      <c r="I11" s="283">
        <f>$D$46*$D$49+$D$47*$D$50+$D$48*$D$51</f>
        <v/>
      </c>
      <c r="J11" s="283">
        <f>$D$46*$D$49+$D$47*$D$50+$D$48*$D$51</f>
        <v/>
      </c>
      <c r="K11" s="283">
        <f>$D$46*$D$49+$D$47*$D$50+$D$48*$D$51</f>
        <v/>
      </c>
      <c r="L11" s="283">
        <f>$D$46*$D$49+$D$47*$D$50+$D$48*$D$51</f>
        <v/>
      </c>
      <c r="M11" s="283">
        <f>$D$46*$D$49+$D$47*$D$50+$D$48*$D$51</f>
        <v/>
      </c>
      <c r="N11" s="283">
        <f>$D$46*$D$49+$D$47*$D$50+$D$48*$D$51</f>
        <v/>
      </c>
      <c r="O11" s="283">
        <f>$D$46*$D$49+$D$47*$D$50+$D$48*$D$51</f>
        <v/>
      </c>
    </row>
    <row r="12">
      <c r="B12" s="238" t="inlineStr">
        <is>
          <t>Eligible-basket cost index, after the shift</t>
        </is>
      </c>
      <c r="C12" s="256" t="inlineStr">
        <is>
          <t>x</t>
        </is>
      </c>
      <c r="D12" s="283">
        <f>($D$46-D7)*$D$49+($D$47+D7+D8)*$D$50+($D$48-D8)*$D$51</f>
        <v/>
      </c>
      <c r="E12" s="283">
        <f>($D$46-E7)*$D$49+($D$47+E7+E8)*$D$50+($D$48-E8)*$D$51</f>
        <v/>
      </c>
      <c r="F12" s="283">
        <f>($D$46-F7)*$D$49+($D$47+F7+F8)*$D$50+($D$48-F8)*$D$51</f>
        <v/>
      </c>
      <c r="G12" s="283">
        <f>($D$46-G7)*$D$49+($D$47+G7+G8)*$D$50+($D$48-G8)*$D$51</f>
        <v/>
      </c>
      <c r="H12" s="283">
        <f>($D$46-H7)*$D$49+($D$47+H7+H8)*$D$50+($D$48-H8)*$D$51</f>
        <v/>
      </c>
      <c r="I12" s="283">
        <f>($D$46-I7)*$D$49+($D$47+I7+I8)*$D$50+($D$48-I8)*$D$51</f>
        <v/>
      </c>
      <c r="J12" s="283">
        <f>($D$46-J7)*$D$49+($D$47+J7+J8)*$D$50+($D$48-J8)*$D$51</f>
        <v/>
      </c>
      <c r="K12" s="283">
        <f>($D$46-K7)*$D$49+($D$47+K7+K8)*$D$50+($D$48-K8)*$D$51</f>
        <v/>
      </c>
      <c r="L12" s="283">
        <f>($D$46-L7)*$D$49+($D$47+L7+L8)*$D$50+($D$48-L8)*$D$51</f>
        <v/>
      </c>
      <c r="M12" s="283">
        <f>($D$46-M7)*$D$49+($D$47+M7+M8)*$D$50+($D$48-M8)*$D$51</f>
        <v/>
      </c>
      <c r="N12" s="283">
        <f>($D$46-N7)*$D$49+($D$47+N7+N8)*$D$50+($D$48-N8)*$D$51</f>
        <v/>
      </c>
      <c r="O12" s="283">
        <f>($D$46-O7)*$D$49+($D$47+O7+O8)*$D$50+($D$48-O8)*$D$51</f>
        <v/>
      </c>
    </row>
    <row r="13">
      <c r="B13" s="272" t="inlineStr">
        <is>
          <t xml:space="preserve">   basket relative cost change</t>
        </is>
      </c>
      <c r="C13" s="256" t="inlineStr">
        <is>
          <t>%</t>
        </is>
      </c>
      <c r="D13" s="292">
        <f>D12/D11-1</f>
        <v/>
      </c>
      <c r="E13" s="292">
        <f>E12/E11-1</f>
        <v/>
      </c>
      <c r="F13" s="292">
        <f>F12/F11-1</f>
        <v/>
      </c>
      <c r="G13" s="292">
        <f>G12/G11-1</f>
        <v/>
      </c>
      <c r="H13" s="292">
        <f>H12/H11-1</f>
        <v/>
      </c>
      <c r="I13" s="292">
        <f>I12/I11-1</f>
        <v/>
      </c>
      <c r="J13" s="292">
        <f>J12/J11-1</f>
        <v/>
      </c>
      <c r="K13" s="292">
        <f>K12/K11-1</f>
        <v/>
      </c>
      <c r="L13" s="292">
        <f>L12/L11-1</f>
        <v/>
      </c>
      <c r="M13" s="292">
        <f>M12/M11-1</f>
        <v/>
      </c>
      <c r="N13" s="292">
        <f>N12/N11-1</f>
        <v/>
      </c>
      <c r="O13" s="292">
        <f>O12/O11-1</f>
        <v/>
      </c>
    </row>
    <row r="14">
      <c r="B14" s="242" t="inlineStr">
        <is>
          <t>Complete repair-bill change  (× eligible share e)</t>
        </is>
      </c>
      <c r="C14" s="256" t="inlineStr">
        <is>
          <t>%</t>
        </is>
      </c>
      <c r="D14" s="288">
        <f>$D$45*D13</f>
        <v/>
      </c>
      <c r="E14" s="288">
        <f>$D$45*E13</f>
        <v/>
      </c>
      <c r="F14" s="288">
        <f>$D$45*F13</f>
        <v/>
      </c>
      <c r="G14" s="288">
        <f>$D$45*G13</f>
        <v/>
      </c>
      <c r="H14" s="288">
        <f>$D$45*H13</f>
        <v/>
      </c>
      <c r="I14" s="288">
        <f>$D$45*I13</f>
        <v/>
      </c>
      <c r="J14" s="288">
        <f>$D$45*J13</f>
        <v/>
      </c>
      <c r="K14" s="288">
        <f>$D$45*K13</f>
        <v/>
      </c>
      <c r="L14" s="288">
        <f>$D$45*L13</f>
        <v/>
      </c>
      <c r="M14" s="288">
        <f>$D$45*M13</f>
        <v/>
      </c>
      <c r="N14" s="288">
        <f>$D$45*N13</f>
        <v/>
      </c>
      <c r="O14" s="288">
        <f>$D$45*O13</f>
        <v/>
      </c>
    </row>
    <row r="15">
      <c r="B15" s="242" t="inlineStr">
        <is>
          <t>Change in total-loss units, relative  (η × bill change)</t>
        </is>
      </c>
      <c r="C15" s="256" t="inlineStr">
        <is>
          <t>%</t>
        </is>
      </c>
      <c r="D15" s="288">
        <f>$D$61*D14</f>
        <v/>
      </c>
      <c r="E15" s="288">
        <f>$D$61*E14</f>
        <v/>
      </c>
      <c r="F15" s="288">
        <f>$D$61*F14</f>
        <v/>
      </c>
      <c r="G15" s="288">
        <f>$D$61*G14</f>
        <v/>
      </c>
      <c r="H15" s="288">
        <f>$D$61*H14</f>
        <v/>
      </c>
      <c r="I15" s="288">
        <f>$D$61*I14</f>
        <v/>
      </c>
      <c r="J15" s="288">
        <f>$D$61*J14</f>
        <v/>
      </c>
      <c r="K15" s="288">
        <f>$D$61*K14</f>
        <v/>
      </c>
      <c r="L15" s="288">
        <f>$D$61*L14</f>
        <v/>
      </c>
      <c r="M15" s="288">
        <f>$D$61*M14</f>
        <v/>
      </c>
      <c r="N15" s="288">
        <f>$D$61*N14</f>
        <v/>
      </c>
      <c r="O15" s="288">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Recycled quantity displaced, relative to the recycled share</t>
        </is>
      </c>
      <c r="C18" s="256" t="inlineStr">
        <is>
          <t>%</t>
        </is>
      </c>
      <c r="D18" s="293">
        <f>D8/$D$48</f>
        <v/>
      </c>
      <c r="E18" s="293">
        <f>E8/$D$48</f>
        <v/>
      </c>
      <c r="F18" s="293">
        <f>F8/$D$48</f>
        <v/>
      </c>
      <c r="G18" s="293">
        <f>G8/$D$48</f>
        <v/>
      </c>
      <c r="H18" s="293">
        <f>H8/$D$48</f>
        <v/>
      </c>
      <c r="I18" s="293">
        <f>I8/$D$48</f>
        <v/>
      </c>
      <c r="J18" s="293">
        <f>J8/$D$48</f>
        <v/>
      </c>
      <c r="K18" s="293">
        <f>K8/$D$48</f>
        <v/>
      </c>
      <c r="L18" s="293">
        <f>L8/$D$48</f>
        <v/>
      </c>
      <c r="M18" s="293">
        <f>M8/$D$48</f>
        <v/>
      </c>
      <c r="N18" s="293">
        <f>N8/$D$48</f>
        <v/>
      </c>
      <c r="O18" s="293">
        <f>O8/$D$48</f>
        <v/>
      </c>
    </row>
    <row r="19">
      <c r="B19" s="272" t="inlineStr">
        <is>
          <t>Recycler-only bid change  (−τ × κ × x × displacement; reduced form)</t>
        </is>
      </c>
      <c r="C19" s="256" t="inlineStr">
        <is>
          <t>%</t>
        </is>
      </c>
      <c r="D19" s="292">
        <f>-$D$52*$D$53*$D$57*D18</f>
        <v/>
      </c>
      <c r="E19" s="292">
        <f>-$D$52*$D$53*$D$57*E18</f>
        <v/>
      </c>
      <c r="F19" s="292">
        <f>-$D$52*$D$53*$D$57*F18</f>
        <v/>
      </c>
      <c r="G19" s="292">
        <f>-$D$52*$D$53*$D$57*G18</f>
        <v/>
      </c>
      <c r="H19" s="292">
        <f>-$D$52*$D$53*$D$57*H18</f>
        <v/>
      </c>
      <c r="I19" s="292">
        <f>-$D$52*$D$53*$D$57*I18</f>
        <v/>
      </c>
      <c r="J19" s="292">
        <f>-$D$52*$D$53*$D$57*J18</f>
        <v/>
      </c>
      <c r="K19" s="292">
        <f>-$D$52*$D$53*$D$57*K18</f>
        <v/>
      </c>
      <c r="L19" s="292">
        <f>-$D$52*$D$53*$D$57*L18</f>
        <v/>
      </c>
      <c r="M19" s="292">
        <f>-$D$52*$D$53*$D$57*M18</f>
        <v/>
      </c>
      <c r="N19" s="292">
        <f>-$D$52*$D$53*$D$57*N18</f>
        <v/>
      </c>
      <c r="O19" s="292">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294">
        <f>SUMIFS('D Engine'!$D$98:$D$102,'D Engine'!$B$98:$B$102,"ccc_larger_shift")</f>
        <v/>
      </c>
      <c r="E20" s="294">
        <f>SUMIFS('D Engine'!$D$98:$D$102,'D Engine'!$B$98:$B$102,"ccc_larger_shift")</f>
        <v/>
      </c>
      <c r="F20" s="294">
        <f>SUMIFS('D Engine'!$D$98:$D$102,'D Engine'!$B$98:$B$102,"ccc_larger_shift")</f>
        <v/>
      </c>
      <c r="G20" s="294">
        <f>SUMIFS('D Engine'!$D$98:$D$102,'D Engine'!$B$98:$B$102,"ccc_larger_shift")</f>
        <v/>
      </c>
      <c r="H20" s="294">
        <f>SUMIFS('D Engine'!$D$98:$D$102,'D Engine'!$B$98:$B$102,"ccc_larger_shift")</f>
        <v/>
      </c>
      <c r="I20" s="294">
        <f>SUMIFS('D Engine'!$D$98:$D$102,'D Engine'!$B$98:$B$102,"ccc_larger_shift")</f>
        <v/>
      </c>
      <c r="J20" s="294">
        <f>SUMIFS('D Engine'!$D$98:$D$102,'D Engine'!$B$98:$B$102,"ccc_larger_shift")</f>
        <v/>
      </c>
      <c r="K20" s="294">
        <f>SUMIFS('D Engine'!$D$98:$D$102,'D Engine'!$B$98:$B$102,"ccc_larger_shift")</f>
        <v/>
      </c>
      <c r="L20" s="294">
        <f>SUMIFS('D Engine'!$D$98:$D$102,'D Engine'!$B$98:$B$102,"ccc_larger_shift")</f>
        <v/>
      </c>
      <c r="M20" s="294">
        <f>SUMIFS('D Engine'!$D$98:$D$102,'D Engine'!$B$98:$B$102,"ccc_larger_shift")</f>
        <v/>
      </c>
      <c r="N20" s="294">
        <f>SUMIFS('D Engine'!$D$98:$D$102,'D Engine'!$B$98:$B$102,"ccc_larger_shift")</f>
        <v/>
      </c>
      <c r="O20" s="294">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288">
        <f>D20*D18/($D$58/$D$48)</f>
        <v/>
      </c>
      <c r="E21" s="288">
        <f>E20*E18/($D$58/$D$48)</f>
        <v/>
      </c>
      <c r="F21" s="288">
        <f>F20*F18/($D$58/$D$48)</f>
        <v/>
      </c>
      <c r="G21" s="288">
        <f>G20*G18/($D$58/$D$48)</f>
        <v/>
      </c>
      <c r="H21" s="288">
        <f>H20*H18/($D$58/$D$48)</f>
        <v/>
      </c>
      <c r="I21" s="288">
        <f>I20*I18/($D$58/$D$48)</f>
        <v/>
      </c>
      <c r="J21" s="288">
        <f>J20*J18/($D$58/$D$48)</f>
        <v/>
      </c>
      <c r="K21" s="288">
        <f>K20*K18/($D$58/$D$48)</f>
        <v/>
      </c>
      <c r="L21" s="288">
        <f>L20*L18/($D$58/$D$48)</f>
        <v/>
      </c>
      <c r="M21" s="288">
        <f>M20*M18/($D$58/$D$48)</f>
        <v/>
      </c>
      <c r="N21" s="288">
        <f>N20*N18/($D$58/$D$48)</f>
        <v/>
      </c>
      <c r="O21" s="288">
        <f>O20*O18/($D$58/$D$48)</f>
        <v/>
      </c>
      <c r="S21" s="234" t="inlineStr">
        <is>
          <t>ASSUMED linear scaling from the endpoint</t>
        </is>
      </c>
    </row>
    <row r="22"/>
    <row r="23">
      <c r="B23" s="254" t="inlineStr">
        <is>
          <t>D. Parity with the Python engine (1 Oct package): aftermarket added to the saved reference, FY27 quarters</t>
        </is>
      </c>
      <c r="C23" s="274" t="n"/>
      <c r="D23" s="274" t="n"/>
      <c r="E23" s="274" t="n"/>
      <c r="F23" s="274" t="n"/>
      <c r="G23" s="274" t="n"/>
      <c r="H23" s="274" t="n"/>
      <c r="I23" s="274" t="n"/>
      <c r="J23" s="274" t="n"/>
      <c r="K23" s="274" t="n"/>
      <c r="L23" s="274" t="n"/>
      <c r="M23" s="274" t="n"/>
      <c r="N23" s="274" t="n"/>
      <c r="O23" s="274" t="n"/>
      <c r="P23" s="274" t="n"/>
      <c r="Q23" s="274" t="n"/>
      <c r="R23" s="274" t="n"/>
      <c r="S23" s="274"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2"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295">
        <f>0.40*(((0.65-0.04)*1+(0.25+0.04+0.015)*0.5+(0.10-0.015)*0.6)/(0.65*1+0.25*0.5+0.10*0.6)-1)</f>
        <v/>
      </c>
      <c r="E30" s="294">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t>
        </is>
      </c>
      <c r="C31" s="256" t="inlineStr">
        <is>
          <t>%</t>
        </is>
      </c>
      <c r="D31" s="288">
        <f>$D$45*((($D$46-4*$D$54)*$D$49+($D$47+4*$D$54+4*$D$55)*$D$50+($D$48-4*$D$55)*$D$51)/($D$46*$D$49+$D$47*$D$50+$D$48*$D$51)-1)</f>
        <v/>
      </c>
      <c r="E31" s="293">
        <f>D31*$D$61</f>
        <v/>
      </c>
      <c r="S31" s="234" t="inlineStr">
        <is>
          <t>Shows what the memo's stress case is worth once prices are the sourced ones: shifting recycled to aftermarket raises cost at 0.73 vs 0.60, so the saving is about 0.4% of the bill</t>
        </is>
      </c>
    </row>
    <row r="32"/>
    <row r="33"/>
    <row r="34"/>
    <row r="35"/>
    <row r="36"/>
    <row r="37"/>
    <row r="38">
      <c r="B38" s="254" t="inlineStr">
        <is>
          <t>Outputs → other tabs (thesis B effects, always computed; Scenarios switches them on or off)</t>
        </is>
      </c>
      <c r="C38" s="274" t="n"/>
      <c r="D38" s="274" t="n"/>
      <c r="E38" s="274" t="n"/>
      <c r="F38" s="274" t="n"/>
      <c r="G38" s="274" t="n"/>
      <c r="H38" s="274" t="n"/>
      <c r="I38" s="274" t="n"/>
      <c r="J38" s="274" t="n"/>
      <c r="K38" s="274" t="n"/>
      <c r="L38" s="274" t="n"/>
      <c r="M38" s="274" t="n"/>
      <c r="N38" s="274" t="n"/>
      <c r="O38" s="274" t="n"/>
      <c r="P38" s="274" t="n"/>
      <c r="Q38" s="274" t="n"/>
      <c r="R38" s="274" t="n"/>
      <c r="S38" s="274" t="n"/>
    </row>
    <row r="39"/>
    <row r="40">
      <c r="B40" s="242" t="inlineStr">
        <is>
          <t>Δ total-loss units, relative  (→ E2 TLF cells, → Scenarios)</t>
        </is>
      </c>
      <c r="C40" s="256" t="inlineStr">
        <is>
          <t>%</t>
        </is>
      </c>
      <c r="D40" s="288">
        <f>D15</f>
        <v/>
      </c>
      <c r="E40" s="288">
        <f>E15</f>
        <v/>
      </c>
      <c r="F40" s="288">
        <f>F15</f>
        <v/>
      </c>
      <c r="G40" s="288">
        <f>G15</f>
        <v/>
      </c>
      <c r="H40" s="288">
        <f>H15</f>
        <v/>
      </c>
      <c r="I40" s="288">
        <f>I15</f>
        <v/>
      </c>
      <c r="J40" s="288">
        <f>J15</f>
        <v/>
      </c>
      <c r="K40" s="288">
        <f>K15</f>
        <v/>
      </c>
      <c r="L40" s="288">
        <f>L15</f>
        <v/>
      </c>
      <c r="M40" s="288">
        <f>M15</f>
        <v/>
      </c>
      <c r="N40" s="288">
        <f>N15</f>
        <v/>
      </c>
      <c r="O40" s="288">
        <f>O15</f>
        <v/>
      </c>
    </row>
    <row r="41">
      <c r="B41" s="242" t="inlineStr">
        <is>
          <t>Δ auction price, relative  (→ Scenarios ASP)</t>
        </is>
      </c>
      <c r="C41" s="256" t="inlineStr">
        <is>
          <t>%</t>
        </is>
      </c>
      <c r="D41" s="288">
        <f>D21</f>
        <v/>
      </c>
      <c r="E41" s="288">
        <f>E21</f>
        <v/>
      </c>
      <c r="F41" s="288">
        <f>F21</f>
        <v/>
      </c>
      <c r="G41" s="288">
        <f>G21</f>
        <v/>
      </c>
      <c r="H41" s="288">
        <f>H21</f>
        <v/>
      </c>
      <c r="I41" s="288">
        <f>I21</f>
        <v/>
      </c>
      <c r="J41" s="288">
        <f>J21</f>
        <v/>
      </c>
      <c r="K41" s="288">
        <f>K21</f>
        <v/>
      </c>
      <c r="L41" s="288">
        <f>L21</f>
        <v/>
      </c>
      <c r="M41" s="288">
        <f>M21</f>
        <v/>
      </c>
      <c r="N41" s="288">
        <f>N21</f>
        <v/>
      </c>
      <c r="O41" s="288">
        <f>O21</f>
        <v/>
      </c>
    </row>
    <row r="42"/>
    <row r="43"/>
    <row r="44">
      <c r="B44" s="235" t="inlineStr">
        <is>
          <t>Inputs</t>
        </is>
      </c>
      <c r="C44" s="236" t="n"/>
      <c r="D44" s="269" t="inlineStr">
        <is>
          <t>Value</t>
        </is>
      </c>
      <c r="E44" s="269"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296" t="n">
        <v>0.4</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296" t="n">
        <v>0.668</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296" t="n">
        <v>0.227</v>
      </c>
      <c r="E47" s="234" t="inlineStr">
        <is>
          <t>VERIFIED</t>
        </is>
      </c>
      <c r="S47" s="234" t="inlineStr">
        <is>
          <t>CCC Crash Course 2026, 22.7% (21.0% in 2024)</t>
        </is>
      </c>
    </row>
    <row r="48">
      <c r="B48" s="238" t="inlineStr">
        <is>
          <t>q_rec: recycled share of replacement-part dollars, 2025</t>
        </is>
      </c>
      <c r="D48" s="296" t="n">
        <v>0.105</v>
      </c>
      <c r="E48" s="234" t="inlineStr">
        <is>
          <t>VERIFIED</t>
        </is>
      </c>
      <c r="S48" s="234" t="inlineStr">
        <is>
          <t>CCC Crash Course 2026, 10.5% (10.7% in 2024)</t>
        </is>
      </c>
    </row>
    <row r="49">
      <c r="B49" s="238" t="inlineStr">
        <is>
          <t>p_OEM: relative price</t>
        </is>
      </c>
      <c r="D49" s="296" t="n">
        <v>1</v>
      </c>
      <c r="E49" s="234" t="inlineStr">
        <is>
          <t>ASSUMED</t>
        </is>
      </c>
      <c r="S49" s="234" t="inlineStr">
        <is>
          <t>Numeraire</t>
        </is>
      </c>
    </row>
    <row r="50">
      <c r="B50" s="238" t="inlineStr">
        <is>
          <t>p_AM: aftermarket price relative to OEM</t>
        </is>
      </c>
      <c r="D50" s="296" t="n">
        <v>0.73</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t>
        </is>
      </c>
      <c r="D51" s="296" t="n">
        <v>0.6</v>
      </c>
      <c r="E51" s="234" t="inlineStr">
        <is>
          <t>ASSUMED</t>
        </is>
      </c>
      <c r="S51" s="234" t="inlineStr">
        <is>
          <t>No matched national dataset; flagged in the source trace</t>
        </is>
      </c>
    </row>
    <row r="52">
      <c r="B52" s="238" t="inlineStr">
        <is>
          <t>x: donor contribution exposed to collision-part substitution</t>
        </is>
      </c>
      <c r="D52" s="296" t="n">
        <v>0.25</v>
      </c>
      <c r="E52" s="234" t="inlineStr">
        <is>
          <t>ASSUMED</t>
        </is>
      </c>
      <c r="S52" s="234" t="inlineStr">
        <is>
          <t>No supporting record (FORWARD_ASSUMPTIONS.md)</t>
        </is>
      </c>
    </row>
    <row r="53">
      <c r="B53" s="238" t="inlineStr">
        <is>
          <t>κ: contribution-to-hammer bid ratio</t>
        </is>
      </c>
      <c r="D53" s="296" t="n">
        <v>1.5</v>
      </c>
      <c r="E53" s="234" t="inlineStr">
        <is>
          <t>ASSUMED</t>
        </is>
      </c>
      <c r="S53" s="234" t="inlineStr">
        <is>
          <t>Sturgeon 2018 margins make the scale interpretable, not the value</t>
        </is>
      </c>
    </row>
    <row r="54">
      <c r="B54" s="238" t="inlineStr">
        <is>
          <t>Stress path: OEM → aftermarket shift per quarter through FY27 (points)</t>
        </is>
      </c>
      <c r="D54" s="296" t="n">
        <v>0.01</v>
      </c>
      <c r="E54" s="234" t="inlineStr">
        <is>
          <t>ASSUMED</t>
        </is>
      </c>
      <c r="S54" s="234" t="inlineStr">
        <is>
          <t>model/thesis_audit_2026-10-01/assumptions.json (memo stress; 5.5-pt endpoint)</t>
        </is>
      </c>
    </row>
    <row r="55">
      <c r="B55" s="238" t="inlineStr">
        <is>
          <t>Stress path: recycled → aftermarket shift per quarter (points)</t>
        </is>
      </c>
      <c r="D55" s="296"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296" t="n">
        <v>0.5</v>
      </c>
      <c r="E57" s="234" t="inlineStr">
        <is>
          <t>ASSUMED</t>
        </is>
      </c>
      <c r="S57" s="234" t="inlineStr">
        <is>
          <t>The 10% case removes most of the price effect (AUDIT.md)</t>
        </is>
      </c>
    </row>
    <row r="58">
      <c r="B58" s="238" t="inlineStr">
        <is>
          <t>Endpoint recycled displacement used by the engine (points)</t>
        </is>
      </c>
      <c r="D58" s="296"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297">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296" t="n">
        <v>0.00425</v>
      </c>
      <c r="E65" s="234" t="inlineStr">
        <is>
          <t>VERIFIED (trend)</t>
        </is>
      </c>
      <c r="S65" s="234" t="inlineStr">
        <is>
          <t>CCC 2024→25 +1.7 pts a year ÷ 4; a one-year trend, so a continuation assumption</t>
        </is>
      </c>
    </row>
    <row r="66">
      <c r="B66" s="238" t="inlineStr">
        <is>
          <t>Observed path: recycled dollar-share loss per quarter (points)</t>
        </is>
      </c>
      <c r="D66" s="296" t="n">
        <v>0.0005</v>
      </c>
      <c r="E66" s="234" t="inlineStr">
        <is>
          <t>VERIFIED (trend)</t>
        </is>
      </c>
      <c r="S66" s="234" t="inlineStr">
        <is>
          <t>CCC 2024→25 −0.2 pt a year ÷ 4</t>
        </is>
      </c>
    </row>
    <row r="67">
      <c r="B67" s="238" t="inlineStr">
        <is>
          <t>Tariff effect: additional aftermarket share suppressed by the Taiwan parts tariff (points, FY27 endpoint)</t>
        </is>
      </c>
      <c r="D67" s="296" t="n">
        <v>0</v>
      </c>
      <c r="E67" s="234" t="inlineStr">
        <is>
          <t>ASSUMED</t>
        </is>
      </c>
      <c r="S67" s="234" t="inlineStr">
        <is>
          <t>Memo: 0.84–1.69 pts with a price-response coefficient of 2; coefficient unsourced, so 0 by default. The other session verified a 1 May 2025 implementation for qualifying categories only</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Historical ledger, FY26 (reported dollars; the split and the units are inferred, not disclosed)</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79">
        <f>$D$39</f>
        <v/>
      </c>
      <c r="E7" s="279">
        <f>$D$39</f>
        <v/>
      </c>
      <c r="F7" s="279">
        <f>$D$39</f>
        <v/>
      </c>
      <c r="G7" s="279">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298">
        <f>$D$40*$D$41+$D$42*$D$43</f>
        <v/>
      </c>
      <c r="E9" s="298">
        <f>$D$40*$D$41+$D$42*$D$43</f>
        <v/>
      </c>
      <c r="F9" s="298">
        <f>$D$40*$D$41+$D$42*$D$43</f>
        <v/>
      </c>
      <c r="G9" s="298">
        <f>$D$40*$D$41+$D$42*$D$43</f>
        <v/>
      </c>
      <c r="S9" s="234" t="inlineStr">
        <is>
          <t>ASSUMED 50% × $50 + 10% × $300 = $55; undisclosed products</t>
        </is>
      </c>
    </row>
    <row r="10">
      <c r="B10" s="238" t="inlineStr">
        <is>
          <t>Core RPU at the FY26 price level</t>
        </is>
      </c>
      <c r="C10" s="256" t="inlineStr">
        <is>
          <t>$</t>
        </is>
      </c>
      <c r="D10" s="299">
        <f>D23</f>
        <v/>
      </c>
      <c r="E10" s="299">
        <f>E23</f>
        <v/>
      </c>
      <c r="F10" s="299">
        <f>F23</f>
        <v/>
      </c>
      <c r="G10" s="299">
        <f>G23</f>
        <v/>
      </c>
    </row>
    <row r="11">
      <c r="B11" s="242" t="inlineStr">
        <is>
          <t>Implied US insurance units</t>
        </is>
      </c>
      <c r="C11" s="256" t="inlineStr">
        <is>
          <t>000s</t>
        </is>
      </c>
      <c r="D11" s="285">
        <f>D8*1000/(D10+D9)</f>
        <v/>
      </c>
      <c r="E11" s="285">
        <f>E8*1000/(E10+E9)</f>
        <v/>
      </c>
      <c r="F11" s="285">
        <f>F8*1000/(F10+F9)</f>
        <v/>
      </c>
      <c r="G11" s="285">
        <f>G8*1000/(G10+G9)</f>
        <v/>
      </c>
      <c r="P11" s="285">
        <f>SUM(D11:G11)</f>
        <v/>
      </c>
      <c r="S11" s="234" t="inlineStr">
        <is>
          <t>Inferred by identity; labelled MODELED, not disclosed</t>
        </is>
      </c>
    </row>
    <row r="12">
      <c r="B12" s="272" t="inlineStr">
        <is>
          <t xml:space="preserve">   y/y (diagnostic; FY27+ comes from Scenarios)</t>
        </is>
      </c>
      <c r="C12" s="256" t="inlineStr">
        <is>
          <t>%</t>
        </is>
      </c>
    </row>
    <row r="13"/>
    <row r="14">
      <c r="B14" s="254" t="inlineStr">
        <is>
          <t>B. Vehicle prices: US insurance ASP, base path (continuation; thesis B price change applied in Scenarios)</t>
        </is>
      </c>
      <c r="C14" s="274" t="n"/>
      <c r="D14" s="274" t="n"/>
      <c r="E14" s="274" t="n"/>
      <c r="F14" s="274" t="n"/>
      <c r="G14" s="274" t="n"/>
      <c r="H14" s="274" t="n"/>
      <c r="I14" s="274" t="n"/>
      <c r="J14" s="274" t="n"/>
      <c r="K14" s="274" t="n"/>
      <c r="L14" s="274" t="n"/>
      <c r="M14" s="274" t="n"/>
      <c r="N14" s="274" t="n"/>
      <c r="O14" s="274" t="n"/>
      <c r="P14" s="274" t="n"/>
      <c r="Q14" s="274" t="n"/>
      <c r="R14" s="274" t="n"/>
      <c r="S14" s="274" t="n"/>
    </row>
    <row r="15">
      <c r="B15" s="242" t="inlineStr">
        <is>
          <t>US insurance ASP, base path</t>
        </is>
      </c>
      <c r="C15" s="256" t="inlineStr">
        <is>
          <t>$</t>
        </is>
      </c>
      <c r="D15" s="299">
        <f>$D$45</f>
        <v/>
      </c>
      <c r="E15" s="299">
        <f>$D$45</f>
        <v/>
      </c>
      <c r="F15" s="299">
        <f>$D$45</f>
        <v/>
      </c>
      <c r="G15" s="299">
        <f>$D$45</f>
        <v/>
      </c>
      <c r="H15" s="300">
        <f>D15*(1+$D$44)</f>
        <v/>
      </c>
      <c r="I15" s="300">
        <f>E15*(1+$D$44)</f>
        <v/>
      </c>
      <c r="J15" s="300">
        <f>F15*(1+$D$44)</f>
        <v/>
      </c>
      <c r="K15" s="300">
        <f>G15*(1+$D$44)</f>
        <v/>
      </c>
      <c r="L15" s="300">
        <f>H15*(1+$D$44)</f>
        <v/>
      </c>
      <c r="M15" s="300">
        <f>I15*(1+$D$44)</f>
        <v/>
      </c>
      <c r="N15" s="300">
        <f>J15*(1+$D$44)</f>
        <v/>
      </c>
      <c r="O15" s="300">
        <f>K15*(1+$D$44)</f>
        <v/>
      </c>
      <c r="S15" s="234" t="inlineStr">
        <is>
          <t>FY26 level is the engine's modeled selected-vehicle price (ENGINE, $3,041), held flat within FY26; FY27+ grows at the input rate</t>
        </is>
      </c>
    </row>
    <row r="16">
      <c r="B16" s="272" t="inlineStr">
        <is>
          <t xml:space="preserve">   y/y</t>
        </is>
      </c>
      <c r="C16" s="256" t="inlineStr">
        <is>
          <t>%</t>
        </is>
      </c>
      <c r="H16" s="273">
        <f>H15/D15-1</f>
        <v/>
      </c>
      <c r="I16" s="273">
        <f>I15/E15-1</f>
        <v/>
      </c>
      <c r="J16" s="273">
        <f>J15/F15-1</f>
        <v/>
      </c>
      <c r="K16" s="273">
        <f>K15/G15-1</f>
        <v/>
      </c>
      <c r="L16" s="273">
        <f>L15/H15-1</f>
        <v/>
      </c>
      <c r="M16" s="273">
        <f>M15/I15-1</f>
        <v/>
      </c>
      <c r="N16" s="273">
        <f>N15/J15-1</f>
        <v/>
      </c>
      <c r="O16" s="273">
        <f>O15/K15-1</f>
        <v/>
      </c>
    </row>
    <row r="17">
      <c r="B17" s="272" t="inlineStr">
        <is>
          <t>Reference: disclosed US insurance ASP y/y (FQ4 FY26 +3.7%; Manheim +2.8%)</t>
        </is>
      </c>
      <c r="C17" s="256" t="inlineStr">
        <is>
          <t>%</t>
        </is>
      </c>
      <c r="G17" s="257" t="n">
        <v>0.037</v>
      </c>
      <c r="S17" s="234" t="inlineStr">
        <is>
          <t>VERIFIED, call 10 Sep 2026</t>
        </is>
      </c>
    </row>
    <row r="18"/>
    <row r="19">
      <c r="B19" s="254" t="inlineStr">
        <is>
          <t>C. Fee economics per sold insurance vehicle (posted grid summarised by an elasticity; grid itself on D Fees)</t>
        </is>
      </c>
      <c r="C19" s="274" t="n"/>
      <c r="D19" s="274" t="n"/>
      <c r="E19" s="274" t="n"/>
      <c r="F19" s="274" t="n"/>
      <c r="G19" s="274" t="n"/>
      <c r="H19" s="274" t="n"/>
      <c r="I19" s="274" t="n"/>
      <c r="J19" s="274" t="n"/>
      <c r="K19" s="274" t="n"/>
      <c r="L19" s="274" t="n"/>
      <c r="M19" s="274" t="n"/>
      <c r="N19" s="274" t="n"/>
      <c r="O19" s="274" t="n"/>
      <c r="P19" s="274" t="n"/>
      <c r="Q19" s="274" t="n"/>
      <c r="R19" s="274" t="n"/>
      <c r="S19" s="274" t="n"/>
    </row>
    <row r="20">
      <c r="B20" s="238" t="inlineStr">
        <is>
          <t>Buyer variable fee  β × (ASP ÷ ASP₀)^ε_b</t>
        </is>
      </c>
      <c r="C20" s="256" t="inlineStr">
        <is>
          <t>$</t>
        </is>
      </c>
      <c r="D20" s="298">
        <f>$D$50*(D15/$D$45)^$D$51</f>
        <v/>
      </c>
      <c r="E20" s="298">
        <f>$D$50*(E15/$D$45)^$D$51</f>
        <v/>
      </c>
      <c r="F20" s="298">
        <f>$D$50*(F15/$D$45)^$D$51</f>
        <v/>
      </c>
      <c r="G20" s="298">
        <f>$D$50*(G15/$D$45)^$D$51</f>
        <v/>
      </c>
      <c r="H20" s="298">
        <f>$D$50*(H15/$D$45)^$D$51</f>
        <v/>
      </c>
      <c r="I20" s="298">
        <f>$D$50*(I15/$D$45)^$D$51</f>
        <v/>
      </c>
      <c r="J20" s="298">
        <f>$D$50*(J15/$D$45)^$D$51</f>
        <v/>
      </c>
      <c r="K20" s="298">
        <f>$D$50*(K15/$D$45)^$D$51</f>
        <v/>
      </c>
      <c r="L20" s="298">
        <f>$D$50*(L15/$D$45)^$D$51</f>
        <v/>
      </c>
      <c r="M20" s="298">
        <f>$D$50*(M15/$D$45)^$D$51</f>
        <v/>
      </c>
      <c r="N20" s="298">
        <f>$D$50*(N15/$D$45)^$D$51</f>
        <v/>
      </c>
      <c r="O20" s="298">
        <f>$D$50*(O15/$D$45)^$D$51</f>
        <v/>
      </c>
      <c r="S20" s="234" t="inlineStr">
        <is>
          <t>β and ε_b derived from the engine's 1,024-node fee integration (Inputs rows 46–51)</t>
        </is>
      </c>
    </row>
    <row r="21">
      <c r="B21" s="238" t="inlineStr">
        <is>
          <t>Seller commission  (rate from E3, base)</t>
        </is>
      </c>
      <c r="C21" s="256" t="inlineStr">
        <is>
          <t>$</t>
        </is>
      </c>
      <c r="D21" s="299">
        <f>'E3 Carriers'!D$55*D15</f>
        <v/>
      </c>
      <c r="E21" s="299">
        <f>'E3 Carriers'!E$55*E15</f>
        <v/>
      </c>
      <c r="F21" s="299">
        <f>'E3 Carriers'!F$55*F15</f>
        <v/>
      </c>
      <c r="G21" s="299">
        <f>'E3 Carriers'!G$55*G15</f>
        <v/>
      </c>
      <c r="H21" s="299">
        <f>'E3 Carriers'!H$55*H15</f>
        <v/>
      </c>
      <c r="I21" s="299">
        <f>'E3 Carriers'!I$55*I15</f>
        <v/>
      </c>
      <c r="J21" s="299">
        <f>'E3 Carriers'!J$55*J15</f>
        <v/>
      </c>
      <c r="K21" s="299">
        <f>'E3 Carriers'!K$55*K15</f>
        <v/>
      </c>
      <c r="L21" s="299">
        <f>'E3 Carriers'!L$55*L15</f>
        <v/>
      </c>
      <c r="M21" s="299">
        <f>'E3 Carriers'!M$55*M15</f>
        <v/>
      </c>
      <c r="N21" s="299">
        <f>'E3 Carriers'!N$55*N15</f>
        <v/>
      </c>
      <c r="O21" s="299">
        <f>'E3 Carriers'!O$55*O15</f>
        <v/>
      </c>
    </row>
    <row r="22">
      <c r="B22" s="238" t="inlineStr">
        <is>
          <t>Fixed buyer fees (gate, environmental)</t>
        </is>
      </c>
      <c r="C22" s="256" t="inlineStr">
        <is>
          <t>$</t>
        </is>
      </c>
      <c r="D22" s="299">
        <f>$D$48</f>
        <v/>
      </c>
      <c r="E22" s="299">
        <f>$D$48</f>
        <v/>
      </c>
      <c r="F22" s="299">
        <f>$D$48</f>
        <v/>
      </c>
      <c r="G22" s="299">
        <f>$D$48</f>
        <v/>
      </c>
      <c r="H22" s="299">
        <f>$D$48</f>
        <v/>
      </c>
      <c r="I22" s="299">
        <f>$D$48</f>
        <v/>
      </c>
      <c r="J22" s="299">
        <f>$D$48</f>
        <v/>
      </c>
      <c r="K22" s="299">
        <f>$D$48</f>
        <v/>
      </c>
      <c r="L22" s="299">
        <f>$D$48</f>
        <v/>
      </c>
      <c r="M22" s="299">
        <f>$D$48</f>
        <v/>
      </c>
      <c r="N22" s="299">
        <f>$D$48</f>
        <v/>
      </c>
      <c r="O22" s="299">
        <f>$D$48</f>
        <v/>
      </c>
      <c r="S22" s="234" t="inlineStr">
        <is>
          <t>ASSUMED $110 inherited; posted fixed fees on D Fees show gate $79/$95 — to be reconciled</t>
        </is>
      </c>
    </row>
    <row r="23">
      <c r="B23" s="242" t="inlineStr">
        <is>
          <t>Core RPU</t>
        </is>
      </c>
      <c r="C23" s="256" t="inlineStr">
        <is>
          <t>$</t>
        </is>
      </c>
      <c r="D23" s="300">
        <f>D20+D21+D22</f>
        <v/>
      </c>
      <c r="E23" s="300">
        <f>E20+E21+E22</f>
        <v/>
      </c>
      <c r="F23" s="300">
        <f>F20+F21+F22</f>
        <v/>
      </c>
      <c r="G23" s="300">
        <f>G20+G21+G22</f>
        <v/>
      </c>
      <c r="H23" s="300">
        <f>H20+H21+H22</f>
        <v/>
      </c>
      <c r="I23" s="300">
        <f>I20+I21+I22</f>
        <v/>
      </c>
      <c r="J23" s="300">
        <f>J20+J21+J22</f>
        <v/>
      </c>
      <c r="K23" s="300">
        <f>K20+K21+K22</f>
        <v/>
      </c>
      <c r="L23" s="300">
        <f>L20+L21+L22</f>
        <v/>
      </c>
      <c r="M23" s="300">
        <f>M20+M21+M22</f>
        <v/>
      </c>
      <c r="N23" s="300">
        <f>N20+N21+N22</f>
        <v/>
      </c>
      <c r="O23" s="300">
        <f>O20+O21+O22</f>
        <v/>
      </c>
    </row>
    <row r="24">
      <c r="B24" s="238" t="inlineStr">
        <is>
          <t>Attached services per sale</t>
        </is>
      </c>
      <c r="C24" s="256" t="inlineStr">
        <is>
          <t>$</t>
        </is>
      </c>
      <c r="D24" s="298">
        <f>$D$40*$D$41+$D$42*$D$43</f>
        <v/>
      </c>
      <c r="E24" s="298">
        <f>$D$40*$D$41+$D$42*$D$43</f>
        <v/>
      </c>
      <c r="F24" s="298">
        <f>$D$40*$D$41+$D$42*$D$43</f>
        <v/>
      </c>
      <c r="G24" s="298">
        <f>$D$40*$D$41+$D$42*$D$43</f>
        <v/>
      </c>
      <c r="H24" s="298">
        <f>$D$40*$D$41+$D$42*$D$43</f>
        <v/>
      </c>
      <c r="I24" s="298">
        <f>$D$40*$D$41+$D$42*$D$43</f>
        <v/>
      </c>
      <c r="J24" s="298">
        <f>$D$40*$D$41+$D$42*$D$43</f>
        <v/>
      </c>
      <c r="K24" s="298">
        <f>$D$40*$D$41+$D$42*$D$43</f>
        <v/>
      </c>
      <c r="L24" s="298">
        <f>$D$40*$D$41+$D$42*$D$43</f>
        <v/>
      </c>
      <c r="M24" s="298">
        <f>$D$40*$D$41+$D$42*$D$43</f>
        <v/>
      </c>
      <c r="N24" s="298">
        <f>$D$40*$D$41+$D$42*$D$43</f>
        <v/>
      </c>
      <c r="O24" s="298">
        <f>$D$40*$D$41+$D$42*$D$43</f>
        <v/>
      </c>
    </row>
    <row r="25">
      <c r="B25" s="242" t="inlineStr">
        <is>
          <t>All-in insurance RPU, base</t>
        </is>
      </c>
      <c r="C25" s="256" t="inlineStr">
        <is>
          <t>$</t>
        </is>
      </c>
      <c r="D25" s="300">
        <f>D23+D24</f>
        <v/>
      </c>
      <c r="E25" s="300">
        <f>E23+E24</f>
        <v/>
      </c>
      <c r="F25" s="300">
        <f>F23+F24</f>
        <v/>
      </c>
      <c r="G25" s="300">
        <f>G23+G24</f>
        <v/>
      </c>
      <c r="H25" s="300">
        <f>H23+H24</f>
        <v/>
      </c>
      <c r="I25" s="300">
        <f>I23+I24</f>
        <v/>
      </c>
      <c r="J25" s="300">
        <f>J23+J24</f>
        <v/>
      </c>
      <c r="K25" s="300">
        <f>K23+K24</f>
        <v/>
      </c>
      <c r="L25" s="300">
        <f>L23+L24</f>
        <v/>
      </c>
      <c r="M25" s="300">
        <f>M23+M24</f>
        <v/>
      </c>
      <c r="N25" s="300">
        <f>N23+N24</f>
        <v/>
      </c>
      <c r="O25" s="300">
        <f>O23+O24</f>
        <v/>
      </c>
    </row>
    <row r="26">
      <c r="B26" s="272" t="inlineStr">
        <is>
          <t xml:space="preserve">   y/y</t>
        </is>
      </c>
      <c r="C26" s="256" t="inlineStr">
        <is>
          <t>%</t>
        </is>
      </c>
      <c r="H26" s="273">
        <f>H25/D25-1</f>
        <v/>
      </c>
      <c r="I26" s="273">
        <f>I25/E25-1</f>
        <v/>
      </c>
      <c r="J26" s="273">
        <f>J25/F25-1</f>
        <v/>
      </c>
      <c r="K26" s="273">
        <f>K25/G25-1</f>
        <v/>
      </c>
      <c r="L26" s="273">
        <f>L25/H25-1</f>
        <v/>
      </c>
      <c r="M26" s="273">
        <f>M25/I25-1</f>
        <v/>
      </c>
      <c r="N26" s="273">
        <f>N25/J25-1</f>
        <v/>
      </c>
      <c r="O26" s="273">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9" t="inlineStr">
        <is>
          <t>Value</t>
        </is>
      </c>
      <c r="E38" s="269"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01" t="n">
        <v>0.9</v>
      </c>
      <c r="E39" s="234" t="inlineStr">
        <is>
          <t>ASSUMED</t>
        </is>
      </c>
      <c r="S39" s="234" t="inlineStr">
        <is>
          <t>0.80 alternative; carry both</t>
        </is>
      </c>
    </row>
    <row r="40">
      <c r="B40" s="238" t="inlineStr">
        <is>
          <t>Title service: adoption (share of sales)</t>
        </is>
      </c>
      <c r="D40" s="280" t="n">
        <v>0.5</v>
      </c>
      <c r="E40" s="234" t="inlineStr">
        <is>
          <t>ASSUMED</t>
        </is>
      </c>
      <c r="S40" s="234" t="inlineStr">
        <is>
          <t>Undisclosed</t>
        </is>
      </c>
    </row>
    <row r="41">
      <c r="B41" s="238" t="inlineStr">
        <is>
          <t>Title service: charge per job</t>
        </is>
      </c>
      <c r="D41" s="302" t="n">
        <v>50</v>
      </c>
      <c r="E41" s="234" t="inlineStr">
        <is>
          <t>ASSUMED</t>
        </is>
      </c>
      <c r="S41" s="234" t="inlineStr">
        <is>
          <t>Inherited with the adoption rate above; product price undisclosed</t>
        </is>
      </c>
    </row>
    <row r="42">
      <c r="B42" s="238" t="inlineStr">
        <is>
          <t>Delivery service: adoption</t>
        </is>
      </c>
      <c r="D42" s="280" t="n">
        <v>0.1</v>
      </c>
      <c r="E42" s="234" t="inlineStr">
        <is>
          <t>ASSUMED</t>
        </is>
      </c>
      <c r="S42" s="234" t="inlineStr">
        <is>
          <t>Undisclosed; gross/net unknown</t>
        </is>
      </c>
    </row>
    <row r="43">
      <c r="B43" s="238" t="inlineStr">
        <is>
          <t>Delivery service: charge per job</t>
        </is>
      </c>
      <c r="D43" s="302" t="n">
        <v>300</v>
      </c>
      <c r="E43" s="234" t="inlineStr">
        <is>
          <t>ASSUMED</t>
        </is>
      </c>
      <c r="S43" s="234" t="inlineStr">
        <is>
          <t>Inherited; gross charge per delivered vehicle, product price undisclosed</t>
        </is>
      </c>
    </row>
    <row r="44">
      <c r="B44" s="238" t="inlineStr">
        <is>
          <t>US insurance ASP growth, FY27+ (continuation)</t>
        </is>
      </c>
      <c r="D44" s="280" t="n">
        <v>0.037</v>
      </c>
      <c r="E44" s="234" t="inlineStr">
        <is>
          <t>ASSUMED</t>
        </is>
      </c>
      <c r="S44" s="234" t="inlineStr">
        <is>
          <t>FQ4 FY26 disclosed +3.7% continued; not guidance (6% alternative)</t>
        </is>
      </c>
    </row>
    <row r="45">
      <c r="B45" s="238" t="inlineStr">
        <is>
          <t>ASP₀: modeled selected-vehicle price at the FY26 anchor</t>
        </is>
      </c>
      <c r="D45" s="302" t="n">
        <v>3040.99</v>
      </c>
      <c r="E45" s="234" t="inlineStr">
        <is>
          <t>ENGINE</t>
        </is>
      </c>
      <c r="S45" s="234" t="inlineStr">
        <is>
          <t>age_constrained_engine_results.json baseline_core.ASP</t>
        </is>
      </c>
    </row>
    <row r="46">
      <c r="B46" s="238" t="inlineStr">
        <is>
          <t>Core RPU at the anchor (buyer fees + seller commission + fixed fees)</t>
        </is>
      </c>
      <c r="D46" s="302" t="n">
        <v>851.51</v>
      </c>
      <c r="E46" s="234" t="inlineStr">
        <is>
          <t>ENGINE</t>
        </is>
      </c>
      <c r="S46" s="234" t="inlineStr">
        <is>
          <t>baseline_core.core_RPU</t>
        </is>
      </c>
    </row>
    <row r="47">
      <c r="B47" s="238" t="inlineStr">
        <is>
          <t>Seller commission rate embedded in the anchor</t>
        </is>
      </c>
      <c r="D47" s="280" t="n">
        <v>0.04</v>
      </c>
      <c r="E47" s="234" t="inlineStr">
        <is>
          <t>ASSUMED</t>
        </is>
      </c>
      <c r="S47" s="234" t="inlineStr">
        <is>
          <t>driver_register buyer_and_seller_fees</t>
        </is>
      </c>
    </row>
    <row r="48">
      <c r="B48" s="238" t="inlineStr">
        <is>
          <t>Fixed buyer fees embedded in the anchor</t>
        </is>
      </c>
      <c r="D48" s="302" t="n">
        <v>110</v>
      </c>
      <c r="E48" s="234" t="inlineStr">
        <is>
          <t>ASSUMED</t>
        </is>
      </c>
      <c r="S48" s="234" t="inlineStr">
        <is>
          <t>Inherited; contradicts posted $79/$95 gate fee — flagged in source trace</t>
        </is>
      </c>
    </row>
    <row r="49">
      <c r="B49" s="238" t="inlineStr">
        <is>
          <t>Core-RPU elasticity to ASP from the engine's +5% value test  (ln(1.017859) ÷ ln(1.040402))</t>
        </is>
      </c>
      <c r="D49" s="275">
        <f>LN(1+0.017859212)/LN(1+0.040401548)</f>
        <v/>
      </c>
      <c r="E49" s="234" t="inlineStr">
        <is>
          <t>ENGINE</t>
        </is>
      </c>
      <c r="S49" s="234" t="inlineStr">
        <is>
          <t>age_constrained_engine_results.json scenario_changes value_plus_5pct</t>
        </is>
      </c>
    </row>
    <row r="50">
      <c r="B50" s="238" t="inlineStr">
        <is>
          <t>β: buyer variable fee at the anchor  (core − seller − fixed)</t>
        </is>
      </c>
      <c r="D50" s="275">
        <f>D46-D47*D45-D48</f>
        <v/>
      </c>
      <c r="E50" s="234" t="inlineStr">
        <is>
          <t>ENGINE</t>
        </is>
      </c>
      <c r="S50" s="234" t="inlineStr">
        <is>
          <t>Identity</t>
        </is>
      </c>
    </row>
    <row r="51">
      <c r="B51" s="238" t="inlineStr">
        <is>
          <t>ε_b: buyer-fee elasticity to ASP  ((ε_core × core − seller$) ÷ β)</t>
        </is>
      </c>
      <c r="D51" s="275">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US non-insurance service revenue (dealer, BluCar, Copart Direct consignment fees)</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79">
        <f>1-'E5 Prices &amp; Fees'!$D$39</f>
        <v/>
      </c>
      <c r="E7" s="279">
        <f>1-'E5 Prices &amp; Fees'!$D$39</f>
        <v/>
      </c>
      <c r="F7" s="279">
        <f>1-'E5 Prices &amp; Fees'!$D$39</f>
        <v/>
      </c>
      <c r="G7" s="279">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2" t="inlineStr">
        <is>
          <t xml:space="preserve">   y/y</t>
        </is>
      </c>
      <c r="C9" s="256" t="inlineStr">
        <is>
          <t>%</t>
        </is>
      </c>
      <c r="H9" s="273">
        <f>H8/D8-1</f>
        <v/>
      </c>
      <c r="I9" s="273">
        <f>I8/E8-1</f>
        <v/>
      </c>
      <c r="J9" s="273">
        <f>J8/F8-1</f>
        <v/>
      </c>
      <c r="K9" s="273">
        <f>K8/G8-1</f>
        <v/>
      </c>
      <c r="L9" s="273">
        <f>L8/H8-1</f>
        <v/>
      </c>
      <c r="M9" s="273">
        <f>M8/I8-1</f>
        <v/>
      </c>
      <c r="N9" s="273">
        <f>N8/J8-1</f>
        <v/>
      </c>
      <c r="O9" s="273">
        <f>O8/K8-1</f>
        <v/>
      </c>
    </row>
    <row r="10"/>
    <row r="11">
      <c r="B11" s="254" t="inlineStr">
        <is>
          <t>B. International service revenue</t>
        </is>
      </c>
      <c r="C11" s="274" t="n"/>
      <c r="D11" s="274" t="n"/>
      <c r="E11" s="274" t="n"/>
      <c r="F11" s="274" t="n"/>
      <c r="G11" s="274" t="n"/>
      <c r="H11" s="274" t="n"/>
      <c r="I11" s="274" t="n"/>
      <c r="J11" s="274" t="n"/>
      <c r="K11" s="274" t="n"/>
      <c r="L11" s="274" t="n"/>
      <c r="M11" s="274" t="n"/>
      <c r="N11" s="274" t="n"/>
      <c r="O11" s="274" t="n"/>
      <c r="P11" s="274" t="n"/>
      <c r="Q11" s="274" t="n"/>
      <c r="R11" s="274" t="n"/>
      <c r="S11" s="274" t="n"/>
    </row>
    <row r="12">
      <c r="B12" s="242" t="inlineStr">
        <is>
          <t>International service revenue</t>
        </is>
      </c>
      <c r="C12" s="256" t="inlineStr">
        <is>
          <t>$M</t>
        </is>
      </c>
      <c r="D12" s="303">
        <f>'D Reported'!$E$26</f>
        <v/>
      </c>
      <c r="E12" s="303">
        <f>'D Reported'!$E$27</f>
        <v/>
      </c>
      <c r="F12" s="303">
        <f>'D Reported'!$E$28</f>
        <v/>
      </c>
      <c r="G12" s="303">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2" t="inlineStr">
        <is>
          <t xml:space="preserve">   y/y</t>
        </is>
      </c>
      <c r="C13" s="256" t="inlineStr">
        <is>
          <t>%</t>
        </is>
      </c>
      <c r="H13" s="273">
        <f>H12/D12-1</f>
        <v/>
      </c>
      <c r="I13" s="273">
        <f>I12/E12-1</f>
        <v/>
      </c>
      <c r="J13" s="273">
        <f>J12/F12-1</f>
        <v/>
      </c>
      <c r="K13" s="273">
        <f>K12/G12-1</f>
        <v/>
      </c>
      <c r="L13" s="273">
        <f>L12/H12-1</f>
        <v/>
      </c>
      <c r="M13" s="273">
        <f>M12/I12-1</f>
        <v/>
      </c>
      <c r="N13" s="273">
        <f>N12/J12-1</f>
        <v/>
      </c>
      <c r="O13" s="273">
        <f>O12/K12-1</f>
        <v/>
      </c>
    </row>
    <row r="14"/>
    <row r="15">
      <c r="B15" s="254" t="inlineStr">
        <is>
          <t>C. Purchased-vehicle revenue (Copart owns the car; comparison overlay, not legacy service)</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42" t="inlineStr">
        <is>
          <t>Purchased-vehicle revenue, US + international</t>
        </is>
      </c>
      <c r="C16" s="256" t="inlineStr">
        <is>
          <t>$M</t>
        </is>
      </c>
      <c r="D16" s="303">
        <f>'D Reported'!$F$26+'D Reported'!$G$26</f>
        <v/>
      </c>
      <c r="E16" s="303">
        <f>'D Reported'!$F$27+'D Reported'!$G$27</f>
        <v/>
      </c>
      <c r="F16" s="303">
        <f>'D Reported'!$F$28+'D Reported'!$G$28</f>
        <v/>
      </c>
      <c r="G16" s="303">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9" t="inlineStr">
        <is>
          <t>Value</t>
        </is>
      </c>
      <c r="E29" s="269"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80" t="n">
        <v>0</v>
      </c>
      <c r="E30" s="234" t="inlineStr">
        <is>
          <t>ASSUMED</t>
        </is>
      </c>
      <c r="S30" s="234" t="inlineStr">
        <is>
          <t>Flat convention; FQ4 FY26 non-insurance units +0.2% with dealer +5.8%, BluCar +20%, Direct −11.7% (call)</t>
        </is>
      </c>
    </row>
    <row r="31">
      <c r="B31" s="238" t="inlineStr">
        <is>
          <t>International fee-unit growth, y/y</t>
        </is>
      </c>
      <c r="D31" s="280" t="n">
        <v>0.116</v>
      </c>
      <c r="E31" s="234" t="inlineStr">
        <is>
          <t>ASSUMED</t>
        </is>
      </c>
      <c r="S31" s="234" t="inlineStr">
        <is>
          <t>Derived FQ4 FY26: service +15.5% ÷ 1.035 − 1 (MEASURED by identity), continued as an assumption</t>
        </is>
      </c>
    </row>
    <row r="32">
      <c r="B32" s="238" t="inlineStr">
        <is>
          <t>International fee RPU growth, y/y</t>
        </is>
      </c>
      <c r="D32" s="280"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80"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04">
        <f>RPM!$D$3</f>
        <v/>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Cases (each block is a complete quarterly path)</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54" t="inlineStr">
        <is>
          <t>Case 1 — Case 0 — Street-implied: known runoff, coverage recovery reverse-solved to JPM FY27</t>
        </is>
      </c>
      <c r="C7" s="274" t="n"/>
      <c r="D7" s="274" t="n"/>
      <c r="E7" s="274" t="n"/>
      <c r="F7" s="274" t="n"/>
      <c r="G7" s="274" t="n"/>
      <c r="H7" s="274" t="n"/>
      <c r="I7" s="274" t="n"/>
      <c r="J7" s="274" t="n"/>
      <c r="K7" s="274" t="n"/>
      <c r="L7" s="274" t="n"/>
      <c r="M7" s="274" t="n"/>
      <c r="N7" s="274" t="n"/>
      <c r="O7" s="274" t="n"/>
      <c r="P7" s="274" t="n"/>
      <c r="Q7" s="274" t="n"/>
      <c r="R7" s="274" t="n"/>
      <c r="S7" s="274" t="n"/>
    </row>
    <row r="8">
      <c r="B8" s="242" t="inlineStr">
        <is>
          <t>Insurance units</t>
        </is>
      </c>
      <c r="C8" s="256" t="inlineStr">
        <is>
          <t>000s</t>
        </is>
      </c>
      <c r="D8" s="305">
        <f>'E5 Prices &amp; Fees'!D11</f>
        <v/>
      </c>
      <c r="E8" s="305">
        <f>'E5 Prices &amp; Fees'!E11</f>
        <v/>
      </c>
      <c r="F8" s="305">
        <f>'E5 Prices &amp; Fees'!F11</f>
        <v/>
      </c>
      <c r="G8" s="305">
        <f>'E5 Prices &amp; Fees'!G11</f>
        <v/>
      </c>
      <c r="H8" s="285">
        <f>D8*'E2 Claims &amp; Totals'!H$75*IF($D$101=1,'E3 Carriers'!H$49,'E3 Carriers'!H$48)*(1+$E$101*'E4 Aftermarket'!H$40)*CHOOSE($H$101,'E2 Claims &amp; Totals'!H$116,'E2 Claims &amp; Totals'!H$117,'E2 Claims &amp; Totals'!H$118)</f>
        <v/>
      </c>
      <c r="I8" s="285">
        <f>E8*'E2 Claims &amp; Totals'!I$75*IF($D$101=1,'E3 Carriers'!I$49,'E3 Carriers'!I$48)*(1+$E$101*'E4 Aftermarket'!I$40)*CHOOSE($H$101,'E2 Claims &amp; Totals'!I$116,'E2 Claims &amp; Totals'!I$117,'E2 Claims &amp; Totals'!I$118)</f>
        <v/>
      </c>
      <c r="J8" s="285">
        <f>F8*'E2 Claims &amp; Totals'!J$75*IF($D$101=1,'E3 Carriers'!J$49,'E3 Carriers'!J$48)*(1+$E$101*'E4 Aftermarket'!J$40)*CHOOSE($H$101,'E2 Claims &amp; Totals'!J$116,'E2 Claims &amp; Totals'!J$117,'E2 Claims &amp; Totals'!J$118)</f>
        <v/>
      </c>
      <c r="K8" s="285">
        <f>G8*'E2 Claims &amp; Totals'!K$75*IF($D$101=1,'E3 Carriers'!K$49,'E3 Carriers'!K$48)*(1+$E$101*'E4 Aftermarket'!K$40)*CHOOSE($H$101,'E2 Claims &amp; Totals'!K$116,'E2 Claims &amp; Totals'!K$117,'E2 Claims &amp; Totals'!K$118)</f>
        <v/>
      </c>
      <c r="L8" s="285">
        <f>H8*'E2 Claims &amp; Totals'!L$75*IF($D$101=1,'E3 Carriers'!L$49,'E3 Carriers'!L$48)*(1+$E$101*'E4 Aftermarket'!L$40)*CHOOSE($H$101,'E2 Claims &amp; Totals'!L$116,'E2 Claims &amp; Totals'!L$117,'E2 Claims &amp; Totals'!L$118)</f>
        <v/>
      </c>
      <c r="M8" s="285">
        <f>I8*'E2 Claims &amp; Totals'!M$75*IF($D$101=1,'E3 Carriers'!M$49,'E3 Carriers'!M$48)*(1+$E$101*'E4 Aftermarket'!M$40)*CHOOSE($H$101,'E2 Claims &amp; Totals'!M$116,'E2 Claims &amp; Totals'!M$117,'E2 Claims &amp; Totals'!M$118)</f>
        <v/>
      </c>
      <c r="N8" s="285">
        <f>J8*'E2 Claims &amp; Totals'!N$75*IF($D$101=1,'E3 Carriers'!N$49,'E3 Carriers'!N$48)*(1+$E$101*'E4 Aftermarket'!N$40)*CHOOSE($H$101,'E2 Claims &amp; Totals'!N$116,'E2 Claims &amp; Totals'!N$117,'E2 Claims &amp; Totals'!N$118)</f>
        <v/>
      </c>
      <c r="O8" s="285">
        <f>K8*'E2 Claims &amp; Totals'!O$75*IF($D$101=1,'E3 Carriers'!O$49,'E3 Carriers'!O$48)*(1+$E$101*'E4 Aftermarket'!O$40)*CHOOSE($H$101,'E2 Claims &amp; Totals'!O$116,'E2 Claims &amp; Totals'!O$117,'E2 Claims &amp; Totals'!O$118)</f>
        <v/>
      </c>
      <c r="P8" s="285">
        <f>SUM(D8:G8)</f>
        <v/>
      </c>
      <c r="Q8" s="285">
        <f>SUM(H8:K8)</f>
        <v/>
      </c>
      <c r="R8" s="285">
        <f>SUM(L8:O8)</f>
        <v/>
      </c>
    </row>
    <row r="9">
      <c r="B9" s="306" t="inlineStr">
        <is>
          <t>y/y</t>
        </is>
      </c>
      <c r="C9" s="256" t="inlineStr">
        <is>
          <t>%</t>
        </is>
      </c>
      <c r="H9" s="273">
        <f>H8/D8-1</f>
        <v/>
      </c>
      <c r="I9" s="273">
        <f>I8/E8-1</f>
        <v/>
      </c>
      <c r="J9" s="273">
        <f>J8/F8-1</f>
        <v/>
      </c>
      <c r="K9" s="273">
        <f>K8/G8-1</f>
        <v/>
      </c>
      <c r="L9" s="273">
        <f>L8/H8-1</f>
        <v/>
      </c>
      <c r="M9" s="273">
        <f>M8/I8-1</f>
        <v/>
      </c>
      <c r="N9" s="273">
        <f>N8/J8-1</f>
        <v/>
      </c>
      <c r="O9" s="273">
        <f>O8/K8-1</f>
        <v/>
      </c>
      <c r="Q9" s="273">
        <f>Q8/P8-1</f>
        <v/>
      </c>
      <c r="R9" s="273">
        <f>R8/Q8-1</f>
        <v/>
      </c>
    </row>
    <row r="10">
      <c r="B10" s="238" t="inlineStr">
        <is>
          <t>US insurance ASP</t>
        </is>
      </c>
      <c r="C10" s="256" t="inlineStr">
        <is>
          <t>$</t>
        </is>
      </c>
      <c r="D10" s="299">
        <f>'E5 Prices &amp; Fees'!$D$45</f>
        <v/>
      </c>
      <c r="E10" s="299">
        <f>'E5 Prices &amp; Fees'!$D$45</f>
        <v/>
      </c>
      <c r="F10" s="299">
        <f>'E5 Prices &amp; Fees'!$D$45</f>
        <v/>
      </c>
      <c r="G10" s="299">
        <f>'E5 Prices &amp; Fees'!$D$45</f>
        <v/>
      </c>
      <c r="H10" s="298">
        <f>'E5 Prices &amp; Fees'!$D$45*(1+$F$101)^1*(1+$E$101*'E4 Aftermarket'!H$41)</f>
        <v/>
      </c>
      <c r="I10" s="298">
        <f>'E5 Prices &amp; Fees'!$D$45*(1+$F$101)^1*(1+$E$101*'E4 Aftermarket'!I$41)</f>
        <v/>
      </c>
      <c r="J10" s="298">
        <f>'E5 Prices &amp; Fees'!$D$45*(1+$F$101)^1*(1+$E$101*'E4 Aftermarket'!J$41)</f>
        <v/>
      </c>
      <c r="K10" s="298">
        <f>'E5 Prices &amp; Fees'!$D$45*(1+$F$101)^1*(1+$E$101*'E4 Aftermarket'!K$41)</f>
        <v/>
      </c>
      <c r="L10" s="298">
        <f>'E5 Prices &amp; Fees'!$D$45*(1+$F$101)^2*(1+$E$101*'E4 Aftermarket'!L$41)</f>
        <v/>
      </c>
      <c r="M10" s="298">
        <f>'E5 Prices &amp; Fees'!$D$45*(1+$F$101)^2*(1+$E$101*'E4 Aftermarket'!M$41)</f>
        <v/>
      </c>
      <c r="N10" s="298">
        <f>'E5 Prices &amp; Fees'!$D$45*(1+$F$101)^2*(1+$E$101*'E4 Aftermarket'!N$41)</f>
        <v/>
      </c>
      <c r="O10" s="298">
        <f>'E5 Prices &amp; Fees'!$D$45*(1+$F$101)^2*(1+$E$101*'E4 Aftermarket'!O$41)</f>
        <v/>
      </c>
      <c r="P10" s="298">
        <f>AVERAGE(D10:G10)</f>
        <v/>
      </c>
      <c r="Q10" s="298">
        <f>AVERAGE(H10:K10)</f>
        <v/>
      </c>
      <c r="R10" s="298">
        <f>AVERAGE(L10:O10)</f>
        <v/>
      </c>
    </row>
    <row r="11">
      <c r="B11" s="238" t="inlineStr">
        <is>
          <t>Core RPU</t>
        </is>
      </c>
      <c r="C11" s="256" t="inlineStr">
        <is>
          <t>$</t>
        </is>
      </c>
      <c r="D11" s="298">
        <f>'E5 Prices &amp; Fees'!$D$50*(D10/'E5 Prices &amp; Fees'!$D$45)^'E5 Prices &amp; Fees'!$D$51+IF($D$101=1,'E3 Carriers'!D$56,'E3 Carriers'!D$55)*D10+'E5 Prices &amp; Fees'!$D$48</f>
        <v/>
      </c>
      <c r="E11" s="298">
        <f>'E5 Prices &amp; Fees'!$D$50*(E10/'E5 Prices &amp; Fees'!$D$45)^'E5 Prices &amp; Fees'!$D$51+IF($D$101=1,'E3 Carriers'!E$56,'E3 Carriers'!E$55)*E10+'E5 Prices &amp; Fees'!$D$48</f>
        <v/>
      </c>
      <c r="F11" s="298">
        <f>'E5 Prices &amp; Fees'!$D$50*(F10/'E5 Prices &amp; Fees'!$D$45)^'E5 Prices &amp; Fees'!$D$51+IF($D$101=1,'E3 Carriers'!F$56,'E3 Carriers'!F$55)*F10+'E5 Prices &amp; Fees'!$D$48</f>
        <v/>
      </c>
      <c r="G11" s="298">
        <f>'E5 Prices &amp; Fees'!$D$50*(G10/'E5 Prices &amp; Fees'!$D$45)^'E5 Prices &amp; Fees'!$D$51+IF($D$101=1,'E3 Carriers'!G$56,'E3 Carriers'!G$55)*G10+'E5 Prices &amp; Fees'!$D$48</f>
        <v/>
      </c>
      <c r="H11" s="298">
        <f>'E5 Prices &amp; Fees'!$D$50*(H10/'E5 Prices &amp; Fees'!$D$45)^'E5 Prices &amp; Fees'!$D$51+IF($D$101=1,'E3 Carriers'!H$56,'E3 Carriers'!H$55)*H10+'E5 Prices &amp; Fees'!$D$48</f>
        <v/>
      </c>
      <c r="I11" s="298">
        <f>'E5 Prices &amp; Fees'!$D$50*(I10/'E5 Prices &amp; Fees'!$D$45)^'E5 Prices &amp; Fees'!$D$51+IF($D$101=1,'E3 Carriers'!I$56,'E3 Carriers'!I$55)*I10+'E5 Prices &amp; Fees'!$D$48</f>
        <v/>
      </c>
      <c r="J11" s="298">
        <f>'E5 Prices &amp; Fees'!$D$50*(J10/'E5 Prices &amp; Fees'!$D$45)^'E5 Prices &amp; Fees'!$D$51+IF($D$101=1,'E3 Carriers'!J$56,'E3 Carriers'!J$55)*J10+'E5 Prices &amp; Fees'!$D$48</f>
        <v/>
      </c>
      <c r="K11" s="298">
        <f>'E5 Prices &amp; Fees'!$D$50*(K10/'E5 Prices &amp; Fees'!$D$45)^'E5 Prices &amp; Fees'!$D$51+IF($D$101=1,'E3 Carriers'!K$56,'E3 Carriers'!K$55)*K10+'E5 Prices &amp; Fees'!$D$48</f>
        <v/>
      </c>
      <c r="L11" s="298">
        <f>'E5 Prices &amp; Fees'!$D$50*(L10/'E5 Prices &amp; Fees'!$D$45)^'E5 Prices &amp; Fees'!$D$51+IF($D$101=1,'E3 Carriers'!L$56,'E3 Carriers'!L$55)*L10+'E5 Prices &amp; Fees'!$D$48</f>
        <v/>
      </c>
      <c r="M11" s="298">
        <f>'E5 Prices &amp; Fees'!$D$50*(M10/'E5 Prices &amp; Fees'!$D$45)^'E5 Prices &amp; Fees'!$D$51+IF($D$101=1,'E3 Carriers'!M$56,'E3 Carriers'!M$55)*M10+'E5 Prices &amp; Fees'!$D$48</f>
        <v/>
      </c>
      <c r="N11" s="298">
        <f>'E5 Prices &amp; Fees'!$D$50*(N10/'E5 Prices &amp; Fees'!$D$45)^'E5 Prices &amp; Fees'!$D$51+IF($D$101=1,'E3 Carriers'!N$56,'E3 Carriers'!N$55)*N10+'E5 Prices &amp; Fees'!$D$48</f>
        <v/>
      </c>
      <c r="O11" s="298">
        <f>'E5 Prices &amp; Fees'!$D$50*(O10/'E5 Prices &amp; Fees'!$D$45)^'E5 Prices &amp; Fees'!$D$51+IF($D$101=1,'E3 Carriers'!O$56,'E3 Carriers'!O$55)*O10+'E5 Prices &amp; Fees'!$D$48</f>
        <v/>
      </c>
    </row>
    <row r="12">
      <c r="B12" s="238" t="inlineStr">
        <is>
          <t>All-in insurance RPU</t>
        </is>
      </c>
      <c r="C12" s="256" t="inlineStr">
        <is>
          <t>$</t>
        </is>
      </c>
      <c r="D12" s="298">
        <f>D11+'E5 Prices &amp; Fees'!D24</f>
        <v/>
      </c>
      <c r="E12" s="298">
        <f>E11+'E5 Prices &amp; Fees'!E24</f>
        <v/>
      </c>
      <c r="F12" s="298">
        <f>F11+'E5 Prices &amp; Fees'!F24</f>
        <v/>
      </c>
      <c r="G12" s="298">
        <f>G11+'E5 Prices &amp; Fees'!G24</f>
        <v/>
      </c>
      <c r="H12" s="298">
        <f>H11+'E5 Prices &amp; Fees'!H24</f>
        <v/>
      </c>
      <c r="I12" s="298">
        <f>I11+'E5 Prices &amp; Fees'!I24</f>
        <v/>
      </c>
      <c r="J12" s="298">
        <f>J11+'E5 Prices &amp; Fees'!J24</f>
        <v/>
      </c>
      <c r="K12" s="298">
        <f>K11+'E5 Prices &amp; Fees'!K24</f>
        <v/>
      </c>
      <c r="L12" s="298">
        <f>L11+'E5 Prices &amp; Fees'!L24</f>
        <v/>
      </c>
      <c r="M12" s="298">
        <f>M11+'E5 Prices &amp; Fees'!M24</f>
        <v/>
      </c>
      <c r="N12" s="298">
        <f>N11+'E5 Prices &amp; Fees'!N24</f>
        <v/>
      </c>
      <c r="O12" s="298">
        <f>O11+'E5 Prices &amp; Fees'!O24</f>
        <v/>
      </c>
      <c r="P12" s="298">
        <f>P13*1000/P8</f>
        <v/>
      </c>
      <c r="Q12" s="298">
        <f>Q13*1000/Q8</f>
        <v/>
      </c>
      <c r="R12" s="298">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07">
        <f>D13+D14+D15</f>
        <v/>
      </c>
      <c r="E16" s="307">
        <f>E13+E14+E15</f>
        <v/>
      </c>
      <c r="F16" s="307">
        <f>F13+F14+F15</f>
        <v/>
      </c>
      <c r="G16" s="307">
        <f>G13+G14+G15</f>
        <v/>
      </c>
      <c r="H16" s="307">
        <f>H13+H14+H15</f>
        <v/>
      </c>
      <c r="I16" s="307">
        <f>I13+I14+I15</f>
        <v/>
      </c>
      <c r="J16" s="307">
        <f>J13+J14+J15</f>
        <v/>
      </c>
      <c r="K16" s="307">
        <f>K13+K14+K15</f>
        <v/>
      </c>
      <c r="L16" s="307">
        <f>L13+L14+L15</f>
        <v/>
      </c>
      <c r="M16" s="307">
        <f>M13+M14+M15</f>
        <v/>
      </c>
      <c r="N16" s="307">
        <f>N13+N14+N15</f>
        <v/>
      </c>
      <c r="O16" s="307">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42" t="inlineStr">
        <is>
          <t>Insurance units</t>
        </is>
      </c>
      <c r="C21" s="256" t="inlineStr">
        <is>
          <t>000s</t>
        </is>
      </c>
      <c r="D21" s="305">
        <f>'E5 Prices &amp; Fees'!D11</f>
        <v/>
      </c>
      <c r="E21" s="305">
        <f>'E5 Prices &amp; Fees'!E11</f>
        <v/>
      </c>
      <c r="F21" s="305">
        <f>'E5 Prices &amp; Fees'!F11</f>
        <v/>
      </c>
      <c r="G21" s="305">
        <f>'E5 Prices &amp; Fees'!G11</f>
        <v/>
      </c>
      <c r="H21" s="285">
        <f>D21*'E2 Claims &amp; Totals'!H$75*IF($D$102=1,'E3 Carriers'!H$49,'E3 Carriers'!H$48)*(1+$E$102*'E4 Aftermarket'!H$40)*CHOOSE($H$102,'E2 Claims &amp; Totals'!H$116,'E2 Claims &amp; Totals'!H$117,'E2 Claims &amp; Totals'!H$118)</f>
        <v/>
      </c>
      <c r="I21" s="285">
        <f>E21*'E2 Claims &amp; Totals'!I$75*IF($D$102=1,'E3 Carriers'!I$49,'E3 Carriers'!I$48)*(1+$E$102*'E4 Aftermarket'!I$40)*CHOOSE($H$102,'E2 Claims &amp; Totals'!I$116,'E2 Claims &amp; Totals'!I$117,'E2 Claims &amp; Totals'!I$118)</f>
        <v/>
      </c>
      <c r="J21" s="285">
        <f>F21*'E2 Claims &amp; Totals'!J$75*IF($D$102=1,'E3 Carriers'!J$49,'E3 Carriers'!J$48)*(1+$E$102*'E4 Aftermarket'!J$40)*CHOOSE($H$102,'E2 Claims &amp; Totals'!J$116,'E2 Claims &amp; Totals'!J$117,'E2 Claims &amp; Totals'!J$118)</f>
        <v/>
      </c>
      <c r="K21" s="285">
        <f>G21*'E2 Claims &amp; Totals'!K$75*IF($D$102=1,'E3 Carriers'!K$49,'E3 Carriers'!K$48)*(1+$E$102*'E4 Aftermarket'!K$40)*CHOOSE($H$102,'E2 Claims &amp; Totals'!K$116,'E2 Claims &amp; Totals'!K$117,'E2 Claims &amp; Totals'!K$118)</f>
        <v/>
      </c>
      <c r="L21" s="285">
        <f>H21*'E2 Claims &amp; Totals'!L$75*IF($D$102=1,'E3 Carriers'!L$49,'E3 Carriers'!L$48)*(1+$E$102*'E4 Aftermarket'!L$40)*CHOOSE($H$102,'E2 Claims &amp; Totals'!L$116,'E2 Claims &amp; Totals'!L$117,'E2 Claims &amp; Totals'!L$118)</f>
        <v/>
      </c>
      <c r="M21" s="285">
        <f>I21*'E2 Claims &amp; Totals'!M$75*IF($D$102=1,'E3 Carriers'!M$49,'E3 Carriers'!M$48)*(1+$E$102*'E4 Aftermarket'!M$40)*CHOOSE($H$102,'E2 Claims &amp; Totals'!M$116,'E2 Claims &amp; Totals'!M$117,'E2 Claims &amp; Totals'!M$118)</f>
        <v/>
      </c>
      <c r="N21" s="285">
        <f>J21*'E2 Claims &amp; Totals'!N$75*IF($D$102=1,'E3 Carriers'!N$49,'E3 Carriers'!N$48)*(1+$E$102*'E4 Aftermarket'!N$40)*CHOOSE($H$102,'E2 Claims &amp; Totals'!N$116,'E2 Claims &amp; Totals'!N$117,'E2 Claims &amp; Totals'!N$118)</f>
        <v/>
      </c>
      <c r="O21" s="285">
        <f>K21*'E2 Claims &amp; Totals'!O$75*IF($D$102=1,'E3 Carriers'!O$49,'E3 Carriers'!O$48)*(1+$E$102*'E4 Aftermarket'!O$40)*CHOOSE($H$102,'E2 Claims &amp; Totals'!O$116,'E2 Claims &amp; Totals'!O$117,'E2 Claims &amp; Totals'!O$118)</f>
        <v/>
      </c>
      <c r="P21" s="285">
        <f>SUM(D21:G21)</f>
        <v/>
      </c>
      <c r="Q21" s="285">
        <f>SUM(H21:K21)</f>
        <v/>
      </c>
      <c r="R21" s="285">
        <f>SUM(L21:O21)</f>
        <v/>
      </c>
    </row>
    <row r="22">
      <c r="B22" s="306" t="inlineStr">
        <is>
          <t>y/y</t>
        </is>
      </c>
      <c r="C22" s="256" t="inlineStr">
        <is>
          <t>%</t>
        </is>
      </c>
      <c r="H22" s="273">
        <f>H21/D21-1</f>
        <v/>
      </c>
      <c r="I22" s="273">
        <f>I21/E21-1</f>
        <v/>
      </c>
      <c r="J22" s="273">
        <f>J21/F21-1</f>
        <v/>
      </c>
      <c r="K22" s="273">
        <f>K21/G21-1</f>
        <v/>
      </c>
      <c r="L22" s="273">
        <f>L21/H21-1</f>
        <v/>
      </c>
      <c r="M22" s="273">
        <f>M21/I21-1</f>
        <v/>
      </c>
      <c r="N22" s="273">
        <f>N21/J21-1</f>
        <v/>
      </c>
      <c r="O22" s="273">
        <f>O21/K21-1</f>
        <v/>
      </c>
      <c r="Q22" s="273">
        <f>Q21/P21-1</f>
        <v/>
      </c>
      <c r="R22" s="273">
        <f>R21/Q21-1</f>
        <v/>
      </c>
    </row>
    <row r="23">
      <c r="B23" s="238" t="inlineStr">
        <is>
          <t>US insurance ASP</t>
        </is>
      </c>
      <c r="C23" s="256" t="inlineStr">
        <is>
          <t>$</t>
        </is>
      </c>
      <c r="D23" s="299">
        <f>'E5 Prices &amp; Fees'!$D$45</f>
        <v/>
      </c>
      <c r="E23" s="299">
        <f>'E5 Prices &amp; Fees'!$D$45</f>
        <v/>
      </c>
      <c r="F23" s="299">
        <f>'E5 Prices &amp; Fees'!$D$45</f>
        <v/>
      </c>
      <c r="G23" s="299">
        <f>'E5 Prices &amp; Fees'!$D$45</f>
        <v/>
      </c>
      <c r="H23" s="298">
        <f>'E5 Prices &amp; Fees'!$D$45*(1+$F$102)^1*(1+$E$102*'E4 Aftermarket'!H$41)</f>
        <v/>
      </c>
      <c r="I23" s="298">
        <f>'E5 Prices &amp; Fees'!$D$45*(1+$F$102)^1*(1+$E$102*'E4 Aftermarket'!I$41)</f>
        <v/>
      </c>
      <c r="J23" s="298">
        <f>'E5 Prices &amp; Fees'!$D$45*(1+$F$102)^1*(1+$E$102*'E4 Aftermarket'!J$41)</f>
        <v/>
      </c>
      <c r="K23" s="298">
        <f>'E5 Prices &amp; Fees'!$D$45*(1+$F$102)^1*(1+$E$102*'E4 Aftermarket'!K$41)</f>
        <v/>
      </c>
      <c r="L23" s="298">
        <f>'E5 Prices &amp; Fees'!$D$45*(1+$F$102)^2*(1+$E$102*'E4 Aftermarket'!L$41)</f>
        <v/>
      </c>
      <c r="M23" s="298">
        <f>'E5 Prices &amp; Fees'!$D$45*(1+$F$102)^2*(1+$E$102*'E4 Aftermarket'!M$41)</f>
        <v/>
      </c>
      <c r="N23" s="298">
        <f>'E5 Prices &amp; Fees'!$D$45*(1+$F$102)^2*(1+$E$102*'E4 Aftermarket'!N$41)</f>
        <v/>
      </c>
      <c r="O23" s="298">
        <f>'E5 Prices &amp; Fees'!$D$45*(1+$F$102)^2*(1+$E$102*'E4 Aftermarket'!O$41)</f>
        <v/>
      </c>
      <c r="P23" s="298">
        <f>AVERAGE(D23:G23)</f>
        <v/>
      </c>
      <c r="Q23" s="298">
        <f>AVERAGE(H23:K23)</f>
        <v/>
      </c>
      <c r="R23" s="298">
        <f>AVERAGE(L23:O23)</f>
        <v/>
      </c>
    </row>
    <row r="24">
      <c r="B24" s="238" t="inlineStr">
        <is>
          <t>Core RPU</t>
        </is>
      </c>
      <c r="C24" s="256" t="inlineStr">
        <is>
          <t>$</t>
        </is>
      </c>
      <c r="D24" s="298">
        <f>'E5 Prices &amp; Fees'!$D$50*(D23/'E5 Prices &amp; Fees'!$D$45)^'E5 Prices &amp; Fees'!$D$51+IF($D$102=1,'E3 Carriers'!D$56,'E3 Carriers'!D$55)*D23+'E5 Prices &amp; Fees'!$D$48</f>
        <v/>
      </c>
      <c r="E24" s="298">
        <f>'E5 Prices &amp; Fees'!$D$50*(E23/'E5 Prices &amp; Fees'!$D$45)^'E5 Prices &amp; Fees'!$D$51+IF($D$102=1,'E3 Carriers'!E$56,'E3 Carriers'!E$55)*E23+'E5 Prices &amp; Fees'!$D$48</f>
        <v/>
      </c>
      <c r="F24" s="298">
        <f>'E5 Prices &amp; Fees'!$D$50*(F23/'E5 Prices &amp; Fees'!$D$45)^'E5 Prices &amp; Fees'!$D$51+IF($D$102=1,'E3 Carriers'!F$56,'E3 Carriers'!F$55)*F23+'E5 Prices &amp; Fees'!$D$48</f>
        <v/>
      </c>
      <c r="G24" s="298">
        <f>'E5 Prices &amp; Fees'!$D$50*(G23/'E5 Prices &amp; Fees'!$D$45)^'E5 Prices &amp; Fees'!$D$51+IF($D$102=1,'E3 Carriers'!G$56,'E3 Carriers'!G$55)*G23+'E5 Prices &amp; Fees'!$D$48</f>
        <v/>
      </c>
      <c r="H24" s="298">
        <f>'E5 Prices &amp; Fees'!$D$50*(H23/'E5 Prices &amp; Fees'!$D$45)^'E5 Prices &amp; Fees'!$D$51+IF($D$102=1,'E3 Carriers'!H$56,'E3 Carriers'!H$55)*H23+'E5 Prices &amp; Fees'!$D$48</f>
        <v/>
      </c>
      <c r="I24" s="298">
        <f>'E5 Prices &amp; Fees'!$D$50*(I23/'E5 Prices &amp; Fees'!$D$45)^'E5 Prices &amp; Fees'!$D$51+IF($D$102=1,'E3 Carriers'!I$56,'E3 Carriers'!I$55)*I23+'E5 Prices &amp; Fees'!$D$48</f>
        <v/>
      </c>
      <c r="J24" s="298">
        <f>'E5 Prices &amp; Fees'!$D$50*(J23/'E5 Prices &amp; Fees'!$D$45)^'E5 Prices &amp; Fees'!$D$51+IF($D$102=1,'E3 Carriers'!J$56,'E3 Carriers'!J$55)*J23+'E5 Prices &amp; Fees'!$D$48</f>
        <v/>
      </c>
      <c r="K24" s="298">
        <f>'E5 Prices &amp; Fees'!$D$50*(K23/'E5 Prices &amp; Fees'!$D$45)^'E5 Prices &amp; Fees'!$D$51+IF($D$102=1,'E3 Carriers'!K$56,'E3 Carriers'!K$55)*K23+'E5 Prices &amp; Fees'!$D$48</f>
        <v/>
      </c>
      <c r="L24" s="298">
        <f>'E5 Prices &amp; Fees'!$D$50*(L23/'E5 Prices &amp; Fees'!$D$45)^'E5 Prices &amp; Fees'!$D$51+IF($D$102=1,'E3 Carriers'!L$56,'E3 Carriers'!L$55)*L23+'E5 Prices &amp; Fees'!$D$48</f>
        <v/>
      </c>
      <c r="M24" s="298">
        <f>'E5 Prices &amp; Fees'!$D$50*(M23/'E5 Prices &amp; Fees'!$D$45)^'E5 Prices &amp; Fees'!$D$51+IF($D$102=1,'E3 Carriers'!M$56,'E3 Carriers'!M$55)*M23+'E5 Prices &amp; Fees'!$D$48</f>
        <v/>
      </c>
      <c r="N24" s="298">
        <f>'E5 Prices &amp; Fees'!$D$50*(N23/'E5 Prices &amp; Fees'!$D$45)^'E5 Prices &amp; Fees'!$D$51+IF($D$102=1,'E3 Carriers'!N$56,'E3 Carriers'!N$55)*N23+'E5 Prices &amp; Fees'!$D$48</f>
        <v/>
      </c>
      <c r="O24" s="298">
        <f>'E5 Prices &amp; Fees'!$D$50*(O23/'E5 Prices &amp; Fees'!$D$45)^'E5 Prices &amp; Fees'!$D$51+IF($D$102=1,'E3 Carriers'!O$56,'E3 Carriers'!O$55)*O23+'E5 Prices &amp; Fees'!$D$48</f>
        <v/>
      </c>
    </row>
    <row r="25">
      <c r="B25" s="238" t="inlineStr">
        <is>
          <t>All-in insurance RPU</t>
        </is>
      </c>
      <c r="C25" s="256" t="inlineStr">
        <is>
          <t>$</t>
        </is>
      </c>
      <c r="D25" s="298">
        <f>D24+'E5 Prices &amp; Fees'!D24</f>
        <v/>
      </c>
      <c r="E25" s="298">
        <f>E24+'E5 Prices &amp; Fees'!E24</f>
        <v/>
      </c>
      <c r="F25" s="298">
        <f>F24+'E5 Prices &amp; Fees'!F24</f>
        <v/>
      </c>
      <c r="G25" s="298">
        <f>G24+'E5 Prices &amp; Fees'!G24</f>
        <v/>
      </c>
      <c r="H25" s="298">
        <f>H24+'E5 Prices &amp; Fees'!H24</f>
        <v/>
      </c>
      <c r="I25" s="298">
        <f>I24+'E5 Prices &amp; Fees'!I24</f>
        <v/>
      </c>
      <c r="J25" s="298">
        <f>J24+'E5 Prices &amp; Fees'!J24</f>
        <v/>
      </c>
      <c r="K25" s="298">
        <f>K24+'E5 Prices &amp; Fees'!K24</f>
        <v/>
      </c>
      <c r="L25" s="298">
        <f>L24+'E5 Prices &amp; Fees'!L24</f>
        <v/>
      </c>
      <c r="M25" s="298">
        <f>M24+'E5 Prices &amp; Fees'!M24</f>
        <v/>
      </c>
      <c r="N25" s="298">
        <f>N24+'E5 Prices &amp; Fees'!N24</f>
        <v/>
      </c>
      <c r="O25" s="298">
        <f>O24+'E5 Prices &amp; Fees'!O24</f>
        <v/>
      </c>
      <c r="P25" s="298">
        <f>P26*1000/P21</f>
        <v/>
      </c>
      <c r="Q25" s="298">
        <f>Q26*1000/Q21</f>
        <v/>
      </c>
      <c r="R25" s="298">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07">
        <f>D26+D27+D28</f>
        <v/>
      </c>
      <c r="E29" s="307">
        <f>E26+E27+E28</f>
        <v/>
      </c>
      <c r="F29" s="307">
        <f>F26+F27+F28</f>
        <v/>
      </c>
      <c r="G29" s="307">
        <f>G26+G27+G28</f>
        <v/>
      </c>
      <c r="H29" s="307">
        <f>H26+H27+H28</f>
        <v/>
      </c>
      <c r="I29" s="307">
        <f>I26+I27+I28</f>
        <v/>
      </c>
      <c r="J29" s="307">
        <f>J26+J27+J28</f>
        <v/>
      </c>
      <c r="K29" s="307">
        <f>K26+K27+K28</f>
        <v/>
      </c>
      <c r="L29" s="307">
        <f>L26+L27+L28</f>
        <v/>
      </c>
      <c r="M29" s="307">
        <f>M26+M27+M28</f>
        <v/>
      </c>
      <c r="N29" s="307">
        <f>N26+N27+N28</f>
        <v/>
      </c>
      <c r="O29" s="307">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42" t="inlineStr">
        <is>
          <t>Insurance units</t>
        </is>
      </c>
      <c r="C34" s="256" t="inlineStr">
        <is>
          <t>000s</t>
        </is>
      </c>
      <c r="D34" s="305">
        <f>'E5 Prices &amp; Fees'!D11</f>
        <v/>
      </c>
      <c r="E34" s="305">
        <f>'E5 Prices &amp; Fees'!E11</f>
        <v/>
      </c>
      <c r="F34" s="305">
        <f>'E5 Prices &amp; Fees'!F11</f>
        <v/>
      </c>
      <c r="G34" s="305">
        <f>'E5 Prices &amp; Fees'!G11</f>
        <v/>
      </c>
      <c r="H34" s="285">
        <f>D34*'E2 Claims &amp; Totals'!H$75*IF($D$103=1,'E3 Carriers'!H$49,'E3 Carriers'!H$48)*(1+$E$103*'E4 Aftermarket'!H$40)*CHOOSE($H$103,'E2 Claims &amp; Totals'!H$116,'E2 Claims &amp; Totals'!H$117,'E2 Claims &amp; Totals'!H$118)</f>
        <v/>
      </c>
      <c r="I34" s="285">
        <f>E34*'E2 Claims &amp; Totals'!I$75*IF($D$103=1,'E3 Carriers'!I$49,'E3 Carriers'!I$48)*(1+$E$103*'E4 Aftermarket'!I$40)*CHOOSE($H$103,'E2 Claims &amp; Totals'!I$116,'E2 Claims &amp; Totals'!I$117,'E2 Claims &amp; Totals'!I$118)</f>
        <v/>
      </c>
      <c r="J34" s="285">
        <f>F34*'E2 Claims &amp; Totals'!J$75*IF($D$103=1,'E3 Carriers'!J$49,'E3 Carriers'!J$48)*(1+$E$103*'E4 Aftermarket'!J$40)*CHOOSE($H$103,'E2 Claims &amp; Totals'!J$116,'E2 Claims &amp; Totals'!J$117,'E2 Claims &amp; Totals'!J$118)</f>
        <v/>
      </c>
      <c r="K34" s="285">
        <f>G34*'E2 Claims &amp; Totals'!K$75*IF($D$103=1,'E3 Carriers'!K$49,'E3 Carriers'!K$48)*(1+$E$103*'E4 Aftermarket'!K$40)*CHOOSE($H$103,'E2 Claims &amp; Totals'!K$116,'E2 Claims &amp; Totals'!K$117,'E2 Claims &amp; Totals'!K$118)</f>
        <v/>
      </c>
      <c r="L34" s="285">
        <f>H34*'E2 Claims &amp; Totals'!L$75*IF($D$103=1,'E3 Carriers'!L$49,'E3 Carriers'!L$48)*(1+$E$103*'E4 Aftermarket'!L$40)*CHOOSE($H$103,'E2 Claims &amp; Totals'!L$116,'E2 Claims &amp; Totals'!L$117,'E2 Claims &amp; Totals'!L$118)</f>
        <v/>
      </c>
      <c r="M34" s="285">
        <f>I34*'E2 Claims &amp; Totals'!M$75*IF($D$103=1,'E3 Carriers'!M$49,'E3 Carriers'!M$48)*(1+$E$103*'E4 Aftermarket'!M$40)*CHOOSE($H$103,'E2 Claims &amp; Totals'!M$116,'E2 Claims &amp; Totals'!M$117,'E2 Claims &amp; Totals'!M$118)</f>
        <v/>
      </c>
      <c r="N34" s="285">
        <f>J34*'E2 Claims &amp; Totals'!N$75*IF($D$103=1,'E3 Carriers'!N$49,'E3 Carriers'!N$48)*(1+$E$103*'E4 Aftermarket'!N$40)*CHOOSE($H$103,'E2 Claims &amp; Totals'!N$116,'E2 Claims &amp; Totals'!N$117,'E2 Claims &amp; Totals'!N$118)</f>
        <v/>
      </c>
      <c r="O34" s="285">
        <f>K34*'E2 Claims &amp; Totals'!O$75*IF($D$103=1,'E3 Carriers'!O$49,'E3 Carriers'!O$48)*(1+$E$103*'E4 Aftermarket'!O$40)*CHOOSE($H$103,'E2 Claims &amp; Totals'!O$116,'E2 Claims &amp; Totals'!O$117,'E2 Claims &amp; Totals'!O$118)</f>
        <v/>
      </c>
      <c r="P34" s="285">
        <f>SUM(D34:G34)</f>
        <v/>
      </c>
      <c r="Q34" s="285">
        <f>SUM(H34:K34)</f>
        <v/>
      </c>
      <c r="R34" s="285">
        <f>SUM(L34:O34)</f>
        <v/>
      </c>
    </row>
    <row r="35">
      <c r="B35" s="306" t="inlineStr">
        <is>
          <t>y/y</t>
        </is>
      </c>
      <c r="C35" s="256" t="inlineStr">
        <is>
          <t>%</t>
        </is>
      </c>
      <c r="H35" s="273">
        <f>H34/D34-1</f>
        <v/>
      </c>
      <c r="I35" s="273">
        <f>I34/E34-1</f>
        <v/>
      </c>
      <c r="J35" s="273">
        <f>J34/F34-1</f>
        <v/>
      </c>
      <c r="K35" s="273">
        <f>K34/G34-1</f>
        <v/>
      </c>
      <c r="L35" s="273">
        <f>L34/H34-1</f>
        <v/>
      </c>
      <c r="M35" s="273">
        <f>M34/I34-1</f>
        <v/>
      </c>
      <c r="N35" s="273">
        <f>N34/J34-1</f>
        <v/>
      </c>
      <c r="O35" s="273">
        <f>O34/K34-1</f>
        <v/>
      </c>
      <c r="Q35" s="273">
        <f>Q34/P34-1</f>
        <v/>
      </c>
      <c r="R35" s="273">
        <f>R34/Q34-1</f>
        <v/>
      </c>
    </row>
    <row r="36">
      <c r="B36" s="238" t="inlineStr">
        <is>
          <t>US insurance ASP</t>
        </is>
      </c>
      <c r="C36" s="256" t="inlineStr">
        <is>
          <t>$</t>
        </is>
      </c>
      <c r="D36" s="299">
        <f>'E5 Prices &amp; Fees'!$D$45</f>
        <v/>
      </c>
      <c r="E36" s="299">
        <f>'E5 Prices &amp; Fees'!$D$45</f>
        <v/>
      </c>
      <c r="F36" s="299">
        <f>'E5 Prices &amp; Fees'!$D$45</f>
        <v/>
      </c>
      <c r="G36" s="299">
        <f>'E5 Prices &amp; Fees'!$D$45</f>
        <v/>
      </c>
      <c r="H36" s="298">
        <f>'E5 Prices &amp; Fees'!$D$45*(1+$F$103)^1*(1+$E$103*'E4 Aftermarket'!H$41)</f>
        <v/>
      </c>
      <c r="I36" s="298">
        <f>'E5 Prices &amp; Fees'!$D$45*(1+$F$103)^1*(1+$E$103*'E4 Aftermarket'!I$41)</f>
        <v/>
      </c>
      <c r="J36" s="298">
        <f>'E5 Prices &amp; Fees'!$D$45*(1+$F$103)^1*(1+$E$103*'E4 Aftermarket'!J$41)</f>
        <v/>
      </c>
      <c r="K36" s="298">
        <f>'E5 Prices &amp; Fees'!$D$45*(1+$F$103)^1*(1+$E$103*'E4 Aftermarket'!K$41)</f>
        <v/>
      </c>
      <c r="L36" s="298">
        <f>'E5 Prices &amp; Fees'!$D$45*(1+$F$103)^2*(1+$E$103*'E4 Aftermarket'!L$41)</f>
        <v/>
      </c>
      <c r="M36" s="298">
        <f>'E5 Prices &amp; Fees'!$D$45*(1+$F$103)^2*(1+$E$103*'E4 Aftermarket'!M$41)</f>
        <v/>
      </c>
      <c r="N36" s="298">
        <f>'E5 Prices &amp; Fees'!$D$45*(1+$F$103)^2*(1+$E$103*'E4 Aftermarket'!N$41)</f>
        <v/>
      </c>
      <c r="O36" s="298">
        <f>'E5 Prices &amp; Fees'!$D$45*(1+$F$103)^2*(1+$E$103*'E4 Aftermarket'!O$41)</f>
        <v/>
      </c>
      <c r="P36" s="298">
        <f>AVERAGE(D36:G36)</f>
        <v/>
      </c>
      <c r="Q36" s="298">
        <f>AVERAGE(H36:K36)</f>
        <v/>
      </c>
      <c r="R36" s="298">
        <f>AVERAGE(L36:O36)</f>
        <v/>
      </c>
    </row>
    <row r="37">
      <c r="B37" s="238" t="inlineStr">
        <is>
          <t>Core RPU</t>
        </is>
      </c>
      <c r="C37" s="256" t="inlineStr">
        <is>
          <t>$</t>
        </is>
      </c>
      <c r="D37" s="298">
        <f>'E5 Prices &amp; Fees'!$D$50*(D36/'E5 Prices &amp; Fees'!$D$45)^'E5 Prices &amp; Fees'!$D$51+IF($D$103=1,'E3 Carriers'!D$56,'E3 Carriers'!D$55)*D36+'E5 Prices &amp; Fees'!$D$48</f>
        <v/>
      </c>
      <c r="E37" s="298">
        <f>'E5 Prices &amp; Fees'!$D$50*(E36/'E5 Prices &amp; Fees'!$D$45)^'E5 Prices &amp; Fees'!$D$51+IF($D$103=1,'E3 Carriers'!E$56,'E3 Carriers'!E$55)*E36+'E5 Prices &amp; Fees'!$D$48</f>
        <v/>
      </c>
      <c r="F37" s="298">
        <f>'E5 Prices &amp; Fees'!$D$50*(F36/'E5 Prices &amp; Fees'!$D$45)^'E5 Prices &amp; Fees'!$D$51+IF($D$103=1,'E3 Carriers'!F$56,'E3 Carriers'!F$55)*F36+'E5 Prices &amp; Fees'!$D$48</f>
        <v/>
      </c>
      <c r="G37" s="298">
        <f>'E5 Prices &amp; Fees'!$D$50*(G36/'E5 Prices &amp; Fees'!$D$45)^'E5 Prices &amp; Fees'!$D$51+IF($D$103=1,'E3 Carriers'!G$56,'E3 Carriers'!G$55)*G36+'E5 Prices &amp; Fees'!$D$48</f>
        <v/>
      </c>
      <c r="H37" s="298">
        <f>'E5 Prices &amp; Fees'!$D$50*(H36/'E5 Prices &amp; Fees'!$D$45)^'E5 Prices &amp; Fees'!$D$51+IF($D$103=1,'E3 Carriers'!H$56,'E3 Carriers'!H$55)*H36+'E5 Prices &amp; Fees'!$D$48</f>
        <v/>
      </c>
      <c r="I37" s="298">
        <f>'E5 Prices &amp; Fees'!$D$50*(I36/'E5 Prices &amp; Fees'!$D$45)^'E5 Prices &amp; Fees'!$D$51+IF($D$103=1,'E3 Carriers'!I$56,'E3 Carriers'!I$55)*I36+'E5 Prices &amp; Fees'!$D$48</f>
        <v/>
      </c>
      <c r="J37" s="298">
        <f>'E5 Prices &amp; Fees'!$D$50*(J36/'E5 Prices &amp; Fees'!$D$45)^'E5 Prices &amp; Fees'!$D$51+IF($D$103=1,'E3 Carriers'!J$56,'E3 Carriers'!J$55)*J36+'E5 Prices &amp; Fees'!$D$48</f>
        <v/>
      </c>
      <c r="K37" s="298">
        <f>'E5 Prices &amp; Fees'!$D$50*(K36/'E5 Prices &amp; Fees'!$D$45)^'E5 Prices &amp; Fees'!$D$51+IF($D$103=1,'E3 Carriers'!K$56,'E3 Carriers'!K$55)*K36+'E5 Prices &amp; Fees'!$D$48</f>
        <v/>
      </c>
      <c r="L37" s="298">
        <f>'E5 Prices &amp; Fees'!$D$50*(L36/'E5 Prices &amp; Fees'!$D$45)^'E5 Prices &amp; Fees'!$D$51+IF($D$103=1,'E3 Carriers'!L$56,'E3 Carriers'!L$55)*L36+'E5 Prices &amp; Fees'!$D$48</f>
        <v/>
      </c>
      <c r="M37" s="298">
        <f>'E5 Prices &amp; Fees'!$D$50*(M36/'E5 Prices &amp; Fees'!$D$45)^'E5 Prices &amp; Fees'!$D$51+IF($D$103=1,'E3 Carriers'!M$56,'E3 Carriers'!M$55)*M36+'E5 Prices &amp; Fees'!$D$48</f>
        <v/>
      </c>
      <c r="N37" s="298">
        <f>'E5 Prices &amp; Fees'!$D$50*(N36/'E5 Prices &amp; Fees'!$D$45)^'E5 Prices &amp; Fees'!$D$51+IF($D$103=1,'E3 Carriers'!N$56,'E3 Carriers'!N$55)*N36+'E5 Prices &amp; Fees'!$D$48</f>
        <v/>
      </c>
      <c r="O37" s="298">
        <f>'E5 Prices &amp; Fees'!$D$50*(O36/'E5 Prices &amp; Fees'!$D$45)^'E5 Prices &amp; Fees'!$D$51+IF($D$103=1,'E3 Carriers'!O$56,'E3 Carriers'!O$55)*O36+'E5 Prices &amp; Fees'!$D$48</f>
        <v/>
      </c>
    </row>
    <row r="38">
      <c r="B38" s="238" t="inlineStr">
        <is>
          <t>All-in insurance RPU</t>
        </is>
      </c>
      <c r="C38" s="256" t="inlineStr">
        <is>
          <t>$</t>
        </is>
      </c>
      <c r="D38" s="298">
        <f>D37+'E5 Prices &amp; Fees'!D24</f>
        <v/>
      </c>
      <c r="E38" s="298">
        <f>E37+'E5 Prices &amp; Fees'!E24</f>
        <v/>
      </c>
      <c r="F38" s="298">
        <f>F37+'E5 Prices &amp; Fees'!F24</f>
        <v/>
      </c>
      <c r="G38" s="298">
        <f>G37+'E5 Prices &amp; Fees'!G24</f>
        <v/>
      </c>
      <c r="H38" s="298">
        <f>H37+'E5 Prices &amp; Fees'!H24</f>
        <v/>
      </c>
      <c r="I38" s="298">
        <f>I37+'E5 Prices &amp; Fees'!I24</f>
        <v/>
      </c>
      <c r="J38" s="298">
        <f>J37+'E5 Prices &amp; Fees'!J24</f>
        <v/>
      </c>
      <c r="K38" s="298">
        <f>K37+'E5 Prices &amp; Fees'!K24</f>
        <v/>
      </c>
      <c r="L38" s="298">
        <f>L37+'E5 Prices &amp; Fees'!L24</f>
        <v/>
      </c>
      <c r="M38" s="298">
        <f>M37+'E5 Prices &amp; Fees'!M24</f>
        <v/>
      </c>
      <c r="N38" s="298">
        <f>N37+'E5 Prices &amp; Fees'!N24</f>
        <v/>
      </c>
      <c r="O38" s="298">
        <f>O37+'E5 Prices &amp; Fees'!O24</f>
        <v/>
      </c>
      <c r="P38" s="298">
        <f>P39*1000/P34</f>
        <v/>
      </c>
      <c r="Q38" s="298">
        <f>Q39*1000/Q34</f>
        <v/>
      </c>
      <c r="R38" s="298">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07">
        <f>D39+D40+D41</f>
        <v/>
      </c>
      <c r="E42" s="307">
        <f>E39+E40+E41</f>
        <v/>
      </c>
      <c r="F42" s="307">
        <f>F39+F40+F41</f>
        <v/>
      </c>
      <c r="G42" s="307">
        <f>G39+G40+G41</f>
        <v/>
      </c>
      <c r="H42" s="307">
        <f>H39+H40+H41</f>
        <v/>
      </c>
      <c r="I42" s="307">
        <f>I39+I40+I41</f>
        <v/>
      </c>
      <c r="J42" s="307">
        <f>J39+J40+J41</f>
        <v/>
      </c>
      <c r="K42" s="307">
        <f>K39+K40+K41</f>
        <v/>
      </c>
      <c r="L42" s="307">
        <f>L39+L40+L41</f>
        <v/>
      </c>
      <c r="M42" s="307">
        <f>M39+M40+M41</f>
        <v/>
      </c>
      <c r="N42" s="307">
        <f>N39+N40+N41</f>
        <v/>
      </c>
      <c r="O42" s="307">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274" t="n"/>
      <c r="D46" s="274" t="n"/>
      <c r="E46" s="274" t="n"/>
      <c r="F46" s="274" t="n"/>
      <c r="G46" s="274" t="n"/>
      <c r="H46" s="274" t="n"/>
      <c r="I46" s="274" t="n"/>
      <c r="J46" s="274" t="n"/>
      <c r="K46" s="274" t="n"/>
      <c r="L46" s="274" t="n"/>
      <c r="M46" s="274" t="n"/>
      <c r="N46" s="274" t="n"/>
      <c r="O46" s="274" t="n"/>
      <c r="P46" s="274" t="n"/>
      <c r="Q46" s="274" t="n"/>
      <c r="R46" s="274" t="n"/>
      <c r="S46" s="274" t="n"/>
    </row>
    <row r="47">
      <c r="B47" s="242" t="inlineStr">
        <is>
          <t>Insurance units</t>
        </is>
      </c>
      <c r="C47" s="256" t="inlineStr">
        <is>
          <t>000s</t>
        </is>
      </c>
      <c r="D47" s="305">
        <f>'E5 Prices &amp; Fees'!D11</f>
        <v/>
      </c>
      <c r="E47" s="305">
        <f>'E5 Prices &amp; Fees'!E11</f>
        <v/>
      </c>
      <c r="F47" s="305">
        <f>'E5 Prices &amp; Fees'!F11</f>
        <v/>
      </c>
      <c r="G47" s="305">
        <f>'E5 Prices &amp; Fees'!G11</f>
        <v/>
      </c>
      <c r="H47" s="285">
        <f>D47*'E2 Claims &amp; Totals'!H$75*IF($D$104=1,'E3 Carriers'!H$49,'E3 Carriers'!H$48)*(1+$E$104*'E4 Aftermarket'!H$40)*CHOOSE($H$104,'E2 Claims &amp; Totals'!H$116,'E2 Claims &amp; Totals'!H$117,'E2 Claims &amp; Totals'!H$118)</f>
        <v/>
      </c>
      <c r="I47" s="285">
        <f>E47*'E2 Claims &amp; Totals'!I$75*IF($D$104=1,'E3 Carriers'!I$49,'E3 Carriers'!I$48)*(1+$E$104*'E4 Aftermarket'!I$40)*CHOOSE($H$104,'E2 Claims &amp; Totals'!I$116,'E2 Claims &amp; Totals'!I$117,'E2 Claims &amp; Totals'!I$118)</f>
        <v/>
      </c>
      <c r="J47" s="285">
        <f>F47*'E2 Claims &amp; Totals'!J$75*IF($D$104=1,'E3 Carriers'!J$49,'E3 Carriers'!J$48)*(1+$E$104*'E4 Aftermarket'!J$40)*CHOOSE($H$104,'E2 Claims &amp; Totals'!J$116,'E2 Claims &amp; Totals'!J$117,'E2 Claims &amp; Totals'!J$118)</f>
        <v/>
      </c>
      <c r="K47" s="285">
        <f>G47*'E2 Claims &amp; Totals'!K$75*IF($D$104=1,'E3 Carriers'!K$49,'E3 Carriers'!K$48)*(1+$E$104*'E4 Aftermarket'!K$40)*CHOOSE($H$104,'E2 Claims &amp; Totals'!K$116,'E2 Claims &amp; Totals'!K$117,'E2 Claims &amp; Totals'!K$118)</f>
        <v/>
      </c>
      <c r="L47" s="285">
        <f>H47*'E2 Claims &amp; Totals'!L$75*IF($D$104=1,'E3 Carriers'!L$49,'E3 Carriers'!L$48)*(1+$E$104*'E4 Aftermarket'!L$40)*CHOOSE($H$104,'E2 Claims &amp; Totals'!L$116,'E2 Claims &amp; Totals'!L$117,'E2 Claims &amp; Totals'!L$118)</f>
        <v/>
      </c>
      <c r="M47" s="285">
        <f>I47*'E2 Claims &amp; Totals'!M$75*IF($D$104=1,'E3 Carriers'!M$49,'E3 Carriers'!M$48)*(1+$E$104*'E4 Aftermarket'!M$40)*CHOOSE($H$104,'E2 Claims &amp; Totals'!M$116,'E2 Claims &amp; Totals'!M$117,'E2 Claims &amp; Totals'!M$118)</f>
        <v/>
      </c>
      <c r="N47" s="285">
        <f>J47*'E2 Claims &amp; Totals'!N$75*IF($D$104=1,'E3 Carriers'!N$49,'E3 Carriers'!N$48)*(1+$E$104*'E4 Aftermarket'!N$40)*CHOOSE($H$104,'E2 Claims &amp; Totals'!N$116,'E2 Claims &amp; Totals'!N$117,'E2 Claims &amp; Totals'!N$118)</f>
        <v/>
      </c>
      <c r="O47" s="285">
        <f>K47*'E2 Claims &amp; Totals'!O$75*IF($D$104=1,'E3 Carriers'!O$49,'E3 Carriers'!O$48)*(1+$E$104*'E4 Aftermarket'!O$40)*CHOOSE($H$104,'E2 Claims &amp; Totals'!O$116,'E2 Claims &amp; Totals'!O$117,'E2 Claims &amp; Totals'!O$118)</f>
        <v/>
      </c>
      <c r="P47" s="285">
        <f>SUM(D47:G47)</f>
        <v/>
      </c>
      <c r="Q47" s="285">
        <f>SUM(H47:K47)</f>
        <v/>
      </c>
      <c r="R47" s="285">
        <f>SUM(L47:O47)</f>
        <v/>
      </c>
    </row>
    <row r="48">
      <c r="B48" s="306" t="inlineStr">
        <is>
          <t>y/y</t>
        </is>
      </c>
      <c r="C48" s="256" t="inlineStr">
        <is>
          <t>%</t>
        </is>
      </c>
      <c r="H48" s="273">
        <f>H47/D47-1</f>
        <v/>
      </c>
      <c r="I48" s="273">
        <f>I47/E47-1</f>
        <v/>
      </c>
      <c r="J48" s="273">
        <f>J47/F47-1</f>
        <v/>
      </c>
      <c r="K48" s="273">
        <f>K47/G47-1</f>
        <v/>
      </c>
      <c r="L48" s="273">
        <f>L47/H47-1</f>
        <v/>
      </c>
      <c r="M48" s="273">
        <f>M47/I47-1</f>
        <v/>
      </c>
      <c r="N48" s="273">
        <f>N47/J47-1</f>
        <v/>
      </c>
      <c r="O48" s="273">
        <f>O47/K47-1</f>
        <v/>
      </c>
      <c r="Q48" s="273">
        <f>Q47/P47-1</f>
        <v/>
      </c>
      <c r="R48" s="273">
        <f>R47/Q47-1</f>
        <v/>
      </c>
    </row>
    <row r="49">
      <c r="B49" s="238" t="inlineStr">
        <is>
          <t>US insurance ASP</t>
        </is>
      </c>
      <c r="C49" s="256" t="inlineStr">
        <is>
          <t>$</t>
        </is>
      </c>
      <c r="D49" s="299">
        <f>'E5 Prices &amp; Fees'!$D$45</f>
        <v/>
      </c>
      <c r="E49" s="299">
        <f>'E5 Prices &amp; Fees'!$D$45</f>
        <v/>
      </c>
      <c r="F49" s="299">
        <f>'E5 Prices &amp; Fees'!$D$45</f>
        <v/>
      </c>
      <c r="G49" s="299">
        <f>'E5 Prices &amp; Fees'!$D$45</f>
        <v/>
      </c>
      <c r="H49" s="298">
        <f>'E5 Prices &amp; Fees'!$D$45*(1+$F$104)^1*(1+$E$104*'E4 Aftermarket'!H$41)</f>
        <v/>
      </c>
      <c r="I49" s="298">
        <f>'E5 Prices &amp; Fees'!$D$45*(1+$F$104)^1*(1+$E$104*'E4 Aftermarket'!I$41)</f>
        <v/>
      </c>
      <c r="J49" s="298">
        <f>'E5 Prices &amp; Fees'!$D$45*(1+$F$104)^1*(1+$E$104*'E4 Aftermarket'!J$41)</f>
        <v/>
      </c>
      <c r="K49" s="298">
        <f>'E5 Prices &amp; Fees'!$D$45*(1+$F$104)^1*(1+$E$104*'E4 Aftermarket'!K$41)</f>
        <v/>
      </c>
      <c r="L49" s="298">
        <f>'E5 Prices &amp; Fees'!$D$45*(1+$F$104)^2*(1+$E$104*'E4 Aftermarket'!L$41)</f>
        <v/>
      </c>
      <c r="M49" s="298">
        <f>'E5 Prices &amp; Fees'!$D$45*(1+$F$104)^2*(1+$E$104*'E4 Aftermarket'!M$41)</f>
        <v/>
      </c>
      <c r="N49" s="298">
        <f>'E5 Prices &amp; Fees'!$D$45*(1+$F$104)^2*(1+$E$104*'E4 Aftermarket'!N$41)</f>
        <v/>
      </c>
      <c r="O49" s="298">
        <f>'E5 Prices &amp; Fees'!$D$45*(1+$F$104)^2*(1+$E$104*'E4 Aftermarket'!O$41)</f>
        <v/>
      </c>
      <c r="P49" s="298">
        <f>AVERAGE(D49:G49)</f>
        <v/>
      </c>
      <c r="Q49" s="298">
        <f>AVERAGE(H49:K49)</f>
        <v/>
      </c>
      <c r="R49" s="298">
        <f>AVERAGE(L49:O49)</f>
        <v/>
      </c>
    </row>
    <row r="50">
      <c r="B50" s="238" t="inlineStr">
        <is>
          <t>Core RPU</t>
        </is>
      </c>
      <c r="C50" s="256" t="inlineStr">
        <is>
          <t>$</t>
        </is>
      </c>
      <c r="D50" s="298">
        <f>'E5 Prices &amp; Fees'!$D$50*(D49/'E5 Prices &amp; Fees'!$D$45)^'E5 Prices &amp; Fees'!$D$51+IF($D$104=1,'E3 Carriers'!D$56,'E3 Carriers'!D$55)*D49+'E5 Prices &amp; Fees'!$D$48</f>
        <v/>
      </c>
      <c r="E50" s="298">
        <f>'E5 Prices &amp; Fees'!$D$50*(E49/'E5 Prices &amp; Fees'!$D$45)^'E5 Prices &amp; Fees'!$D$51+IF($D$104=1,'E3 Carriers'!E$56,'E3 Carriers'!E$55)*E49+'E5 Prices &amp; Fees'!$D$48</f>
        <v/>
      </c>
      <c r="F50" s="298">
        <f>'E5 Prices &amp; Fees'!$D$50*(F49/'E5 Prices &amp; Fees'!$D$45)^'E5 Prices &amp; Fees'!$D$51+IF($D$104=1,'E3 Carriers'!F$56,'E3 Carriers'!F$55)*F49+'E5 Prices &amp; Fees'!$D$48</f>
        <v/>
      </c>
      <c r="G50" s="298">
        <f>'E5 Prices &amp; Fees'!$D$50*(G49/'E5 Prices &amp; Fees'!$D$45)^'E5 Prices &amp; Fees'!$D$51+IF($D$104=1,'E3 Carriers'!G$56,'E3 Carriers'!G$55)*G49+'E5 Prices &amp; Fees'!$D$48</f>
        <v/>
      </c>
      <c r="H50" s="298">
        <f>'E5 Prices &amp; Fees'!$D$50*(H49/'E5 Prices &amp; Fees'!$D$45)^'E5 Prices &amp; Fees'!$D$51+IF($D$104=1,'E3 Carriers'!H$56,'E3 Carriers'!H$55)*H49+'E5 Prices &amp; Fees'!$D$48</f>
        <v/>
      </c>
      <c r="I50" s="298">
        <f>'E5 Prices &amp; Fees'!$D$50*(I49/'E5 Prices &amp; Fees'!$D$45)^'E5 Prices &amp; Fees'!$D$51+IF($D$104=1,'E3 Carriers'!I$56,'E3 Carriers'!I$55)*I49+'E5 Prices &amp; Fees'!$D$48</f>
        <v/>
      </c>
      <c r="J50" s="298">
        <f>'E5 Prices &amp; Fees'!$D$50*(J49/'E5 Prices &amp; Fees'!$D$45)^'E5 Prices &amp; Fees'!$D$51+IF($D$104=1,'E3 Carriers'!J$56,'E3 Carriers'!J$55)*J49+'E5 Prices &amp; Fees'!$D$48</f>
        <v/>
      </c>
      <c r="K50" s="298">
        <f>'E5 Prices &amp; Fees'!$D$50*(K49/'E5 Prices &amp; Fees'!$D$45)^'E5 Prices &amp; Fees'!$D$51+IF($D$104=1,'E3 Carriers'!K$56,'E3 Carriers'!K$55)*K49+'E5 Prices &amp; Fees'!$D$48</f>
        <v/>
      </c>
      <c r="L50" s="298">
        <f>'E5 Prices &amp; Fees'!$D$50*(L49/'E5 Prices &amp; Fees'!$D$45)^'E5 Prices &amp; Fees'!$D$51+IF($D$104=1,'E3 Carriers'!L$56,'E3 Carriers'!L$55)*L49+'E5 Prices &amp; Fees'!$D$48</f>
        <v/>
      </c>
      <c r="M50" s="298">
        <f>'E5 Prices &amp; Fees'!$D$50*(M49/'E5 Prices &amp; Fees'!$D$45)^'E5 Prices &amp; Fees'!$D$51+IF($D$104=1,'E3 Carriers'!M$56,'E3 Carriers'!M$55)*M49+'E5 Prices &amp; Fees'!$D$48</f>
        <v/>
      </c>
      <c r="N50" s="298">
        <f>'E5 Prices &amp; Fees'!$D$50*(N49/'E5 Prices &amp; Fees'!$D$45)^'E5 Prices &amp; Fees'!$D$51+IF($D$104=1,'E3 Carriers'!N$56,'E3 Carriers'!N$55)*N49+'E5 Prices &amp; Fees'!$D$48</f>
        <v/>
      </c>
      <c r="O50" s="298">
        <f>'E5 Prices &amp; Fees'!$D$50*(O49/'E5 Prices &amp; Fees'!$D$45)^'E5 Prices &amp; Fees'!$D$51+IF($D$104=1,'E3 Carriers'!O$56,'E3 Carriers'!O$55)*O49+'E5 Prices &amp; Fees'!$D$48</f>
        <v/>
      </c>
    </row>
    <row r="51">
      <c r="B51" s="238" t="inlineStr">
        <is>
          <t>All-in insurance RPU</t>
        </is>
      </c>
      <c r="C51" s="256" t="inlineStr">
        <is>
          <t>$</t>
        </is>
      </c>
      <c r="D51" s="298">
        <f>D50+'E5 Prices &amp; Fees'!D24</f>
        <v/>
      </c>
      <c r="E51" s="298">
        <f>E50+'E5 Prices &amp; Fees'!E24</f>
        <v/>
      </c>
      <c r="F51" s="298">
        <f>F50+'E5 Prices &amp; Fees'!F24</f>
        <v/>
      </c>
      <c r="G51" s="298">
        <f>G50+'E5 Prices &amp; Fees'!G24</f>
        <v/>
      </c>
      <c r="H51" s="298">
        <f>H50+'E5 Prices &amp; Fees'!H24</f>
        <v/>
      </c>
      <c r="I51" s="298">
        <f>I50+'E5 Prices &amp; Fees'!I24</f>
        <v/>
      </c>
      <c r="J51" s="298">
        <f>J50+'E5 Prices &amp; Fees'!J24</f>
        <v/>
      </c>
      <c r="K51" s="298">
        <f>K50+'E5 Prices &amp; Fees'!K24</f>
        <v/>
      </c>
      <c r="L51" s="298">
        <f>L50+'E5 Prices &amp; Fees'!L24</f>
        <v/>
      </c>
      <c r="M51" s="298">
        <f>M50+'E5 Prices &amp; Fees'!M24</f>
        <v/>
      </c>
      <c r="N51" s="298">
        <f>N50+'E5 Prices &amp; Fees'!N24</f>
        <v/>
      </c>
      <c r="O51" s="298">
        <f>O50+'E5 Prices &amp; Fees'!O24</f>
        <v/>
      </c>
      <c r="P51" s="298">
        <f>P52*1000/P47</f>
        <v/>
      </c>
      <c r="Q51" s="298">
        <f>Q52*1000/Q47</f>
        <v/>
      </c>
      <c r="R51" s="298">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07">
        <f>D52+D53+D54</f>
        <v/>
      </c>
      <c r="E55" s="307">
        <f>E52+E53+E54</f>
        <v/>
      </c>
      <c r="F55" s="307">
        <f>F52+F53+F54</f>
        <v/>
      </c>
      <c r="G55" s="307">
        <f>G52+G53+G54</f>
        <v/>
      </c>
      <c r="H55" s="307">
        <f>H52+H53+H54</f>
        <v/>
      </c>
      <c r="I55" s="307">
        <f>I52+I53+I54</f>
        <v/>
      </c>
      <c r="J55" s="307">
        <f>J52+J53+J54</f>
        <v/>
      </c>
      <c r="K55" s="307">
        <f>K52+K53+K54</f>
        <v/>
      </c>
      <c r="L55" s="307">
        <f>L52+L53+L54</f>
        <v/>
      </c>
      <c r="M55" s="307">
        <f>M52+M53+M54</f>
        <v/>
      </c>
      <c r="N55" s="307">
        <f>N52+N53+N54</f>
        <v/>
      </c>
      <c r="O55" s="307">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274" t="n"/>
      <c r="D59" s="274" t="n"/>
      <c r="E59" s="274" t="n"/>
      <c r="F59" s="274" t="n"/>
      <c r="G59" s="274" t="n"/>
      <c r="H59" s="274" t="n"/>
      <c r="I59" s="274" t="n"/>
      <c r="J59" s="274" t="n"/>
      <c r="K59" s="274" t="n"/>
      <c r="L59" s="274" t="n"/>
      <c r="M59" s="274" t="n"/>
      <c r="N59" s="274" t="n"/>
      <c r="O59" s="274" t="n"/>
      <c r="P59" s="274" t="n"/>
      <c r="Q59" s="274" t="n"/>
      <c r="R59" s="274" t="n"/>
      <c r="S59" s="274" t="n"/>
    </row>
    <row r="60">
      <c r="B60" s="242" t="inlineStr">
        <is>
          <t>Insurance units</t>
        </is>
      </c>
      <c r="C60" s="256" t="inlineStr">
        <is>
          <t>000s</t>
        </is>
      </c>
      <c r="D60" s="305">
        <f>'E5 Prices &amp; Fees'!D11</f>
        <v/>
      </c>
      <c r="E60" s="305">
        <f>'E5 Prices &amp; Fees'!E11</f>
        <v/>
      </c>
      <c r="F60" s="305">
        <f>'E5 Prices &amp; Fees'!F11</f>
        <v/>
      </c>
      <c r="G60" s="305">
        <f>'E5 Prices &amp; Fees'!G11</f>
        <v/>
      </c>
      <c r="H60" s="285">
        <f>D60*'E2 Claims &amp; Totals'!H$75*IF($D$105=1,'E3 Carriers'!H$49,'E3 Carriers'!H$48)*(1+$E$105*'E4 Aftermarket'!H$40)*CHOOSE($H$105,'E2 Claims &amp; Totals'!H$116,'E2 Claims &amp; Totals'!H$117,'E2 Claims &amp; Totals'!H$118)</f>
        <v/>
      </c>
      <c r="I60" s="285">
        <f>E60*'E2 Claims &amp; Totals'!I$75*IF($D$105=1,'E3 Carriers'!I$49,'E3 Carriers'!I$48)*(1+$E$105*'E4 Aftermarket'!I$40)*CHOOSE($H$105,'E2 Claims &amp; Totals'!I$116,'E2 Claims &amp; Totals'!I$117,'E2 Claims &amp; Totals'!I$118)</f>
        <v/>
      </c>
      <c r="J60" s="285">
        <f>F60*'E2 Claims &amp; Totals'!J$75*IF($D$105=1,'E3 Carriers'!J$49,'E3 Carriers'!J$48)*(1+$E$105*'E4 Aftermarket'!J$40)*CHOOSE($H$105,'E2 Claims &amp; Totals'!J$116,'E2 Claims &amp; Totals'!J$117,'E2 Claims &amp; Totals'!J$118)</f>
        <v/>
      </c>
      <c r="K60" s="285">
        <f>G60*'E2 Claims &amp; Totals'!K$75*IF($D$105=1,'E3 Carriers'!K$49,'E3 Carriers'!K$48)*(1+$E$105*'E4 Aftermarket'!K$40)*CHOOSE($H$105,'E2 Claims &amp; Totals'!K$116,'E2 Claims &amp; Totals'!K$117,'E2 Claims &amp; Totals'!K$118)</f>
        <v/>
      </c>
      <c r="L60" s="285">
        <f>H60*'E2 Claims &amp; Totals'!L$75*IF($D$105=1,'E3 Carriers'!L$49,'E3 Carriers'!L$48)*(1+$E$105*'E4 Aftermarket'!L$40)*CHOOSE($H$105,'E2 Claims &amp; Totals'!L$116,'E2 Claims &amp; Totals'!L$117,'E2 Claims &amp; Totals'!L$118)</f>
        <v/>
      </c>
      <c r="M60" s="285">
        <f>I60*'E2 Claims &amp; Totals'!M$75*IF($D$105=1,'E3 Carriers'!M$49,'E3 Carriers'!M$48)*(1+$E$105*'E4 Aftermarket'!M$40)*CHOOSE($H$105,'E2 Claims &amp; Totals'!M$116,'E2 Claims &amp; Totals'!M$117,'E2 Claims &amp; Totals'!M$118)</f>
        <v/>
      </c>
      <c r="N60" s="285">
        <f>J60*'E2 Claims &amp; Totals'!N$75*IF($D$105=1,'E3 Carriers'!N$49,'E3 Carriers'!N$48)*(1+$E$105*'E4 Aftermarket'!N$40)*CHOOSE($H$105,'E2 Claims &amp; Totals'!N$116,'E2 Claims &amp; Totals'!N$117,'E2 Claims &amp; Totals'!N$118)</f>
        <v/>
      </c>
      <c r="O60" s="285">
        <f>K60*'E2 Claims &amp; Totals'!O$75*IF($D$105=1,'E3 Carriers'!O$49,'E3 Carriers'!O$48)*(1+$E$105*'E4 Aftermarket'!O$40)*CHOOSE($H$105,'E2 Claims &amp; Totals'!O$116,'E2 Claims &amp; Totals'!O$117,'E2 Claims &amp; Totals'!O$118)</f>
        <v/>
      </c>
      <c r="P60" s="285">
        <f>SUM(D60:G60)</f>
        <v/>
      </c>
      <c r="Q60" s="285">
        <f>SUM(H60:K60)</f>
        <v/>
      </c>
      <c r="R60" s="285">
        <f>SUM(L60:O60)</f>
        <v/>
      </c>
    </row>
    <row r="61">
      <c r="B61" s="306" t="inlineStr">
        <is>
          <t>y/y</t>
        </is>
      </c>
      <c r="C61" s="256" t="inlineStr">
        <is>
          <t>%</t>
        </is>
      </c>
      <c r="H61" s="273">
        <f>H60/D60-1</f>
        <v/>
      </c>
      <c r="I61" s="273">
        <f>I60/E60-1</f>
        <v/>
      </c>
      <c r="J61" s="273">
        <f>J60/F60-1</f>
        <v/>
      </c>
      <c r="K61" s="273">
        <f>K60/G60-1</f>
        <v/>
      </c>
      <c r="L61" s="273">
        <f>L60/H60-1</f>
        <v/>
      </c>
      <c r="M61" s="273">
        <f>M60/I60-1</f>
        <v/>
      </c>
      <c r="N61" s="273">
        <f>N60/J60-1</f>
        <v/>
      </c>
      <c r="O61" s="273">
        <f>O60/K60-1</f>
        <v/>
      </c>
      <c r="Q61" s="273">
        <f>Q60/P60-1</f>
        <v/>
      </c>
      <c r="R61" s="273">
        <f>R60/Q60-1</f>
        <v/>
      </c>
    </row>
    <row r="62">
      <c r="B62" s="238" t="inlineStr">
        <is>
          <t>US insurance ASP</t>
        </is>
      </c>
      <c r="C62" s="256" t="inlineStr">
        <is>
          <t>$</t>
        </is>
      </c>
      <c r="D62" s="299">
        <f>'E5 Prices &amp; Fees'!$D$45</f>
        <v/>
      </c>
      <c r="E62" s="299">
        <f>'E5 Prices &amp; Fees'!$D$45</f>
        <v/>
      </c>
      <c r="F62" s="299">
        <f>'E5 Prices &amp; Fees'!$D$45</f>
        <v/>
      </c>
      <c r="G62" s="299">
        <f>'E5 Prices &amp; Fees'!$D$45</f>
        <v/>
      </c>
      <c r="H62" s="298">
        <f>'E5 Prices &amp; Fees'!$D$45*(1+$F$105)^1*(1+$E$105*'E4 Aftermarket'!H$41)</f>
        <v/>
      </c>
      <c r="I62" s="298">
        <f>'E5 Prices &amp; Fees'!$D$45*(1+$F$105)^1*(1+$E$105*'E4 Aftermarket'!I$41)</f>
        <v/>
      </c>
      <c r="J62" s="298">
        <f>'E5 Prices &amp; Fees'!$D$45*(1+$F$105)^1*(1+$E$105*'E4 Aftermarket'!J$41)</f>
        <v/>
      </c>
      <c r="K62" s="298">
        <f>'E5 Prices &amp; Fees'!$D$45*(1+$F$105)^1*(1+$E$105*'E4 Aftermarket'!K$41)</f>
        <v/>
      </c>
      <c r="L62" s="298">
        <f>'E5 Prices &amp; Fees'!$D$45*(1+$F$105)^2*(1+$E$105*'E4 Aftermarket'!L$41)</f>
        <v/>
      </c>
      <c r="M62" s="298">
        <f>'E5 Prices &amp; Fees'!$D$45*(1+$F$105)^2*(1+$E$105*'E4 Aftermarket'!M$41)</f>
        <v/>
      </c>
      <c r="N62" s="298">
        <f>'E5 Prices &amp; Fees'!$D$45*(1+$F$105)^2*(1+$E$105*'E4 Aftermarket'!N$41)</f>
        <v/>
      </c>
      <c r="O62" s="298">
        <f>'E5 Prices &amp; Fees'!$D$45*(1+$F$105)^2*(1+$E$105*'E4 Aftermarket'!O$41)</f>
        <v/>
      </c>
      <c r="P62" s="298">
        <f>AVERAGE(D62:G62)</f>
        <v/>
      </c>
      <c r="Q62" s="298">
        <f>AVERAGE(H62:K62)</f>
        <v/>
      </c>
      <c r="R62" s="298">
        <f>AVERAGE(L62:O62)</f>
        <v/>
      </c>
    </row>
    <row r="63">
      <c r="B63" s="238" t="inlineStr">
        <is>
          <t>Core RPU</t>
        </is>
      </c>
      <c r="C63" s="256" t="inlineStr">
        <is>
          <t>$</t>
        </is>
      </c>
      <c r="D63" s="298">
        <f>'E5 Prices &amp; Fees'!$D$50*(D62/'E5 Prices &amp; Fees'!$D$45)^'E5 Prices &amp; Fees'!$D$51+IF($D$105=1,'E3 Carriers'!D$56,'E3 Carriers'!D$55)*D62+'E5 Prices &amp; Fees'!$D$48</f>
        <v/>
      </c>
      <c r="E63" s="298">
        <f>'E5 Prices &amp; Fees'!$D$50*(E62/'E5 Prices &amp; Fees'!$D$45)^'E5 Prices &amp; Fees'!$D$51+IF($D$105=1,'E3 Carriers'!E$56,'E3 Carriers'!E$55)*E62+'E5 Prices &amp; Fees'!$D$48</f>
        <v/>
      </c>
      <c r="F63" s="298">
        <f>'E5 Prices &amp; Fees'!$D$50*(F62/'E5 Prices &amp; Fees'!$D$45)^'E5 Prices &amp; Fees'!$D$51+IF($D$105=1,'E3 Carriers'!F$56,'E3 Carriers'!F$55)*F62+'E5 Prices &amp; Fees'!$D$48</f>
        <v/>
      </c>
      <c r="G63" s="298">
        <f>'E5 Prices &amp; Fees'!$D$50*(G62/'E5 Prices &amp; Fees'!$D$45)^'E5 Prices &amp; Fees'!$D$51+IF($D$105=1,'E3 Carriers'!G$56,'E3 Carriers'!G$55)*G62+'E5 Prices &amp; Fees'!$D$48</f>
        <v/>
      </c>
      <c r="H63" s="298">
        <f>'E5 Prices &amp; Fees'!$D$50*(H62/'E5 Prices &amp; Fees'!$D$45)^'E5 Prices &amp; Fees'!$D$51+IF($D$105=1,'E3 Carriers'!H$56,'E3 Carriers'!H$55)*H62+'E5 Prices &amp; Fees'!$D$48</f>
        <v/>
      </c>
      <c r="I63" s="298">
        <f>'E5 Prices &amp; Fees'!$D$50*(I62/'E5 Prices &amp; Fees'!$D$45)^'E5 Prices &amp; Fees'!$D$51+IF($D$105=1,'E3 Carriers'!I$56,'E3 Carriers'!I$55)*I62+'E5 Prices &amp; Fees'!$D$48</f>
        <v/>
      </c>
      <c r="J63" s="298">
        <f>'E5 Prices &amp; Fees'!$D$50*(J62/'E5 Prices &amp; Fees'!$D$45)^'E5 Prices &amp; Fees'!$D$51+IF($D$105=1,'E3 Carriers'!J$56,'E3 Carriers'!J$55)*J62+'E5 Prices &amp; Fees'!$D$48</f>
        <v/>
      </c>
      <c r="K63" s="298">
        <f>'E5 Prices &amp; Fees'!$D$50*(K62/'E5 Prices &amp; Fees'!$D$45)^'E5 Prices &amp; Fees'!$D$51+IF($D$105=1,'E3 Carriers'!K$56,'E3 Carriers'!K$55)*K62+'E5 Prices &amp; Fees'!$D$48</f>
        <v/>
      </c>
      <c r="L63" s="298">
        <f>'E5 Prices &amp; Fees'!$D$50*(L62/'E5 Prices &amp; Fees'!$D$45)^'E5 Prices &amp; Fees'!$D$51+IF($D$105=1,'E3 Carriers'!L$56,'E3 Carriers'!L$55)*L62+'E5 Prices &amp; Fees'!$D$48</f>
        <v/>
      </c>
      <c r="M63" s="298">
        <f>'E5 Prices &amp; Fees'!$D$50*(M62/'E5 Prices &amp; Fees'!$D$45)^'E5 Prices &amp; Fees'!$D$51+IF($D$105=1,'E3 Carriers'!M$56,'E3 Carriers'!M$55)*M62+'E5 Prices &amp; Fees'!$D$48</f>
        <v/>
      </c>
      <c r="N63" s="298">
        <f>'E5 Prices &amp; Fees'!$D$50*(N62/'E5 Prices &amp; Fees'!$D$45)^'E5 Prices &amp; Fees'!$D$51+IF($D$105=1,'E3 Carriers'!N$56,'E3 Carriers'!N$55)*N62+'E5 Prices &amp; Fees'!$D$48</f>
        <v/>
      </c>
      <c r="O63" s="298">
        <f>'E5 Prices &amp; Fees'!$D$50*(O62/'E5 Prices &amp; Fees'!$D$45)^'E5 Prices &amp; Fees'!$D$51+IF($D$105=1,'E3 Carriers'!O$56,'E3 Carriers'!O$55)*O62+'E5 Prices &amp; Fees'!$D$48</f>
        <v/>
      </c>
    </row>
    <row r="64">
      <c r="B64" s="238" t="inlineStr">
        <is>
          <t>All-in insurance RPU</t>
        </is>
      </c>
      <c r="C64" s="256" t="inlineStr">
        <is>
          <t>$</t>
        </is>
      </c>
      <c r="D64" s="298">
        <f>D63+'E5 Prices &amp; Fees'!D24</f>
        <v/>
      </c>
      <c r="E64" s="298">
        <f>E63+'E5 Prices &amp; Fees'!E24</f>
        <v/>
      </c>
      <c r="F64" s="298">
        <f>F63+'E5 Prices &amp; Fees'!F24</f>
        <v/>
      </c>
      <c r="G64" s="298">
        <f>G63+'E5 Prices &amp; Fees'!G24</f>
        <v/>
      </c>
      <c r="H64" s="298">
        <f>H63+'E5 Prices &amp; Fees'!H24</f>
        <v/>
      </c>
      <c r="I64" s="298">
        <f>I63+'E5 Prices &amp; Fees'!I24</f>
        <v/>
      </c>
      <c r="J64" s="298">
        <f>J63+'E5 Prices &amp; Fees'!J24</f>
        <v/>
      </c>
      <c r="K64" s="298">
        <f>K63+'E5 Prices &amp; Fees'!K24</f>
        <v/>
      </c>
      <c r="L64" s="298">
        <f>L63+'E5 Prices &amp; Fees'!L24</f>
        <v/>
      </c>
      <c r="M64" s="298">
        <f>M63+'E5 Prices &amp; Fees'!M24</f>
        <v/>
      </c>
      <c r="N64" s="298">
        <f>N63+'E5 Prices &amp; Fees'!N24</f>
        <v/>
      </c>
      <c r="O64" s="298">
        <f>O63+'E5 Prices &amp; Fees'!O24</f>
        <v/>
      </c>
      <c r="P64" s="298">
        <f>P65*1000/P60</f>
        <v/>
      </c>
      <c r="Q64" s="298">
        <f>Q65*1000/Q60</f>
        <v/>
      </c>
      <c r="R64" s="298">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07">
        <f>D65+D66+D67</f>
        <v/>
      </c>
      <c r="E68" s="307">
        <f>E65+E66+E67</f>
        <v/>
      </c>
      <c r="F68" s="307">
        <f>F65+F66+F67</f>
        <v/>
      </c>
      <c r="G68" s="307">
        <f>G65+G66+G67</f>
        <v/>
      </c>
      <c r="H68" s="307">
        <f>H65+H66+H67</f>
        <v/>
      </c>
      <c r="I68" s="307">
        <f>I65+I66+I67</f>
        <v/>
      </c>
      <c r="J68" s="307">
        <f>J65+J66+J67</f>
        <v/>
      </c>
      <c r="K68" s="307">
        <f>K65+K66+K67</f>
        <v/>
      </c>
      <c r="L68" s="307">
        <f>L65+L66+L67</f>
        <v/>
      </c>
      <c r="M68" s="307">
        <f>M65+M66+M67</f>
        <v/>
      </c>
      <c r="N68" s="307">
        <f>N65+N66+N67</f>
        <v/>
      </c>
      <c r="O68" s="307">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274" t="n"/>
      <c r="D72" s="274" t="n"/>
      <c r="E72" s="274" t="n"/>
      <c r="F72" s="274" t="n"/>
      <c r="G72" s="274" t="n"/>
      <c r="H72" s="274" t="n"/>
      <c r="I72" s="274" t="n"/>
      <c r="J72" s="274" t="n"/>
      <c r="K72" s="274" t="n"/>
      <c r="L72" s="274" t="n"/>
      <c r="M72" s="274" t="n"/>
      <c r="N72" s="274" t="n"/>
      <c r="O72" s="274" t="n"/>
      <c r="P72" s="274" t="n"/>
      <c r="Q72" s="274" t="n"/>
      <c r="R72" s="274" t="n"/>
      <c r="S72" s="274" t="n"/>
    </row>
    <row r="73">
      <c r="B73" s="242" t="inlineStr">
        <is>
          <t>Insurance units</t>
        </is>
      </c>
      <c r="C73" s="256" t="inlineStr">
        <is>
          <t>000s</t>
        </is>
      </c>
      <c r="D73" s="305">
        <f>'E5 Prices &amp; Fees'!D11</f>
        <v/>
      </c>
      <c r="E73" s="305">
        <f>'E5 Prices &amp; Fees'!E11</f>
        <v/>
      </c>
      <c r="F73" s="305">
        <f>'E5 Prices &amp; Fees'!F11</f>
        <v/>
      </c>
      <c r="G73" s="305">
        <f>'E5 Prices &amp; Fees'!G11</f>
        <v/>
      </c>
      <c r="H73" s="285">
        <f>D73*'E2 Claims &amp; Totals'!H$75*IF($D$106=1,'E3 Carriers'!H$49,'E3 Carriers'!H$48)*(1+$E$106*'E4 Aftermarket'!H$40)*CHOOSE($H$106,'E2 Claims &amp; Totals'!H$116,'E2 Claims &amp; Totals'!H$117,'E2 Claims &amp; Totals'!H$118)</f>
        <v/>
      </c>
      <c r="I73" s="285">
        <f>E73*'E2 Claims &amp; Totals'!I$75*IF($D$106=1,'E3 Carriers'!I$49,'E3 Carriers'!I$48)*(1+$E$106*'E4 Aftermarket'!I$40)*CHOOSE($H$106,'E2 Claims &amp; Totals'!I$116,'E2 Claims &amp; Totals'!I$117,'E2 Claims &amp; Totals'!I$118)</f>
        <v/>
      </c>
      <c r="J73" s="285">
        <f>F73*'E2 Claims &amp; Totals'!J$75*IF($D$106=1,'E3 Carriers'!J$49,'E3 Carriers'!J$48)*(1+$E$106*'E4 Aftermarket'!J$40)*CHOOSE($H$106,'E2 Claims &amp; Totals'!J$116,'E2 Claims &amp; Totals'!J$117,'E2 Claims &amp; Totals'!J$118)</f>
        <v/>
      </c>
      <c r="K73" s="285">
        <f>G73*'E2 Claims &amp; Totals'!K$75*IF($D$106=1,'E3 Carriers'!K$49,'E3 Carriers'!K$48)*(1+$E$106*'E4 Aftermarket'!K$40)*CHOOSE($H$106,'E2 Claims &amp; Totals'!K$116,'E2 Claims &amp; Totals'!K$117,'E2 Claims &amp; Totals'!K$118)</f>
        <v/>
      </c>
      <c r="L73" s="285">
        <f>H73*'E2 Claims &amp; Totals'!L$75*IF($D$106=1,'E3 Carriers'!L$49,'E3 Carriers'!L$48)*(1+$E$106*'E4 Aftermarket'!L$40)*CHOOSE($H$106,'E2 Claims &amp; Totals'!L$116,'E2 Claims &amp; Totals'!L$117,'E2 Claims &amp; Totals'!L$118)</f>
        <v/>
      </c>
      <c r="M73" s="285">
        <f>I73*'E2 Claims &amp; Totals'!M$75*IF($D$106=1,'E3 Carriers'!M$49,'E3 Carriers'!M$48)*(1+$E$106*'E4 Aftermarket'!M$40)*CHOOSE($H$106,'E2 Claims &amp; Totals'!M$116,'E2 Claims &amp; Totals'!M$117,'E2 Claims &amp; Totals'!M$118)</f>
        <v/>
      </c>
      <c r="N73" s="285">
        <f>J73*'E2 Claims &amp; Totals'!N$75*IF($D$106=1,'E3 Carriers'!N$49,'E3 Carriers'!N$48)*(1+$E$106*'E4 Aftermarket'!N$40)*CHOOSE($H$106,'E2 Claims &amp; Totals'!N$116,'E2 Claims &amp; Totals'!N$117,'E2 Claims &amp; Totals'!N$118)</f>
        <v/>
      </c>
      <c r="O73" s="285">
        <f>K73*'E2 Claims &amp; Totals'!O$75*IF($D$106=1,'E3 Carriers'!O$49,'E3 Carriers'!O$48)*(1+$E$106*'E4 Aftermarket'!O$40)*CHOOSE($H$106,'E2 Claims &amp; Totals'!O$116,'E2 Claims &amp; Totals'!O$117,'E2 Claims &amp; Totals'!O$118)</f>
        <v/>
      </c>
      <c r="P73" s="285">
        <f>SUM(D73:G73)</f>
        <v/>
      </c>
      <c r="Q73" s="285">
        <f>SUM(H73:K73)</f>
        <v/>
      </c>
      <c r="R73" s="285">
        <f>SUM(L73:O73)</f>
        <v/>
      </c>
    </row>
    <row r="74">
      <c r="B74" s="306" t="inlineStr">
        <is>
          <t>y/y</t>
        </is>
      </c>
      <c r="C74" s="256" t="inlineStr">
        <is>
          <t>%</t>
        </is>
      </c>
      <c r="H74" s="273">
        <f>H73/D73-1</f>
        <v/>
      </c>
      <c r="I74" s="273">
        <f>I73/E73-1</f>
        <v/>
      </c>
      <c r="J74" s="273">
        <f>J73/F73-1</f>
        <v/>
      </c>
      <c r="K74" s="273">
        <f>K73/G73-1</f>
        <v/>
      </c>
      <c r="L74" s="273">
        <f>L73/H73-1</f>
        <v/>
      </c>
      <c r="M74" s="273">
        <f>M73/I73-1</f>
        <v/>
      </c>
      <c r="N74" s="273">
        <f>N73/J73-1</f>
        <v/>
      </c>
      <c r="O74" s="273">
        <f>O73/K73-1</f>
        <v/>
      </c>
      <c r="Q74" s="273">
        <f>Q73/P73-1</f>
        <v/>
      </c>
      <c r="R74" s="273">
        <f>R73/Q73-1</f>
        <v/>
      </c>
    </row>
    <row r="75">
      <c r="B75" s="238" t="inlineStr">
        <is>
          <t>US insurance ASP</t>
        </is>
      </c>
      <c r="C75" s="256" t="inlineStr">
        <is>
          <t>$</t>
        </is>
      </c>
      <c r="D75" s="299">
        <f>'E5 Prices &amp; Fees'!$D$45</f>
        <v/>
      </c>
      <c r="E75" s="299">
        <f>'E5 Prices &amp; Fees'!$D$45</f>
        <v/>
      </c>
      <c r="F75" s="299">
        <f>'E5 Prices &amp; Fees'!$D$45</f>
        <v/>
      </c>
      <c r="G75" s="299">
        <f>'E5 Prices &amp; Fees'!$D$45</f>
        <v/>
      </c>
      <c r="H75" s="298">
        <f>'E5 Prices &amp; Fees'!$D$45*(1+$F$106)^1*(1+$E$106*'E4 Aftermarket'!H$41)</f>
        <v/>
      </c>
      <c r="I75" s="298">
        <f>'E5 Prices &amp; Fees'!$D$45*(1+$F$106)^1*(1+$E$106*'E4 Aftermarket'!I$41)</f>
        <v/>
      </c>
      <c r="J75" s="298">
        <f>'E5 Prices &amp; Fees'!$D$45*(1+$F$106)^1*(1+$E$106*'E4 Aftermarket'!J$41)</f>
        <v/>
      </c>
      <c r="K75" s="298">
        <f>'E5 Prices &amp; Fees'!$D$45*(1+$F$106)^1*(1+$E$106*'E4 Aftermarket'!K$41)</f>
        <v/>
      </c>
      <c r="L75" s="298">
        <f>'E5 Prices &amp; Fees'!$D$45*(1+$F$106)^2*(1+$E$106*'E4 Aftermarket'!L$41)</f>
        <v/>
      </c>
      <c r="M75" s="298">
        <f>'E5 Prices &amp; Fees'!$D$45*(1+$F$106)^2*(1+$E$106*'E4 Aftermarket'!M$41)</f>
        <v/>
      </c>
      <c r="N75" s="298">
        <f>'E5 Prices &amp; Fees'!$D$45*(1+$F$106)^2*(1+$E$106*'E4 Aftermarket'!N$41)</f>
        <v/>
      </c>
      <c r="O75" s="298">
        <f>'E5 Prices &amp; Fees'!$D$45*(1+$F$106)^2*(1+$E$106*'E4 Aftermarket'!O$41)</f>
        <v/>
      </c>
      <c r="P75" s="298">
        <f>AVERAGE(D75:G75)</f>
        <v/>
      </c>
      <c r="Q75" s="298">
        <f>AVERAGE(H75:K75)</f>
        <v/>
      </c>
      <c r="R75" s="298">
        <f>AVERAGE(L75:O75)</f>
        <v/>
      </c>
    </row>
    <row r="76">
      <c r="B76" s="238" t="inlineStr">
        <is>
          <t>Core RPU</t>
        </is>
      </c>
      <c r="C76" s="256" t="inlineStr">
        <is>
          <t>$</t>
        </is>
      </c>
      <c r="D76" s="298">
        <f>'E5 Prices &amp; Fees'!$D$50*(D75/'E5 Prices &amp; Fees'!$D$45)^'E5 Prices &amp; Fees'!$D$51+IF($D$106=1,'E3 Carriers'!D$56,'E3 Carriers'!D$55)*D75+'E5 Prices &amp; Fees'!$D$48</f>
        <v/>
      </c>
      <c r="E76" s="298">
        <f>'E5 Prices &amp; Fees'!$D$50*(E75/'E5 Prices &amp; Fees'!$D$45)^'E5 Prices &amp; Fees'!$D$51+IF($D$106=1,'E3 Carriers'!E$56,'E3 Carriers'!E$55)*E75+'E5 Prices &amp; Fees'!$D$48</f>
        <v/>
      </c>
      <c r="F76" s="298">
        <f>'E5 Prices &amp; Fees'!$D$50*(F75/'E5 Prices &amp; Fees'!$D$45)^'E5 Prices &amp; Fees'!$D$51+IF($D$106=1,'E3 Carriers'!F$56,'E3 Carriers'!F$55)*F75+'E5 Prices &amp; Fees'!$D$48</f>
        <v/>
      </c>
      <c r="G76" s="298">
        <f>'E5 Prices &amp; Fees'!$D$50*(G75/'E5 Prices &amp; Fees'!$D$45)^'E5 Prices &amp; Fees'!$D$51+IF($D$106=1,'E3 Carriers'!G$56,'E3 Carriers'!G$55)*G75+'E5 Prices &amp; Fees'!$D$48</f>
        <v/>
      </c>
      <c r="H76" s="298">
        <f>'E5 Prices &amp; Fees'!$D$50*(H75/'E5 Prices &amp; Fees'!$D$45)^'E5 Prices &amp; Fees'!$D$51+IF($D$106=1,'E3 Carriers'!H$56,'E3 Carriers'!H$55)*H75+'E5 Prices &amp; Fees'!$D$48</f>
        <v/>
      </c>
      <c r="I76" s="298">
        <f>'E5 Prices &amp; Fees'!$D$50*(I75/'E5 Prices &amp; Fees'!$D$45)^'E5 Prices &amp; Fees'!$D$51+IF($D$106=1,'E3 Carriers'!I$56,'E3 Carriers'!I$55)*I75+'E5 Prices &amp; Fees'!$D$48</f>
        <v/>
      </c>
      <c r="J76" s="298">
        <f>'E5 Prices &amp; Fees'!$D$50*(J75/'E5 Prices &amp; Fees'!$D$45)^'E5 Prices &amp; Fees'!$D$51+IF($D$106=1,'E3 Carriers'!J$56,'E3 Carriers'!J$55)*J75+'E5 Prices &amp; Fees'!$D$48</f>
        <v/>
      </c>
      <c r="K76" s="298">
        <f>'E5 Prices &amp; Fees'!$D$50*(K75/'E5 Prices &amp; Fees'!$D$45)^'E5 Prices &amp; Fees'!$D$51+IF($D$106=1,'E3 Carriers'!K$56,'E3 Carriers'!K$55)*K75+'E5 Prices &amp; Fees'!$D$48</f>
        <v/>
      </c>
      <c r="L76" s="298">
        <f>'E5 Prices &amp; Fees'!$D$50*(L75/'E5 Prices &amp; Fees'!$D$45)^'E5 Prices &amp; Fees'!$D$51+IF($D$106=1,'E3 Carriers'!L$56,'E3 Carriers'!L$55)*L75+'E5 Prices &amp; Fees'!$D$48</f>
        <v/>
      </c>
      <c r="M76" s="298">
        <f>'E5 Prices &amp; Fees'!$D$50*(M75/'E5 Prices &amp; Fees'!$D$45)^'E5 Prices &amp; Fees'!$D$51+IF($D$106=1,'E3 Carriers'!M$56,'E3 Carriers'!M$55)*M75+'E5 Prices &amp; Fees'!$D$48</f>
        <v/>
      </c>
      <c r="N76" s="298">
        <f>'E5 Prices &amp; Fees'!$D$50*(N75/'E5 Prices &amp; Fees'!$D$45)^'E5 Prices &amp; Fees'!$D$51+IF($D$106=1,'E3 Carriers'!N$56,'E3 Carriers'!N$55)*N75+'E5 Prices &amp; Fees'!$D$48</f>
        <v/>
      </c>
      <c r="O76" s="298">
        <f>'E5 Prices &amp; Fees'!$D$50*(O75/'E5 Prices &amp; Fees'!$D$45)^'E5 Prices &amp; Fees'!$D$51+IF($D$106=1,'E3 Carriers'!O$56,'E3 Carriers'!O$55)*O75+'E5 Prices &amp; Fees'!$D$48</f>
        <v/>
      </c>
    </row>
    <row r="77">
      <c r="B77" s="238" t="inlineStr">
        <is>
          <t>All-in insurance RPU</t>
        </is>
      </c>
      <c r="C77" s="256" t="inlineStr">
        <is>
          <t>$</t>
        </is>
      </c>
      <c r="D77" s="298">
        <f>D76+'E5 Prices &amp; Fees'!D24</f>
        <v/>
      </c>
      <c r="E77" s="298">
        <f>E76+'E5 Prices &amp; Fees'!E24</f>
        <v/>
      </c>
      <c r="F77" s="298">
        <f>F76+'E5 Prices &amp; Fees'!F24</f>
        <v/>
      </c>
      <c r="G77" s="298">
        <f>G76+'E5 Prices &amp; Fees'!G24</f>
        <v/>
      </c>
      <c r="H77" s="298">
        <f>H76+'E5 Prices &amp; Fees'!H24</f>
        <v/>
      </c>
      <c r="I77" s="298">
        <f>I76+'E5 Prices &amp; Fees'!I24</f>
        <v/>
      </c>
      <c r="J77" s="298">
        <f>J76+'E5 Prices &amp; Fees'!J24</f>
        <v/>
      </c>
      <c r="K77" s="298">
        <f>K76+'E5 Prices &amp; Fees'!K24</f>
        <v/>
      </c>
      <c r="L77" s="298">
        <f>L76+'E5 Prices &amp; Fees'!L24</f>
        <v/>
      </c>
      <c r="M77" s="298">
        <f>M76+'E5 Prices &amp; Fees'!M24</f>
        <v/>
      </c>
      <c r="N77" s="298">
        <f>N76+'E5 Prices &amp; Fees'!N24</f>
        <v/>
      </c>
      <c r="O77" s="298">
        <f>O76+'E5 Prices &amp; Fees'!O24</f>
        <v/>
      </c>
      <c r="P77" s="298">
        <f>P78*1000/P73</f>
        <v/>
      </c>
      <c r="Q77" s="298">
        <f>Q78*1000/Q73</f>
        <v/>
      </c>
      <c r="R77" s="298">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07">
        <f>D78+D79+D80</f>
        <v/>
      </c>
      <c r="E81" s="307">
        <f>E78+E79+E80</f>
        <v/>
      </c>
      <c r="F81" s="307">
        <f>F78+F79+F80</f>
        <v/>
      </c>
      <c r="G81" s="307">
        <f>G78+G79+G80</f>
        <v/>
      </c>
      <c r="H81" s="307">
        <f>H78+H79+H80</f>
        <v/>
      </c>
      <c r="I81" s="307">
        <f>I78+I79+I80</f>
        <v/>
      </c>
      <c r="J81" s="307">
        <f>J78+J79+J80</f>
        <v/>
      </c>
      <c r="K81" s="307">
        <f>K78+K79+K80</f>
        <v/>
      </c>
      <c r="L81" s="307">
        <f>L78+L79+L80</f>
        <v/>
      </c>
      <c r="M81" s="307">
        <f>M78+M79+M80</f>
        <v/>
      </c>
      <c r="N81" s="307">
        <f>N78+N79+N80</f>
        <v/>
      </c>
      <c r="O81" s="307">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274" t="n"/>
      <c r="D85" s="274" t="n"/>
      <c r="E85" s="274" t="n"/>
      <c r="F85" s="274" t="n"/>
      <c r="G85" s="274" t="n"/>
      <c r="H85" s="274" t="n"/>
      <c r="I85" s="274" t="n"/>
      <c r="J85" s="274" t="n"/>
      <c r="K85" s="274" t="n"/>
      <c r="L85" s="274" t="n"/>
      <c r="M85" s="274" t="n"/>
      <c r="N85" s="274" t="n"/>
      <c r="O85" s="274" t="n"/>
      <c r="P85" s="274" t="n"/>
      <c r="Q85" s="274" t="n"/>
      <c r="R85" s="274" t="n"/>
      <c r="S85" s="274" t="n"/>
    </row>
    <row r="86">
      <c r="B86" s="242" t="inlineStr">
        <is>
          <t>Insurance units</t>
        </is>
      </c>
      <c r="C86" s="256" t="inlineStr">
        <is>
          <t>000s</t>
        </is>
      </c>
      <c r="D86" s="305">
        <f>'E5 Prices &amp; Fees'!D11</f>
        <v/>
      </c>
      <c r="E86" s="305">
        <f>'E5 Prices &amp; Fees'!E11</f>
        <v/>
      </c>
      <c r="F86" s="305">
        <f>'E5 Prices &amp; Fees'!F11</f>
        <v/>
      </c>
      <c r="G86" s="305">
        <f>'E5 Prices &amp; Fees'!G11</f>
        <v/>
      </c>
      <c r="H86" s="285">
        <f>D86*'E2 Claims &amp; Totals'!H$75*IF($D$107=1,'E3 Carriers'!H$49,'E3 Carriers'!H$48)*(1+$E$107*'E4 Aftermarket'!H$40)*CHOOSE($H$107,'E2 Claims &amp; Totals'!H$116,'E2 Claims &amp; Totals'!H$117,'E2 Claims &amp; Totals'!H$118)</f>
        <v/>
      </c>
      <c r="I86" s="285">
        <f>E86*'E2 Claims &amp; Totals'!I$75*IF($D$107=1,'E3 Carriers'!I$49,'E3 Carriers'!I$48)*(1+$E$107*'E4 Aftermarket'!I$40)*CHOOSE($H$107,'E2 Claims &amp; Totals'!I$116,'E2 Claims &amp; Totals'!I$117,'E2 Claims &amp; Totals'!I$118)</f>
        <v/>
      </c>
      <c r="J86" s="285">
        <f>F86*'E2 Claims &amp; Totals'!J$75*IF($D$107=1,'E3 Carriers'!J$49,'E3 Carriers'!J$48)*(1+$E$107*'E4 Aftermarket'!J$40)*CHOOSE($H$107,'E2 Claims &amp; Totals'!J$116,'E2 Claims &amp; Totals'!J$117,'E2 Claims &amp; Totals'!J$118)</f>
        <v/>
      </c>
      <c r="K86" s="285">
        <f>G86*'E2 Claims &amp; Totals'!K$75*IF($D$107=1,'E3 Carriers'!K$49,'E3 Carriers'!K$48)*(1+$E$107*'E4 Aftermarket'!K$40)*CHOOSE($H$107,'E2 Claims &amp; Totals'!K$116,'E2 Claims &amp; Totals'!K$117,'E2 Claims &amp; Totals'!K$118)</f>
        <v/>
      </c>
      <c r="L86" s="285">
        <f>H86*'E2 Claims &amp; Totals'!L$75*IF($D$107=1,'E3 Carriers'!L$49,'E3 Carriers'!L$48)*(1+$E$107*'E4 Aftermarket'!L$40)*CHOOSE($H$107,'E2 Claims &amp; Totals'!L$116,'E2 Claims &amp; Totals'!L$117,'E2 Claims &amp; Totals'!L$118)</f>
        <v/>
      </c>
      <c r="M86" s="285">
        <f>I86*'E2 Claims &amp; Totals'!M$75*IF($D$107=1,'E3 Carriers'!M$49,'E3 Carriers'!M$48)*(1+$E$107*'E4 Aftermarket'!M$40)*CHOOSE($H$107,'E2 Claims &amp; Totals'!M$116,'E2 Claims &amp; Totals'!M$117,'E2 Claims &amp; Totals'!M$118)</f>
        <v/>
      </c>
      <c r="N86" s="285">
        <f>J86*'E2 Claims &amp; Totals'!N$75*IF($D$107=1,'E3 Carriers'!N$49,'E3 Carriers'!N$48)*(1+$E$107*'E4 Aftermarket'!N$40)*CHOOSE($H$107,'E2 Claims &amp; Totals'!N$116,'E2 Claims &amp; Totals'!N$117,'E2 Claims &amp; Totals'!N$118)</f>
        <v/>
      </c>
      <c r="O86" s="285">
        <f>K86*'E2 Claims &amp; Totals'!O$75*IF($D$107=1,'E3 Carriers'!O$49,'E3 Carriers'!O$48)*(1+$E$107*'E4 Aftermarket'!O$40)*CHOOSE($H$107,'E2 Claims &amp; Totals'!O$116,'E2 Claims &amp; Totals'!O$117,'E2 Claims &amp; Totals'!O$118)</f>
        <v/>
      </c>
      <c r="P86" s="285">
        <f>SUM(D86:G86)</f>
        <v/>
      </c>
      <c r="Q86" s="285">
        <f>SUM(H86:K86)</f>
        <v/>
      </c>
      <c r="R86" s="285">
        <f>SUM(L86:O86)</f>
        <v/>
      </c>
    </row>
    <row r="87">
      <c r="B87" s="306" t="inlineStr">
        <is>
          <t>y/y</t>
        </is>
      </c>
      <c r="C87" s="256" t="inlineStr">
        <is>
          <t>%</t>
        </is>
      </c>
      <c r="H87" s="273">
        <f>H86/D86-1</f>
        <v/>
      </c>
      <c r="I87" s="273">
        <f>I86/E86-1</f>
        <v/>
      </c>
      <c r="J87" s="273">
        <f>J86/F86-1</f>
        <v/>
      </c>
      <c r="K87" s="273">
        <f>K86/G86-1</f>
        <v/>
      </c>
      <c r="L87" s="273">
        <f>L86/H86-1</f>
        <v/>
      </c>
      <c r="M87" s="273">
        <f>M86/I86-1</f>
        <v/>
      </c>
      <c r="N87" s="273">
        <f>N86/J86-1</f>
        <v/>
      </c>
      <c r="O87" s="273">
        <f>O86/K86-1</f>
        <v/>
      </c>
      <c r="Q87" s="273">
        <f>Q86/P86-1</f>
        <v/>
      </c>
      <c r="R87" s="273">
        <f>R86/Q86-1</f>
        <v/>
      </c>
    </row>
    <row r="88">
      <c r="B88" s="238" t="inlineStr">
        <is>
          <t>US insurance ASP</t>
        </is>
      </c>
      <c r="C88" s="256" t="inlineStr">
        <is>
          <t>$</t>
        </is>
      </c>
      <c r="D88" s="299">
        <f>'E5 Prices &amp; Fees'!$D$45</f>
        <v/>
      </c>
      <c r="E88" s="299">
        <f>'E5 Prices &amp; Fees'!$D$45</f>
        <v/>
      </c>
      <c r="F88" s="299">
        <f>'E5 Prices &amp; Fees'!$D$45</f>
        <v/>
      </c>
      <c r="G88" s="299">
        <f>'E5 Prices &amp; Fees'!$D$45</f>
        <v/>
      </c>
      <c r="H88" s="298">
        <f>'E5 Prices &amp; Fees'!$D$45*(1+$F$107)^1*(1+$E$107*'E4 Aftermarket'!H$41)</f>
        <v/>
      </c>
      <c r="I88" s="298">
        <f>'E5 Prices &amp; Fees'!$D$45*(1+$F$107)^1*(1+$E$107*'E4 Aftermarket'!I$41)</f>
        <v/>
      </c>
      <c r="J88" s="298">
        <f>'E5 Prices &amp; Fees'!$D$45*(1+$F$107)^1*(1+$E$107*'E4 Aftermarket'!J$41)</f>
        <v/>
      </c>
      <c r="K88" s="298">
        <f>'E5 Prices &amp; Fees'!$D$45*(1+$F$107)^1*(1+$E$107*'E4 Aftermarket'!K$41)</f>
        <v/>
      </c>
      <c r="L88" s="298">
        <f>'E5 Prices &amp; Fees'!$D$45*(1+$F$107)^2*(1+$E$107*'E4 Aftermarket'!L$41)</f>
        <v/>
      </c>
      <c r="M88" s="298">
        <f>'E5 Prices &amp; Fees'!$D$45*(1+$F$107)^2*(1+$E$107*'E4 Aftermarket'!M$41)</f>
        <v/>
      </c>
      <c r="N88" s="298">
        <f>'E5 Prices &amp; Fees'!$D$45*(1+$F$107)^2*(1+$E$107*'E4 Aftermarket'!N$41)</f>
        <v/>
      </c>
      <c r="O88" s="298">
        <f>'E5 Prices &amp; Fees'!$D$45*(1+$F$107)^2*(1+$E$107*'E4 Aftermarket'!O$41)</f>
        <v/>
      </c>
      <c r="P88" s="298">
        <f>AVERAGE(D88:G88)</f>
        <v/>
      </c>
      <c r="Q88" s="298">
        <f>AVERAGE(H88:K88)</f>
        <v/>
      </c>
      <c r="R88" s="298">
        <f>AVERAGE(L88:O88)</f>
        <v/>
      </c>
    </row>
    <row r="89">
      <c r="B89" s="238" t="inlineStr">
        <is>
          <t>Core RPU</t>
        </is>
      </c>
      <c r="C89" s="256" t="inlineStr">
        <is>
          <t>$</t>
        </is>
      </c>
      <c r="D89" s="298">
        <f>'E5 Prices &amp; Fees'!$D$50*(D88/'E5 Prices &amp; Fees'!$D$45)^'E5 Prices &amp; Fees'!$D$51+IF($D$107=1,'E3 Carriers'!D$56,'E3 Carriers'!D$55)*D88+'E5 Prices &amp; Fees'!$D$48</f>
        <v/>
      </c>
      <c r="E89" s="298">
        <f>'E5 Prices &amp; Fees'!$D$50*(E88/'E5 Prices &amp; Fees'!$D$45)^'E5 Prices &amp; Fees'!$D$51+IF($D$107=1,'E3 Carriers'!E$56,'E3 Carriers'!E$55)*E88+'E5 Prices &amp; Fees'!$D$48</f>
        <v/>
      </c>
      <c r="F89" s="298">
        <f>'E5 Prices &amp; Fees'!$D$50*(F88/'E5 Prices &amp; Fees'!$D$45)^'E5 Prices &amp; Fees'!$D$51+IF($D$107=1,'E3 Carriers'!F$56,'E3 Carriers'!F$55)*F88+'E5 Prices &amp; Fees'!$D$48</f>
        <v/>
      </c>
      <c r="G89" s="298">
        <f>'E5 Prices &amp; Fees'!$D$50*(G88/'E5 Prices &amp; Fees'!$D$45)^'E5 Prices &amp; Fees'!$D$51+IF($D$107=1,'E3 Carriers'!G$56,'E3 Carriers'!G$55)*G88+'E5 Prices &amp; Fees'!$D$48</f>
        <v/>
      </c>
      <c r="H89" s="298">
        <f>'E5 Prices &amp; Fees'!$D$50*(H88/'E5 Prices &amp; Fees'!$D$45)^'E5 Prices &amp; Fees'!$D$51+IF($D$107=1,'E3 Carriers'!H$56,'E3 Carriers'!H$55)*H88+'E5 Prices &amp; Fees'!$D$48</f>
        <v/>
      </c>
      <c r="I89" s="298">
        <f>'E5 Prices &amp; Fees'!$D$50*(I88/'E5 Prices &amp; Fees'!$D$45)^'E5 Prices &amp; Fees'!$D$51+IF($D$107=1,'E3 Carriers'!I$56,'E3 Carriers'!I$55)*I88+'E5 Prices &amp; Fees'!$D$48</f>
        <v/>
      </c>
      <c r="J89" s="298">
        <f>'E5 Prices &amp; Fees'!$D$50*(J88/'E5 Prices &amp; Fees'!$D$45)^'E5 Prices &amp; Fees'!$D$51+IF($D$107=1,'E3 Carriers'!J$56,'E3 Carriers'!J$55)*J88+'E5 Prices &amp; Fees'!$D$48</f>
        <v/>
      </c>
      <c r="K89" s="298">
        <f>'E5 Prices &amp; Fees'!$D$50*(K88/'E5 Prices &amp; Fees'!$D$45)^'E5 Prices &amp; Fees'!$D$51+IF($D$107=1,'E3 Carriers'!K$56,'E3 Carriers'!K$55)*K88+'E5 Prices &amp; Fees'!$D$48</f>
        <v/>
      </c>
      <c r="L89" s="298">
        <f>'E5 Prices &amp; Fees'!$D$50*(L88/'E5 Prices &amp; Fees'!$D$45)^'E5 Prices &amp; Fees'!$D$51+IF($D$107=1,'E3 Carriers'!L$56,'E3 Carriers'!L$55)*L88+'E5 Prices &amp; Fees'!$D$48</f>
        <v/>
      </c>
      <c r="M89" s="298">
        <f>'E5 Prices &amp; Fees'!$D$50*(M88/'E5 Prices &amp; Fees'!$D$45)^'E5 Prices &amp; Fees'!$D$51+IF($D$107=1,'E3 Carriers'!M$56,'E3 Carriers'!M$55)*M88+'E5 Prices &amp; Fees'!$D$48</f>
        <v/>
      </c>
      <c r="N89" s="298">
        <f>'E5 Prices &amp; Fees'!$D$50*(N88/'E5 Prices &amp; Fees'!$D$45)^'E5 Prices &amp; Fees'!$D$51+IF($D$107=1,'E3 Carriers'!N$56,'E3 Carriers'!N$55)*N88+'E5 Prices &amp; Fees'!$D$48</f>
        <v/>
      </c>
      <c r="O89" s="298">
        <f>'E5 Prices &amp; Fees'!$D$50*(O88/'E5 Prices &amp; Fees'!$D$45)^'E5 Prices &amp; Fees'!$D$51+IF($D$107=1,'E3 Carriers'!O$56,'E3 Carriers'!O$55)*O88+'E5 Prices &amp; Fees'!$D$48</f>
        <v/>
      </c>
    </row>
    <row r="90">
      <c r="B90" s="238" t="inlineStr">
        <is>
          <t>All-in insurance RPU</t>
        </is>
      </c>
      <c r="C90" s="256" t="inlineStr">
        <is>
          <t>$</t>
        </is>
      </c>
      <c r="D90" s="298">
        <f>D89+'E5 Prices &amp; Fees'!D24</f>
        <v/>
      </c>
      <c r="E90" s="298">
        <f>E89+'E5 Prices &amp; Fees'!E24</f>
        <v/>
      </c>
      <c r="F90" s="298">
        <f>F89+'E5 Prices &amp; Fees'!F24</f>
        <v/>
      </c>
      <c r="G90" s="298">
        <f>G89+'E5 Prices &amp; Fees'!G24</f>
        <v/>
      </c>
      <c r="H90" s="298">
        <f>H89+'E5 Prices &amp; Fees'!H24</f>
        <v/>
      </c>
      <c r="I90" s="298">
        <f>I89+'E5 Prices &amp; Fees'!I24</f>
        <v/>
      </c>
      <c r="J90" s="298">
        <f>J89+'E5 Prices &amp; Fees'!J24</f>
        <v/>
      </c>
      <c r="K90" s="298">
        <f>K89+'E5 Prices &amp; Fees'!K24</f>
        <v/>
      </c>
      <c r="L90" s="298">
        <f>L89+'E5 Prices &amp; Fees'!L24</f>
        <v/>
      </c>
      <c r="M90" s="298">
        <f>M89+'E5 Prices &amp; Fees'!M24</f>
        <v/>
      </c>
      <c r="N90" s="298">
        <f>N89+'E5 Prices &amp; Fees'!N24</f>
        <v/>
      </c>
      <c r="O90" s="298">
        <f>O89+'E5 Prices &amp; Fees'!O24</f>
        <v/>
      </c>
      <c r="P90" s="298">
        <f>P91*1000/P86</f>
        <v/>
      </c>
      <c r="Q90" s="298">
        <f>Q91*1000/Q86</f>
        <v/>
      </c>
      <c r="R90" s="298">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07">
        <f>D91+D92+D93</f>
        <v/>
      </c>
      <c r="E94" s="307">
        <f>E91+E92+E93</f>
        <v/>
      </c>
      <c r="F94" s="307">
        <f>F91+F92+F93</f>
        <v/>
      </c>
      <c r="G94" s="307">
        <f>G91+G92+G93</f>
        <v/>
      </c>
      <c r="H94" s="307">
        <f>H91+H92+H93</f>
        <v/>
      </c>
      <c r="I94" s="307">
        <f>I91+I92+I93</f>
        <v/>
      </c>
      <c r="J94" s="307">
        <f>J91+J92+J93</f>
        <v/>
      </c>
      <c r="K94" s="307">
        <f>K91+K92+K93</f>
        <v/>
      </c>
      <c r="L94" s="307">
        <f>L91+L92+L93</f>
        <v/>
      </c>
      <c r="M94" s="307">
        <f>M91+M92+M93</f>
        <v/>
      </c>
      <c r="N94" s="307">
        <f>N91+N92+N93</f>
        <v/>
      </c>
      <c r="O94" s="307">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9" t="inlineStr">
        <is>
          <t>a (thesis 3)</t>
        </is>
      </c>
      <c r="E100" s="269" t="inlineStr">
        <is>
          <t>b (thesis 2)</t>
        </is>
      </c>
      <c r="F100" s="269" t="inlineStr">
        <is>
          <t>ASP growth</t>
        </is>
      </c>
      <c r="G100" s="269" t="inlineStr">
        <is>
          <t>Label</t>
        </is>
      </c>
      <c r="H100" s="269" t="inlineStr">
        <is>
          <t>coverage path</t>
        </is>
      </c>
      <c r="I100" s="308"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279">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279">
        <f>'E5 Prices &amp; Fees'!$D$44</f>
        <v/>
      </c>
      <c r="G102" s="234" t="inlineStr">
        <is>
          <t>TOGGLE / ASSUMED</t>
        </is>
      </c>
      <c r="H102" s="243" t="n">
        <v>1</v>
      </c>
    </row>
    <row r="103">
      <c r="B103" s="238" t="inlineStr">
        <is>
          <t>Case 1b — Premium-response coverage (mechanistic bull on thesis 1)</t>
        </is>
      </c>
      <c r="D103" s="243" t="n">
        <v>0</v>
      </c>
      <c r="E103" s="243" t="n">
        <v>0</v>
      </c>
      <c r="F103" s="279">
        <f>'E5 Prices &amp; Fees'!$D$44</f>
        <v/>
      </c>
      <c r="G103" s="234" t="inlineStr">
        <is>
          <t>TOGGLE / ASSUMED</t>
        </is>
      </c>
      <c r="H103" s="243" t="n">
        <v>2</v>
      </c>
    </row>
    <row r="104">
      <c r="B104" s="238" t="inlineStr">
        <is>
          <t>Thesis 2 — aftermarket substitution on case 1</t>
        </is>
      </c>
      <c r="D104" s="243" t="n">
        <v>0</v>
      </c>
      <c r="E104" s="243" t="n">
        <v>1</v>
      </c>
      <c r="F104" s="279">
        <f>'E5 Prices &amp; Fees'!$D$44</f>
        <v/>
      </c>
      <c r="G104" s="234" t="inlineStr">
        <is>
          <t>TOGGLE / ASSUMED</t>
        </is>
      </c>
      <c r="H104" s="243" t="n">
        <v>1</v>
      </c>
    </row>
    <row r="105">
      <c r="B105" s="238" t="inlineStr">
        <is>
          <t>Thesis 3 — probability-weighted carrier moves on case 1</t>
        </is>
      </c>
      <c r="D105" s="243" t="n">
        <v>1</v>
      </c>
      <c r="E105" s="243" t="n">
        <v>0</v>
      </c>
      <c r="F105" s="279">
        <f>'E5 Prices &amp; Fees'!$D$44</f>
        <v/>
      </c>
      <c r="G105" s="234" t="inlineStr">
        <is>
          <t>TOGGLE / ASSUMED</t>
        </is>
      </c>
      <c r="H105" s="243" t="n">
        <v>1</v>
      </c>
    </row>
    <row r="106">
      <c r="B106" s="238" t="inlineStr">
        <is>
          <t>All three — sticky coverage + aftermarket + carrier moves</t>
        </is>
      </c>
      <c r="D106" s="243" t="n">
        <v>1</v>
      </c>
      <c r="E106" s="243" t="n">
        <v>1</v>
      </c>
      <c r="F106" s="279">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309" t="n">
        <v>4061</v>
      </c>
      <c r="S108" s="234" t="inlineStr">
        <is>
          <t>VERIFIED, licensed report held locally, Table 3 lines 275–278</t>
        </is>
      </c>
    </row>
    <row r="109"/>
    <row r="110"/>
    <row r="111">
      <c r="B111" s="254" t="inlineStr">
        <is>
          <t>Summary — FY27 legacy service revenue by case; quote every delta, never only the larger one</t>
        </is>
      </c>
      <c r="C111" s="274"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274" t="n"/>
      <c r="K111" s="274" t="n"/>
      <c r="L111" s="274" t="n"/>
      <c r="M111" s="274" t="n"/>
      <c r="N111" s="274" t="n"/>
      <c r="O111" s="274" t="n"/>
      <c r="P111" s="274" t="n"/>
      <c r="Q111" s="274" t="n"/>
      <c r="R111" s="274" t="n"/>
      <c r="S111" s="274" t="n"/>
    </row>
    <row r="112">
      <c r="B112" s="238" t="inlineStr">
        <is>
          <t>Case 0 — Street-implied: known runoff, coverage recovery reverse-solved to JPM FY27</t>
        </is>
      </c>
      <c r="D112" s="260">
        <f>Q16</f>
        <v/>
      </c>
      <c r="E112" s="259">
        <f>D112-$D$113</f>
        <v/>
      </c>
      <c r="F112" s="259">
        <f>D112-$D$112</f>
        <v/>
      </c>
      <c r="G112" s="259">
        <f>D112-$D$108</f>
        <v/>
      </c>
      <c r="H112" s="278">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278">
        <f>G113/$D$108</f>
        <v/>
      </c>
      <c r="I113" s="259">
        <f>R29</f>
        <v/>
      </c>
    </row>
    <row r="114">
      <c r="B114" s="238" t="inlineStr">
        <is>
          <t>Case 1b — Premium-response coverage (mechanistic bull on thesis 1)</t>
        </is>
      </c>
      <c r="D114" s="260">
        <f>Q42</f>
        <v/>
      </c>
      <c r="E114" s="259">
        <f>D114-$D$113</f>
        <v/>
      </c>
      <c r="F114" s="259">
        <f>D114-$D$112</f>
        <v/>
      </c>
      <c r="G114" s="259">
        <f>D114-$D$108</f>
        <v/>
      </c>
      <c r="H114" s="278">
        <f>G114/$D$108</f>
        <v/>
      </c>
      <c r="I114" s="259">
        <f>R42</f>
        <v/>
      </c>
    </row>
    <row r="115">
      <c r="B115" s="238" t="inlineStr">
        <is>
          <t>Thesis 2 — aftermarket substitution on case 1</t>
        </is>
      </c>
      <c r="D115" s="260">
        <f>Q55</f>
        <v/>
      </c>
      <c r="E115" s="259">
        <f>D115-$D$113</f>
        <v/>
      </c>
      <c r="F115" s="259">
        <f>D115-$D$112</f>
        <v/>
      </c>
      <c r="G115" s="259">
        <f>D115-$D$108</f>
        <v/>
      </c>
      <c r="H115" s="278">
        <f>G115/$D$108</f>
        <v/>
      </c>
      <c r="I115" s="259">
        <f>R55</f>
        <v/>
      </c>
    </row>
    <row r="116">
      <c r="B116" s="238" t="inlineStr">
        <is>
          <t>Thesis 3 — probability-weighted carrier moves on case 1</t>
        </is>
      </c>
      <c r="D116" s="260">
        <f>Q68</f>
        <v/>
      </c>
      <c r="E116" s="259">
        <f>D116-$D$113</f>
        <v/>
      </c>
      <c r="F116" s="259">
        <f>D116-$D$112</f>
        <v/>
      </c>
      <c r="G116" s="259">
        <f>D116-$D$108</f>
        <v/>
      </c>
      <c r="H116" s="278">
        <f>G116/$D$108</f>
        <v/>
      </c>
      <c r="I116" s="259">
        <f>R68</f>
        <v/>
      </c>
    </row>
    <row r="117">
      <c r="B117" s="238" t="inlineStr">
        <is>
          <t>All three — sticky coverage + aftermarket + carrier moves</t>
        </is>
      </c>
      <c r="D117" s="260">
        <f>Q81</f>
        <v/>
      </c>
      <c r="E117" s="259">
        <f>D117-$D$113</f>
        <v/>
      </c>
      <c r="F117" s="259">
        <f>D117-$D$112</f>
        <v/>
      </c>
      <c r="G117" s="259">
        <f>D117-$D$108</f>
        <v/>
      </c>
      <c r="H117" s="278">
        <f>G117/$D$108</f>
        <v/>
      </c>
      <c r="I117" s="259">
        <f>R81</f>
        <v/>
      </c>
    </row>
    <row r="118">
      <c r="B118" s="238" t="inlineStr">
        <is>
          <t>Bull — premium-response coverage, ASP +6%</t>
        </is>
      </c>
      <c r="D118" s="260">
        <f>Q94</f>
        <v/>
      </c>
      <c r="E118" s="259">
        <f>D118-$D$113</f>
        <v/>
      </c>
      <c r="F118" s="259">
        <f>D118-$D$112</f>
        <v/>
      </c>
      <c r="G118" s="259">
        <f>D118-$D$108</f>
        <v/>
      </c>
      <c r="H118" s="278">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10">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10">
        <f>SUMIFS('D Engine'!$D$5:$D$20,'D Engine'!$B$5:$B$20,14)-D120</f>
        <v/>
      </c>
      <c r="E122" s="260">
        <f>E115</f>
        <v/>
      </c>
      <c r="F122" s="234" t="inlineStr">
        <is>
          <t>← workbook thesis 2 − case 1</t>
        </is>
      </c>
    </row>
    <row r="123">
      <c r="B123" s="272"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274" t="n"/>
      <c r="D125" s="274" t="n"/>
      <c r="E125" s="274" t="n"/>
      <c r="F125" s="274" t="n"/>
      <c r="G125" s="274" t="n"/>
      <c r="H125" s="274" t="n"/>
      <c r="I125" s="274" t="n"/>
      <c r="J125" s="274" t="n"/>
      <c r="K125" s="274" t="n"/>
      <c r="L125" s="274" t="n"/>
      <c r="M125" s="274" t="n"/>
      <c r="N125" s="274" t="n"/>
      <c r="O125" s="274" t="n"/>
      <c r="P125" s="274" t="n"/>
      <c r="Q125" s="274" t="n"/>
      <c r="R125" s="274" t="n"/>
      <c r="S125" s="274"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285">
        <f>CHOOSE($D$3,D8,D21,D34,D47,D60,D73,D86)</f>
        <v/>
      </c>
      <c r="E128" s="285">
        <f>CHOOSE($D$3,E8,E21,E34,E47,E60,E73,E86)</f>
        <v/>
      </c>
      <c r="F128" s="285">
        <f>CHOOSE($D$3,F8,F21,F34,F47,F60,F73,F86)</f>
        <v/>
      </c>
      <c r="G128" s="285">
        <f>CHOOSE($D$3,G8,G21,G34,G47,G60,G73,G86)</f>
        <v/>
      </c>
      <c r="H128" s="285">
        <f>CHOOSE($D$3,H8,H21,H34,H47,H60,H73,H86)</f>
        <v/>
      </c>
      <c r="I128" s="285">
        <f>CHOOSE($D$3,I8,I21,I34,I47,I60,I73,I86)</f>
        <v/>
      </c>
      <c r="J128" s="285">
        <f>CHOOSE($D$3,J8,J21,J34,J47,J60,J73,J86)</f>
        <v/>
      </c>
      <c r="K128" s="285">
        <f>CHOOSE($D$3,K8,K21,K34,K47,K60,K73,K86)</f>
        <v/>
      </c>
      <c r="L128" s="285">
        <f>CHOOSE($D$3,L8,L21,L34,L47,L60,L73,L86)</f>
        <v/>
      </c>
      <c r="M128" s="285">
        <f>CHOOSE($D$3,M8,M21,M34,M47,M60,M73,M86)</f>
        <v/>
      </c>
      <c r="N128" s="285">
        <f>CHOOSE($D$3,N8,N21,N34,N47,N60,N73,N86)</f>
        <v/>
      </c>
      <c r="O128" s="285">
        <f>CHOOSE($D$3,O8,O21,O34,O47,O60,O73,O86)</f>
        <v/>
      </c>
      <c r="P128" s="285">
        <f>CHOOSE($D$3,P8,P21,P34,P47,P60,P73,P86)</f>
        <v/>
      </c>
      <c r="Q128" s="285">
        <f>CHOOSE($D$3,Q8,Q21,Q34,Q47,Q60,Q73,Q86)</f>
        <v/>
      </c>
      <c r="R128" s="285">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00">
        <f>CHOOSE($D$3,D12,D25,D38,D51,D64,D77,D90)</f>
        <v/>
      </c>
      <c r="E130" s="300">
        <f>CHOOSE($D$3,E12,E25,E38,E51,E64,E77,E90)</f>
        <v/>
      </c>
      <c r="F130" s="300">
        <f>CHOOSE($D$3,F12,F25,F38,F51,F64,F77,F90)</f>
        <v/>
      </c>
      <c r="G130" s="300">
        <f>CHOOSE($D$3,G12,G25,G38,G51,G64,G77,G90)</f>
        <v/>
      </c>
      <c r="H130" s="300">
        <f>CHOOSE($D$3,H12,H25,H38,H51,H64,H77,H90)</f>
        <v/>
      </c>
      <c r="I130" s="300">
        <f>CHOOSE($D$3,I12,I25,I38,I51,I64,I77,I90)</f>
        <v/>
      </c>
      <c r="J130" s="300">
        <f>CHOOSE($D$3,J12,J25,J38,J51,J64,J77,J90)</f>
        <v/>
      </c>
      <c r="K130" s="300">
        <f>CHOOSE($D$3,K12,K25,K38,K51,K64,K77,K90)</f>
        <v/>
      </c>
      <c r="L130" s="300">
        <f>CHOOSE($D$3,L12,L25,L38,L51,L64,L77,L90)</f>
        <v/>
      </c>
      <c r="M130" s="300">
        <f>CHOOSE($D$3,M12,M25,M38,M51,M64,M77,M90)</f>
        <v/>
      </c>
      <c r="N130" s="300">
        <f>CHOOSE($D$3,N12,N25,N38,N51,N64,N77,N90)</f>
        <v/>
      </c>
      <c r="O130" s="300">
        <f>CHOOSE($D$3,O12,O25,O38,O51,O64,O77,O90)</f>
        <v/>
      </c>
      <c r="P130" s="300">
        <f>CHOOSE($D$3,P12,P25,P38,P51,P64,P77,P90)</f>
        <v/>
      </c>
      <c r="Q130" s="300">
        <f>CHOOSE($D$3,Q12,Q25,Q38,Q51,Q64,Q77,Q90)</f>
        <v/>
      </c>
      <c r="R130" s="300">
        <f>CHOOSE($D$3,R12,R25,R38,R51,R64,R77,R90)</f>
        <v/>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11" t="inlineStr">
        <is>
          <t>Jefferies</t>
        </is>
      </c>
      <c r="E4" s="311" t="inlineStr">
        <is>
          <t>BNP Paribas</t>
        </is>
      </c>
      <c r="F4" s="311" t="inlineStr">
        <is>
          <t>J.P. Morgan</t>
        </is>
      </c>
      <c r="G4" s="311" t="inlineStr">
        <is>
          <t>BofA Global Research</t>
        </is>
      </c>
      <c r="H4" s="311" t="inlineStr">
        <is>
          <t>Stephens Inc.</t>
        </is>
      </c>
      <c r="I4" s="311" t="inlineStr">
        <is>
          <t>Barclays</t>
        </is>
      </c>
      <c r="J4" s="311" t="inlineStr">
        <is>
          <t>HSBC Global Investment Resea</t>
        </is>
      </c>
      <c r="K4" s="311" t="inlineStr">
        <is>
          <t>BNP Paribas</t>
        </is>
      </c>
      <c r="L4" s="311" t="inlineStr">
        <is>
          <t>Barclays</t>
        </is>
      </c>
      <c r="M4" s="311" t="inlineStr">
        <is>
          <t>J.P. Morgan Securities LLC</t>
        </is>
      </c>
    </row>
    <row r="5" ht="15" customHeight="1">
      <c r="B5" s="238" t="inlineStr">
        <is>
          <t>Report date</t>
        </is>
      </c>
      <c r="D5" s="312" t="inlineStr">
        <is>
          <t>2026-06-29 (line 5, repeated on every page header e.g. lines 75, 85); recommendation published and distributed June 29, 2026 at 18:36 (lines 112-113); rating/PT history chart dated as of 06-29-2026 (line 164).</t>
        </is>
      </c>
      <c r="E5" s="312" t="inlineStr">
        <is>
          <t>2026-07-06 (line 17; price basis close 1 July 2026 USD28.8, line 63; production 17:38 London, line 19)</t>
        </is>
      </c>
      <c r="F5" s="312" t="inlineStr">
        <is>
          <t>2026-07-06</t>
        </is>
      </c>
      <c r="G5" s="312" t="inlineStr">
        <is>
          <t>2026-07-28 (dated 28 July 2026 at line 68; timestamp 28 July 2026 05:00AM EDT at line 118; page headers lines 123, 235, 248). VERIFIED.</t>
        </is>
      </c>
      <c r="H5" s="312" t="inlineStr">
        <is>
          <t>2026-08-19</t>
        </is>
      </c>
      <c r="I5" s="312" t="inlineStr">
        <is>
          <t>2026-08-25 (dateline line 44; completed 25-Aug-26 00:51 GMT, released 25-Aug-26 10:00 GMT, line 58). Pricing and Bloomberg consensus as of 24-Aug-2026 (lines 131-132, 134, 279, 323-324, 336, 505, 641).</t>
        </is>
      </c>
      <c r="J5" s="312" t="inlineStr">
        <is>
          <t>10 September 2026 (lines 52, 78, 101, 147, 217, 246, 267); produced and signed off 11 Sep 2026 00:16 GMT (line 259); cover says priced as of 10 Sep 2026 at USD30.75 (lines 17-18; disclosure checklist line 174 repeats 30.75 / 10 Sep 2026), while the boilerplate</t>
        </is>
      </c>
      <c r="K5" s="312" t="inlineStr">
        <is>
          <t>2026-09-11 (line 20; production time 18:27 London, line 22); prices as of 10 Sep 2026 close $30.8 (lines 65, 546-547); model update dated 11 Sep 26 (line 651). Post-FQ4 FY26 earnings note (FQ4 FY26 = May-Jul 2026 quarter ended 31 Jul 2026). Results-release dat</t>
        </is>
      </c>
      <c r="L5" s="312" t="inlineStr">
        <is>
          <t>2026-09-11 (dated 11 September 2026, line 45; completed 11-Sep-26 02:23 GMT, released 11-Sep-26 10:00 GMT, line 77; prices as of 10-Sep-2026 close, lines 53, 256, 258). CONFIRMED.</t>
        </is>
      </c>
      <c r="M5" s="312"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12" t="inlineStr">
        <is>
          <t xml:space="preserve">Analyst rating: BUY (line 58). Price $28.10, prior trading day's close (line 59; footnote lines 65-66). Price target $45.00, +60% to PT (line 60; arithmetic checks: 45.00/28.10 = 1.60). 52-week high-low $50.11-$28.08 (line 61), so the stock is within $0.02 of </t>
        </is>
      </c>
      <c r="E6" s="312"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12" t="inlineStr">
        <is>
          <t>Neutral (unchanged; lines 10, 69, 265). Price target cut to $32 (Dec-2027 horizon) from $35 (Dec-2026 horizon) (lines 13-14, 42, 265-266; down-arrow marker at line 13). Method: 50/50 blend of ~15x FY28E EBITDA (vs ~18x long-term average) and ~20x FY27E EPS (vs</t>
        </is>
      </c>
      <c r="G6" s="312" t="inlineStr">
        <is>
          <t>Reiterate BUY; price objective USD 123.00 (unchanged; date established 14-Jan-2026); price USD 116.35; Investment Opinion B-1-7 (lines 16, 95-98). PO basis: 16x 2026E EV/EBITDA, near the middle of a 10-22x historical range (lines 51, 253-254). Estimate changes</t>
        </is>
      </c>
      <c r="H6" s="312" t="inlineStr">
        <is>
          <t xml:space="preserve">Equal-Weight, $35.00 price target, no change in this note (Changes table shows '--' as previous for both rating and PT; lines 6-8; rating also line 46). Price at publication $31.51 (line 9); 52-week high $50.11 / low $26.81 (lines 11-12). Valuation method: PT </t>
        </is>
      </c>
      <c r="I6" s="312" t="inlineStr">
        <is>
          <t>CPRT: Underweight (unchanged), price target cut to $25 from $26 (-4%), based on 10x EV/EBITDA applied to Barclays' FY2026 (Jul year-end) forecast; stock $33.26 on 24-Aug-2026, implying -24.8%. Upside scenario $55 (25x EV/EBITDA on 2026), downside $21 (8x on 20</t>
        </is>
      </c>
      <c r="J6" s="312" t="inlineStr">
        <is>
          <t>Buy, target price USD46.00, share price USD30.75 (line 17). Rating history: N/A to Hold 04 Dec 2023; Hold to Buy 04 Sep 2025, both Wesley Brooks (lines 154-155). TP history: 51.00 (04 Dec 2023), 56.00 (11 Dec 2024), 62.00 (04 Sep 2025), 46.00 (20 Feb 2026) (li</t>
        </is>
      </c>
      <c r="K6" s="312" t="inlineStr">
        <is>
          <t>Outperform, 12-month TP $40 unchanged, 30% upside on cover (line 11) / 31% in thesis text (line 105); lines 10-11, 43, 105, 332, 547. TP = 17.5x EV/EBIT (multiple unchanged) applied to FY29E EBIT $2,063m, rolled forward from the PRIOR FY28E EBIT of $1,868m (th</t>
        </is>
      </c>
      <c r="L6" s="312" t="inlineStr">
        <is>
          <t xml:space="preserve">Underweight, unchanged (lines 47-48); industry view U.S. Auto Retail Neutral, unchanged (lines 49-50). Price target $25.00, unchanged (lines 51-52, 104, 109); price $30.75 at 10-Sep-26 close (line 53); potential downside -18.7% (line 54; arithmetic 25/30.75-1 </t>
        </is>
      </c>
      <c r="M6" s="312"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12" t="inlineStr">
        <is>
          <t>not disclosed</t>
        </is>
      </c>
      <c r="E7" s="312" t="inlineStr">
        <is>
          <t>not disclosed</t>
        </is>
      </c>
      <c r="F7" s="309" t="n">
        <v>3932</v>
      </c>
      <c r="G7" s="312" t="inlineStr">
        <is>
          <t>not disclosed</t>
        </is>
      </c>
      <c r="H7" s="312" t="inlineStr">
        <is>
          <t>not disclosed</t>
        </is>
      </c>
      <c r="I7" s="312" t="inlineStr">
        <is>
          <t>not disclosed</t>
        </is>
      </c>
      <c r="J7" s="312" t="inlineStr">
        <is>
          <t>not disclosed</t>
        </is>
      </c>
      <c r="K7" s="312" t="inlineStr">
        <is>
          <t>not disclosed</t>
        </is>
      </c>
      <c r="L7" s="312" t="inlineStr">
        <is>
          <t>not disclosed</t>
        </is>
      </c>
      <c r="M7" s="309" t="n">
        <v>4061</v>
      </c>
    </row>
    <row r="8" ht="15" customHeight="1">
      <c r="B8" s="238" t="inlineStr">
        <is>
          <t>FY27E purchased-vehicle revenue ($M)</t>
        </is>
      </c>
      <c r="D8" s="312" t="inlineStr">
        <is>
          <t>not disclosed</t>
        </is>
      </c>
      <c r="E8" s="312" t="inlineStr">
        <is>
          <t>not disclosed</t>
        </is>
      </c>
      <c r="F8" s="309" t="n">
        <v>710</v>
      </c>
      <c r="G8" s="312" t="inlineStr">
        <is>
          <t>not disclosed</t>
        </is>
      </c>
      <c r="H8" s="312" t="inlineStr">
        <is>
          <t>not disclosed</t>
        </is>
      </c>
      <c r="I8" s="312" t="inlineStr">
        <is>
          <t>not disclosed</t>
        </is>
      </c>
      <c r="J8" s="312" t="inlineStr">
        <is>
          <t>not disclosed</t>
        </is>
      </c>
      <c r="K8" s="312" t="inlineStr">
        <is>
          <t>not disclosed</t>
        </is>
      </c>
      <c r="L8" s="312" t="inlineStr">
        <is>
          <t>not disclosed</t>
        </is>
      </c>
      <c r="M8" s="309" t="n">
        <v>721</v>
      </c>
    </row>
    <row r="9" ht="15" customHeight="1">
      <c r="B9" s="238" t="inlineStr">
        <is>
          <t>FY27E total revenue ($M)</t>
        </is>
      </c>
      <c r="D9" s="312" t="inlineStr">
        <is>
          <t>not disclosed</t>
        </is>
      </c>
      <c r="E9" s="309" t="n">
        <v>4800</v>
      </c>
      <c r="F9" s="309" t="n">
        <v>4643</v>
      </c>
      <c r="G9" s="309" t="n">
        <v>5338.9</v>
      </c>
      <c r="H9" s="312" t="inlineStr">
        <is>
          <t>not disclosed</t>
        </is>
      </c>
      <c r="I9" s="309" t="n">
        <v>4759</v>
      </c>
      <c r="J9" s="312" t="inlineStr">
        <is>
          <t>not disclosed</t>
        </is>
      </c>
      <c r="K9" s="309" t="n">
        <v>4891</v>
      </c>
      <c r="L9" s="309" t="n">
        <v>4768</v>
      </c>
      <c r="M9" s="309" t="n">
        <v>4782</v>
      </c>
    </row>
    <row r="10" ht="15" customHeight="1">
      <c r="B10" s="238" t="inlineStr">
        <is>
          <t>FY28E total revenue ($M)</t>
        </is>
      </c>
      <c r="D10" s="312" t="inlineStr">
        <is>
          <t>not disclosed</t>
        </is>
      </c>
      <c r="E10" s="309" t="n">
        <v>5123</v>
      </c>
      <c r="F10" s="309" t="n">
        <v>4870</v>
      </c>
      <c r="G10" s="309" t="n">
        <v>5998.8</v>
      </c>
      <c r="H10" s="312" t="inlineStr">
        <is>
          <t>not disclosed</t>
        </is>
      </c>
      <c r="I10" s="309" t="n">
        <v>4939</v>
      </c>
      <c r="J10" s="312" t="inlineStr">
        <is>
          <t>not disclosed</t>
        </is>
      </c>
      <c r="K10" s="309" t="n">
        <v>5240</v>
      </c>
      <c r="L10" s="309" t="n">
        <v>4948</v>
      </c>
      <c r="M10" s="309" t="n">
        <v>5067</v>
      </c>
    </row>
    <row r="11" ht="75" customHeight="1">
      <c r="B11" s="238" t="inlineStr">
        <is>
          <t>Lost account: carrier named?</t>
        </is>
      </c>
      <c r="D11" s="312" t="inlineStr">
        <is>
          <t>not named (no lost account described; Progressive is named only as IAA's top insurance partner gaining market share, lines 32-33 and 36; grep for GEICO, State Farm, Allstate, USAA, customer returns no hits)</t>
        </is>
      </c>
      <c r="E11" s="312" t="inlineStr">
        <is>
          <t>not named</t>
        </is>
      </c>
      <c r="F11" s="312" t="inlineStr">
        <is>
          <t>PGR (Progressive) — JPM's own inference, worded as likely referring to PGR in JPM's view (line 59); management did not name the carrier in the text as extracted. Grep confirms no mention of GEICO, State Farm, Allstate or any other carrier name; "Progressive" a</t>
        </is>
      </c>
      <c r="G11" s="312" t="inlineStr">
        <is>
          <t>not named (no Copart lost account is discussed; the only carrier named anywhere is Progressive, cited as an IAA volume win, lines 47-48; grep for GEICO, State Farm, Allstate, USAA returns nothing). VERIFIED.</t>
        </is>
      </c>
      <c r="H11" s="312" t="inlineStr">
        <is>
          <t>not named</t>
        </is>
      </c>
      <c r="I11" s="312" t="inlineStr">
        <is>
          <t>not named (described only as RBA's largest auto insurer / largest customer / largest automotive insurance customer; lines 32, 67, 69, 102)</t>
        </is>
      </c>
      <c r="J11" s="312" t="inlineStr">
        <is>
          <t>not named</t>
        </is>
      </c>
      <c r="K11" s="312"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12" t="inlineStr">
        <is>
          <t>not named (described only as one of the largest auto insurers, line 95; details deferred to a prior Barclays report, line 95). CONFIRMED: case-insensitive grep for Progressive, GEICO, State Farm, Allstate returns nothing.</t>
        </is>
      </c>
      <c r="M11" s="312" t="inlineStr">
        <is>
          <t>PGR (ticker only, line 49; the only occurrence in the file -- 'Progressive' has zero hits; PGR is Progressive Corp's ticker, a gloss not in the source)</t>
        </is>
      </c>
    </row>
    <row r="12" ht="75" customHeight="1">
      <c r="B12" s="238" t="inlineStr">
        <is>
          <t>US insurance units / assignments</t>
        </is>
      </c>
      <c r="D12" s="312"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12" t="inlineStr">
        <is>
          <t>Not quantified anywhere in the note. Qualitative only: (a) management, in the 6 Jul 2026 intraquarter sell-side Q&amp;A, kept pointing to secular headwinds as a challenge to a volume recovery (lines 29-30); (b) analyst's standing investment case assumes a multi-ye</t>
        </is>
      </c>
      <c r="F12" s="312" t="inlineStr">
        <is>
          <t>Not quantified (verified by grep: no unit, assignment or volume growth figure anywhere; the only volume-related numbers are whole car &lt;20% of US volumes at line 50 and the Figure 1 share labels). JPM cut F4Q26E/FY27E EPS to 0.37/1.55 (from 0.38/1.63) citing lo</t>
        </is>
      </c>
      <c r="G12" s="312" t="inlineStr">
        <is>
          <t>Copart US insurance units: NOT DISCLOSED (grep: 'unit' appears only inside 'opportunity' and 'United Rentals'; 'assignment' absent). What the source gives is the IAA (RB Global) side, qualitatively: IAA's lost auto-salvage market share is put at 38% today vers</t>
        </is>
      </c>
      <c r="H12" s="312" t="inlineStr">
        <is>
          <t>Not disclosed (confirmed by grep: 'unit' appears only at lines 179, 181, 195 plus boilerplate line 240; 'assignment' zero hits). No US insurance unit or assignment growth path, driver discussion or recovery timing. The only related content is in the standing r</t>
        </is>
      </c>
      <c r="I12" s="312"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12" t="inlineStr">
        <is>
          <t>Not disclosed for FY27 (confirmed by grep: unit/volume/assignment hits only at lines 13, 20-21, 32-33). No forward growth path, driver decomposition or recovery timing. Actuals only: US insurance units -7.5% y-o-y in 4Q FY26 (lines 21, 32-33); global insurance</t>
        </is>
      </c>
      <c r="K12" s="312" t="inlineStr">
        <is>
          <t>No US insurance unit or assignment growth number is given for any period (grep 'unit', 'volume', 'assignment' confirms). The only volume forecast is global volume growth (line 299): FY21 -0.7%, FY22 +13.8%, FY23 +5.0%, FY24 +9.8%, FY25 +4.8%, FY26 -5.5% (preli</t>
        </is>
      </c>
      <c r="L12" s="312"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12"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12" t="inlineStr">
        <is>
          <t>No number. Analyst expects volume stabilization to be supported by higher ASPs, attributed to CPRT's robust international buyer pool and network liquidity (lines 44-45, "We expect"). "ASP" appears only on line 45; no YoY ASP assumption, used-car price link (gr</t>
        </is>
      </c>
      <c r="E13" s="312"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12"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12" t="inlineStr">
        <is>
          <t>NOT DISCLOSED. No US insurance ASP, used-vehicle price, or salvage-price assumption appears anywhere in the text (grep for ASP, 'average selling', 'selling price', Manheim returns nothing; 'price' occurs only as share price, price objective and iQmethod defini</t>
        </is>
      </c>
      <c r="H13" s="312" t="inlineStr">
        <is>
          <t>Not disclosed (confirmed: 'ASP' and 'average selling' zero hits). No US insurance ASP figure, YoY path or driver appears. Macro variables such as used-car values, labor rates, auto-part inflation and availability, non-discretionary inflation, miles driven, and</t>
        </is>
      </c>
      <c r="I13" s="312" t="inlineStr">
        <is>
          <t>Not disclosed. Case-insensitive grep for 'ASP', 'average selling', 'selling price', 'used car', 'used vehicle', 'Manheim' returns nothing; 'mix' appears only in an RBA take-rate risk (line 468). No US insurance ASP, salvage-vehicle price, used-car price, or mi</t>
        </is>
      </c>
      <c r="J13" s="312" t="inlineStr">
        <is>
          <t>No forward assumption (grep ASP: lines 14, 21-22, 31 only, all actuals). US insurance ASP +3.7% y-o-y in 4Q FY26 (lines 22, 31). Total ASP growth decelerated to 3.1% y-o-y from 4.6% in 3Q (lines 21-22), though line 31 separately states overall ASPs +4.2% (inte</t>
        </is>
      </c>
      <c r="K13" s="312" t="inlineStr">
        <is>
          <t>Not disclosed. No ASP growth number for any period ('ASP' appears once, line 226, qualitatively; no 'average selling price' or 'selling price' hits). Related qualitative points: combining ACV's inspection/condition data and AI valuation tools with Copart's dat</t>
        </is>
      </c>
      <c r="L13" s="312" t="inlineStr">
        <is>
          <t>Not disclosed. CONFIRMED by case-insensitive grep: no hits for ASP, average selling, used vehicle, used-vehicle; 'pric' hits are stock/target-price references (lines 30, 51, 53, 64, 104, 109, 192-193, 255-260, 329, 356-358, 393-403, 412-415, 424, 434-444, 453-</t>
        </is>
      </c>
      <c r="M13" s="312"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12"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12" t="inlineStr">
        <is>
          <t>Not disclosed. Zero grep hits for RPU, revenue per unit, take rate, fee, Title Express; 'delivery' appears only in legal boilerplate (lines 369, 457). "Tech services" is named only as an area of stepped-up investment (line 35).</t>
        </is>
      </c>
      <c r="F14" s="312" t="inlineStr">
        <is>
          <t>Not disclosed (grep for RPU, revenue per unit, take rate, Title Express, delivery, aftermarket returns nothing; "fee" appears only at line 273). No fee increase, service revenue per unit, Title Express, delivery/transportation or other ancillary-service revenu</t>
        </is>
      </c>
      <c r="G14" s="312" t="inlineStr">
        <is>
          <t>NOT DISCLOSED. No take rate, fee, revenue-per-unit, Title Express, delivery or other-services assumption appears (grep for fee, RPU, 'revenue per', 'take rate', 'Title Express', delivery returns nothing in the report body; 'delivery' occurs only in legal boile</t>
        </is>
      </c>
      <c r="H14" s="312" t="inlineStr">
        <is>
          <t>Not disclosed (confirmed: 'RPU', 'revenue per', 'take rate', 'take-rate', 'Title Express', 'deliver' zero hits; 'fee' hits only 'feel' at line 104 and boilerplate 'fees and expenses' at line 244). No take-rate, fee-increase, service revenue-per-unit, Title Exp</t>
        </is>
      </c>
      <c r="I14" s="312"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12" t="inlineStr">
        <is>
          <t>Not disclosed (grep fee, take rate, RPU, revenue per, Title Express, deliver: no hits). The only related item is that costs per vehicle rose 13% y-o-y due to investment in new products and capacity expansion (lines 25-26), a cost statement, not a fee or RPU st</t>
        </is>
      </c>
      <c r="K14" s="312" t="inlineStr">
        <is>
          <t>Not quantified. Analyst raises top line partly on RPU improvement, aided by long-haul transport investments (lines 282-283); long-haul investments are 'likely translating' to RPU growth (lines 181-182); ACV could see higher RPU from Copart's buyer base (line 1</t>
        </is>
      </c>
      <c r="L14" s="312"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12"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12"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12"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12"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12"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12"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12" t="inlineStr">
        <is>
          <t>Not disclosed. Grep for 'international', 'Europe', 'Germany', 'UK', 'Canada', 'Brazil', 'Spain' hits only distribution disclaimers (lines 776-869). No international unit, revenue or growth assumption for CPRT.</t>
        </is>
      </c>
      <c r="J15" s="312" t="inlineStr">
        <is>
          <t>No forward assumption (grep international: lines 33, 35 only). Actuals for 4Q FY26: international insurance units +11% y-o-y (line 33); international vehicle (purchased) sales +6.6% y-o-y (lines 35-36).</t>
        </is>
      </c>
      <c r="K15" s="312" t="inlineStr">
        <is>
          <t>No forward international growth number. Q4 FY26 actual: international units +10%, international insurance units +11.2% (lines 41-42, 267-268). Management keen to expand in existing international markets and enter new ones including the rest of Europe (lines 26</t>
        </is>
      </c>
      <c r="L15" s="312"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12"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12" t="inlineStr">
        <is>
          <t>Unclear / not mentioned. Grep "ACV" and "acqui" return no hits; the file contains no reference to ACV Auctions or any specific acquisition. The only adjacent content is management listing wholesale (line 19), whole-car business (line 29) and wholecar (line 56)</t>
        </is>
      </c>
      <c r="E16" s="312"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12"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12"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12"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12"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12"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12"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12"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12"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12" t="inlineStr">
        <is>
          <t>No total-loss frequency, repair-cost or aftermarket-parts commentary (grep "total loss", "total-loss", "frequency", "severity": none; the "Automotive Aftermarket" label on line 2 is the Jefferies sector header). Claims-frequency related: analyst says moderatin</t>
        </is>
      </c>
      <c r="E17" s="312" t="inlineStr">
        <is>
          <t>No aftermarket-parts, repair-cost or claims-severity commentary (zero grep hits for aftermarket, repair, severity; 'parts' only in peer names, lines 171, 197, 631). Total-loss frequency appears only directionally: investment case assumes loss rates revert towa</t>
        </is>
      </c>
      <c r="F17" s="312" t="inlineStr">
        <is>
          <t>No aftermarket parts commentary, no total-loss frequency numbers, no claims-frequency numbers, no repair-cost inflation figures (grep for aftermarket / total loss / total-loss returns nothing). Qualitative only: long-term thesis cites rising miles driven and a</t>
        </is>
      </c>
      <c r="G17" s="312"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12" t="inlineStr">
        <is>
          <t>Not disclosed (confirmed: 'aftermarket', 'total loss', 'frequency' zero hits; 'claims' only at line 145 re EvolutionIQ). No total-loss frequency, repair-cost, claims-frequency or aftermarket-parts figures or trend commentary. The repair-vs-total decision is de</t>
        </is>
      </c>
      <c r="I17" s="312" t="inlineStr">
        <is>
          <t>Not disclosed. Grep for 'aftermarket', 'total loss', 'total-loss', 'repair', 'parts', 'frequency' returns nothing; 'accident' appears only in an RBA risk factor. Nearest references: North American industry fundamentals described as challenged (lines 287-288, 3</t>
        </is>
      </c>
      <c r="J17" s="312" t="inlineStr">
        <is>
          <t>US total-loss frequency described as remaining elevated at 23.3% in 4Q FY26 (line 23); no prior-period comparison or forward assumption given. No aftermarket parts, repair-cost or claims-frequency commentary (grep aftermarket, parts, repair, claim: no hits).</t>
        </is>
      </c>
      <c r="K17" s="312" t="inlineStr">
        <is>
          <t>No aftermarket-parts or repair-cost commentary (grep 'aftermarket' returns nothing) and no total-loss-frequency figures. Total-loss rates appear only qualitatively: the key debate on sustainability of industry total-loss rates and RPU (lines 98-99); the ration</t>
        </is>
      </c>
      <c r="L17" s="312" t="inlineStr">
        <is>
          <t>Not disclosed. CONFIRMED by case-insensitive grep: zero hits for total loss, total-loss, repair, aftermarket, used vehicle, hurricane, catastroph, Manheim; 'claims' hits only the legal disclaimer (line 482). The only industry commentary is qualitative: industr</t>
        </is>
      </c>
      <c r="M17" s="312"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13" t="n">
        <v>2</v>
      </c>
      <c r="E18" s="313" t="n">
        <v>1</v>
      </c>
      <c r="F18" s="313" t="n">
        <v>6</v>
      </c>
      <c r="G18" s="313" t="n">
        <v>4</v>
      </c>
      <c r="H18" s="313" t="n">
        <v>1</v>
      </c>
      <c r="I18" s="313" t="n">
        <v>25</v>
      </c>
      <c r="J18" s="313" t="n">
        <v>3</v>
      </c>
      <c r="K18" s="313" t="n">
        <v>2</v>
      </c>
      <c r="L18" s="313" t="n">
        <v>3</v>
      </c>
      <c r="M18" s="313" t="n">
        <v>6</v>
      </c>
    </row>
    <row r="20">
      <c r="B20" s="242" t="inlineStr">
        <is>
          <t>Model FY27E legacy service revenue, selected case</t>
        </is>
      </c>
      <c r="C20" s="256" t="inlineStr">
        <is>
          <t>$M</t>
        </is>
      </c>
      <c r="D20" s="303">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148"/>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D95</t>
        </is>
      </c>
      <c r="D11" s="238" t="inlineStr">
        <is>
          <t>Vehicles in operation, 2024 (thousands)</t>
        </is>
      </c>
      <c r="E11" s="237" t="n">
        <v>292000</v>
      </c>
      <c r="F11" s="234" t="inlineStr">
        <is>
          <t>UNVERIFIED</t>
        </is>
      </c>
      <c r="G11" s="234" t="inlineStr">
        <is>
          <t>Experian figure on disk per PROVENANCE (file to be cited); the recalled S&amp;P 289M is retired</t>
        </is>
      </c>
    </row>
    <row r="12">
      <c r="B12" s="238" t="inlineStr">
        <is>
          <t>E1 Fleet</t>
        </is>
      </c>
      <c r="C12" s="238" t="inlineStr">
        <is>
          <t>D96</t>
        </is>
      </c>
      <c r="D12" s="238" t="inlineStr">
        <is>
          <t>Share aged 7+, 2024</t>
        </is>
      </c>
      <c r="E12" s="237" t="n">
        <v>0.66</v>
      </c>
      <c r="F12" s="234" t="inlineStr">
        <is>
          <t>UNVERIFIED</t>
        </is>
      </c>
      <c r="G12" s="234" t="inlineStr">
        <is>
          <t>recalled S&amp;P Global Mobility release; not on disk</t>
        </is>
      </c>
    </row>
    <row r="13">
      <c r="B13" s="238" t="inlineStr">
        <is>
          <t>E1 Fleet</t>
        </is>
      </c>
      <c r="C13" s="238" t="inlineStr">
        <is>
          <t>D97</t>
        </is>
      </c>
      <c r="D13" s="238" t="inlineStr">
        <is>
          <t>Body factor: Car (claims per vehicle vs common curve)</t>
        </is>
      </c>
      <c r="E13" s="237" t="n">
        <v>1.11</v>
      </c>
      <c r="F13" s="234" t="inlineStr">
        <is>
          <t>CALIBRATED</t>
        </is>
      </c>
      <c r="G13" s="234" t="inlineStr">
        <is>
          <t>scripts/fleet_vs_ccc_backtest.py — fitted to 2025 CCC cells only; 2020–24 are the test</t>
        </is>
      </c>
    </row>
    <row r="14">
      <c r="B14" s="238" t="inlineStr">
        <is>
          <t>E1 Fleet</t>
        </is>
      </c>
      <c r="C14" s="238" t="inlineStr">
        <is>
          <t>D98</t>
        </is>
      </c>
      <c r="D14" s="238" t="inlineStr">
        <is>
          <t>Body factor: Utility vehicle (SUV)</t>
        </is>
      </c>
      <c r="E14" s="237" t="n">
        <v>0.917</v>
      </c>
      <c r="F14" s="234" t="inlineStr">
        <is>
          <t>CALIBRATED</t>
        </is>
      </c>
      <c r="G14" s="234" t="inlineStr">
        <is>
          <t>same</t>
        </is>
      </c>
    </row>
    <row r="15">
      <c r="B15" s="238" t="inlineStr">
        <is>
          <t>E1 Fleet</t>
        </is>
      </c>
      <c r="C15" s="238" t="inlineStr">
        <is>
          <t>D99</t>
        </is>
      </c>
      <c r="D15" s="238" t="inlineStr">
        <is>
          <t>Body factor: Pickup</t>
        </is>
      </c>
      <c r="E15" s="237" t="n">
        <v>1.028</v>
      </c>
      <c r="F15" s="234" t="inlineStr">
        <is>
          <t>CALIBRATED</t>
        </is>
      </c>
      <c r="G15" s="234" t="inlineStr">
        <is>
          <t>same</t>
        </is>
      </c>
    </row>
    <row r="16">
      <c r="B16" s="238" t="inlineStr">
        <is>
          <t>E1 Fleet</t>
        </is>
      </c>
      <c r="C16" s="238" t="inlineStr">
        <is>
          <t>D100</t>
        </is>
      </c>
      <c r="D16" s="238" t="inlineStr">
        <is>
          <t>Body factor: Van / minivan</t>
        </is>
      </c>
      <c r="E16" s="237" t="n">
        <v>0.923</v>
      </c>
      <c r="F16" s="234" t="inlineStr">
        <is>
          <t>CALIBRATED</t>
        </is>
      </c>
      <c r="G16" s="234" t="inlineStr">
        <is>
          <t>same</t>
        </is>
      </c>
    </row>
    <row r="17">
      <c r="B17" s="238" t="inlineStr">
        <is>
          <t>E2 Claims &amp; Totals</t>
        </is>
      </c>
      <c r="C17" s="238" t="inlineStr">
        <is>
          <t>D80</t>
        </is>
      </c>
      <c r="D17" s="238" t="inlineStr">
        <is>
          <t>Claims multiplier (relative combined claims propensity)</t>
        </is>
      </c>
      <c r="E17" s="237" t="n">
        <v>1</v>
      </c>
      <c r="F17" s="234" t="inlineStr">
        <is>
          <t>ASSUMED</t>
        </is>
      </c>
      <c r="G17" s="234" t="inlineStr">
        <is>
          <t>Neutral default; the 0.98 stress has no empirical anchor (driver_register.json)</t>
        </is>
      </c>
    </row>
    <row r="18">
      <c r="B18" s="238" t="inlineStr">
        <is>
          <t>E2 Claims &amp; Totals</t>
        </is>
      </c>
      <c r="C18" s="238" t="inlineStr">
        <is>
          <t>D81</t>
        </is>
      </c>
      <c r="D18" s="238" t="inlineStr">
        <is>
          <t>Paired repairable non-filing term (deductible shift)</t>
        </is>
      </c>
      <c r="E18" s="237" t="n">
        <v>0</v>
      </c>
      <c r="F18" s="234" t="inlineStr">
        <is>
          <t>ASSUMED</t>
        </is>
      </c>
      <c r="G18" s="234" t="inlineStr">
        <is>
          <t>Placeholder; CCC deductible-share series could bound it. Not yet wired</t>
        </is>
      </c>
    </row>
    <row r="19">
      <c r="B19" s="238" t="inlineStr">
        <is>
          <t>E2 Claims &amp; Totals</t>
        </is>
      </c>
      <c r="C19" s="238" t="inlineStr">
        <is>
          <t>D82</t>
        </is>
      </c>
      <c r="D19" s="238" t="inlineStr">
        <is>
          <t>Routing fraction of total losses to the insurance auction channel</t>
        </is>
      </c>
      <c r="E19" s="237" t="n">
        <v>1</v>
      </c>
      <c r="F19" s="234" t="inlineStr">
        <is>
          <t>ASSUMED</t>
        </is>
      </c>
      <c r="G19" s="234" t="inlineStr">
        <is>
          <t>Convention; dismantlers may buy directly from insurers (10-K)</t>
        </is>
      </c>
    </row>
    <row r="20">
      <c r="B20" s="238" t="inlineStr">
        <is>
          <t>E2 Claims &amp; Totals</t>
        </is>
      </c>
      <c r="C20" s="238" t="inlineStr">
        <is>
          <t>D83</t>
        </is>
      </c>
      <c r="D20" s="238" t="inlineStr">
        <is>
          <t>Extra catastrophe unit fraction</t>
        </is>
      </c>
      <c r="E20" s="237" t="n">
        <v>0</v>
      </c>
      <c r="F20" s="234" t="inlineStr">
        <is>
          <t>ASSUMED</t>
        </is>
      </c>
      <c r="G20" s="234" t="inlineStr">
        <is>
          <t>Convention; FY25 hurricane units handled in history</t>
        </is>
      </c>
    </row>
    <row r="21">
      <c r="B21" s="238" t="inlineStr">
        <is>
          <t>E2 Claims &amp; Totals</t>
        </is>
      </c>
      <c r="C21" s="238" t="inlineStr">
        <is>
          <t>D123</t>
        </is>
      </c>
      <c r="D21" s="238" t="inlineStr">
        <is>
          <t>Premium growth, FY28</t>
        </is>
      </c>
      <c r="E21" s="237" t="n">
        <v>0</v>
      </c>
      <c r="F21" s="234" t="inlineStr">
        <is>
          <t>ASSUMED</t>
        </is>
      </c>
      <c r="G21" s="234" t="inlineStr">
        <is>
          <t>Flat; replace with the S&amp;P 2027 forecast if the owner supplies it</t>
        </is>
      </c>
    </row>
    <row r="22">
      <c r="B22" s="238" t="inlineStr">
        <is>
          <t>E3 Carriers</t>
        </is>
      </c>
      <c r="C22" s="238" t="inlineStr">
        <is>
          <t>G45</t>
        </is>
      </c>
      <c r="D22" s="238" t="inlineStr">
        <is>
          <t>Reference: Copart share of duopoly listed US inventory, 4 clean nights 11–27 Sep 2026</t>
        </is>
      </c>
      <c r="E22" s="237" t="n">
        <v>0.572</v>
      </c>
      <c r="F22" s="234" t="inlineStr"/>
      <c r="G22" s="234" t="inlineStr">
        <is>
          <t>MEASURED, data/csv/duopoly_daily.csv usable=1; listed inventory, not assignments. Mean 57.2%, range 56.8–57.6%</t>
        </is>
      </c>
    </row>
    <row r="23">
      <c r="B23" s="238" t="inlineStr">
        <is>
          <t>E3 Carriers</t>
        </is>
      </c>
      <c r="C23" s="238" t="inlineStr">
        <is>
          <t>D64</t>
        </is>
      </c>
      <c r="D23" s="238" t="inlineStr">
        <is>
          <t>Thesis A master toggle (1 = additions on; Scenarios reads both states, so leave at 1)</t>
        </is>
      </c>
      <c r="E23" s="240" t="n">
        <v>1</v>
      </c>
      <c r="F23" s="234" t="inlineStr">
        <is>
          <t>TOGGLE</t>
        </is>
      </c>
      <c r="G23" s="234" t="inlineStr">
        <is>
          <t>Structural switch; Scenarios selects base or thesis-A rows itself</t>
        </is>
      </c>
    </row>
    <row r="24">
      <c r="B24" s="238" t="inlineStr">
        <is>
          <t>E3 Carriers</t>
        </is>
      </c>
      <c r="C24" s="238" t="inlineStr">
        <is>
          <t>D66</t>
        </is>
      </c>
      <c r="D24" s="238" t="inlineStr">
        <is>
          <t>GEICO allocation event (inherited: allocation 0.83 → 0.90, a gain for Copart)</t>
        </is>
      </c>
      <c r="E24" s="240" t="n">
        <v>0</v>
      </c>
      <c r="F24" s="234" t="inlineStr">
        <is>
          <t>ASSUMED</t>
        </is>
      </c>
      <c r="G24" s="234" t="inlineStr">
        <is>
          <t>Share build U5: 60% judgmental probability; off by default in the bear variant</t>
        </is>
      </c>
    </row>
    <row r="25">
      <c r="B25" s="238" t="inlineStr">
        <is>
          <t>E3 Carriers</t>
        </is>
      </c>
      <c r="C25" s="238" t="inlineStr">
        <is>
          <t>D67</t>
        </is>
      </c>
      <c r="D25" s="238" t="inlineStr">
        <is>
          <t>State Farm adverse event (inherited: 0.50 → 0.4775 by FQ4 FY27)</t>
        </is>
      </c>
      <c r="E25" s="240" t="n">
        <v>1</v>
      </c>
      <c r="F25" s="234" t="inlineStr">
        <is>
          <t>ASSUMED</t>
        </is>
      </c>
      <c r="G25" s="234" t="inlineStr">
        <is>
          <t>Share build U7: 45% judgmental; shown as realised case, not probability-weighted</t>
        </is>
      </c>
    </row>
    <row r="26">
      <c r="B26" s="238" t="inlineStr">
        <is>
          <t>E3 Carriers</t>
        </is>
      </c>
      <c r="C26" s="238" t="inlineStr">
        <is>
          <t>D68</t>
        </is>
      </c>
      <c r="D26" s="238" t="inlineStr">
        <is>
          <t>Other-carrier drift event (inherited: 0.50 → 0.4775)</t>
        </is>
      </c>
      <c r="E26" s="240" t="n">
        <v>1</v>
      </c>
      <c r="F26" s="234" t="inlineStr">
        <is>
          <t>ASSUMED</t>
        </is>
      </c>
      <c r="G26" s="234" t="inlineStr">
        <is>
          <t>Share build Events row 15; regional anecdote on a 24% bucket</t>
        </is>
      </c>
    </row>
    <row r="27">
      <c r="B27" s="238" t="inlineStr">
        <is>
          <t>E3 Carriers</t>
        </is>
      </c>
      <c r="C27" s="238" t="inlineStr">
        <is>
          <t>D69</t>
        </is>
      </c>
      <c r="D27" s="238" t="inlineStr">
        <is>
          <t>Additional allocation drift, non-Progressive carriers (points per quarter from FQ1 FY27)</t>
        </is>
      </c>
      <c r="E27" s="237" t="n">
        <v>0</v>
      </c>
      <c r="F27" s="234" t="inlineStr">
        <is>
          <t>ASSUMED</t>
        </is>
      </c>
      <c r="G27" s="234" t="inlineStr">
        <is>
          <t>No evidence; 0 by default. Use only as a labelled stress</t>
        </is>
      </c>
    </row>
    <row r="28">
      <c r="B28" s="238" t="inlineStr">
        <is>
          <t>E3 Carriers</t>
        </is>
      </c>
      <c r="C28" s="238" t="inlineStr">
        <is>
          <t>D70</t>
        </is>
      </c>
      <c r="D28" s="238" t="inlineStr">
        <is>
          <t>Additional Progressive decline (points per quarter from FQ1 FY27)</t>
        </is>
      </c>
      <c r="E28" s="237" t="n">
        <v>0</v>
      </c>
      <c r="F28" s="234" t="inlineStr">
        <is>
          <t>ASSUMED</t>
        </is>
      </c>
      <c r="G28" s="234" t="inlineStr">
        <is>
          <t>The inherited path already reaches 5%</t>
        </is>
      </c>
    </row>
    <row r="29">
      <c r="B29" s="238" t="inlineStr">
        <is>
          <t>E3 Carriers</t>
        </is>
      </c>
      <c r="C29" s="238" t="inlineStr">
        <is>
          <t>D71</t>
        </is>
      </c>
      <c r="D29" s="238" t="inlineStr">
        <is>
          <t>Base seller commission rate</t>
        </is>
      </c>
      <c r="E29" s="237" t="n">
        <v>0.04</v>
      </c>
      <c r="F29" s="234" t="inlineStr">
        <is>
          <t>UNVERIFIED</t>
        </is>
      </c>
      <c r="G29" s="234" t="inlineStr">
        <is>
          <t>Barclays 25 Aug 2026 Figure 1 (licensed, local)</t>
        </is>
      </c>
    </row>
    <row r="30">
      <c r="B30" s="238" t="inlineStr">
        <is>
          <t>E3 Carriers</t>
        </is>
      </c>
      <c r="C30" s="238" t="inlineStr">
        <is>
          <t>D72</t>
        </is>
      </c>
      <c r="D30" s="238" t="inlineStr">
        <is>
          <t>Concession, share of commission</t>
        </is>
      </c>
      <c r="E30" s="237" t="n">
        <v>0.2</v>
      </c>
      <c r="F30" s="234" t="inlineStr">
        <is>
          <t>UNVERIFIED</t>
        </is>
      </c>
      <c r="G30" s="234" t="inlineStr">
        <is>
          <t>Barclays 25 Aug 2026 Figure 1</t>
        </is>
      </c>
    </row>
    <row r="31">
      <c r="B31" s="238" t="inlineStr">
        <is>
          <t>E3 Carriers</t>
        </is>
      </c>
      <c r="C31" s="238" t="inlineStr">
        <is>
          <t>D73</t>
        </is>
      </c>
      <c r="D31" s="238" t="inlineStr">
        <is>
          <t>Share of volume on concession terms when thesis A is on</t>
        </is>
      </c>
      <c r="E31" s="237" t="n">
        <v>0</v>
      </c>
      <c r="F31" s="234" t="inlineStr">
        <is>
          <t>ASSUMED</t>
        </is>
      </c>
      <c r="G31" s="234" t="inlineStr">
        <is>
          <t>Set in Scenarios; 0 means no retained-account repricing</t>
        </is>
      </c>
    </row>
    <row r="32">
      <c r="B32" s="238" t="inlineStr">
        <is>
          <t>E3 Carriers</t>
        </is>
      </c>
      <c r="C32" s="238" t="inlineStr">
        <is>
          <t>D77</t>
        </is>
      </c>
      <c r="D32" s="238" t="inlineStr">
        <is>
          <t>State Farm — adverse shift to IAA</t>
        </is>
      </c>
      <c r="E32" s="237" t="n">
        <v>-0.05</v>
      </c>
      <c r="F32" s="234" t="inlineStr"/>
      <c r="G32" s="234" t="inlineStr">
        <is>
          <t>UNVERIFIED (expert, dated): share build U7 = 45%; Downloads build: RFP out since ~2025, Illinois pilot of ~500 cars to IAA (experts Jan–Aug 2026); sizing from historical 10–20 pt moves over four quarters (share-build precedents, not yet re-read)</t>
        </is>
      </c>
    </row>
    <row r="33">
      <c r="B33" s="238" t="inlineStr">
        <is>
          <t>E3 Carriers</t>
        </is>
      </c>
      <c r="C33" s="238" t="inlineStr">
        <is>
          <t>E77</t>
        </is>
      </c>
      <c r="D33" s="238" t="inlineStr">
        <is>
          <t>State Farm — adverse shift to IAA</t>
        </is>
      </c>
      <c r="E33" s="240" t="n">
        <v>0.45</v>
      </c>
      <c r="F33" s="234" t="inlineStr"/>
      <c r="G33" s="234" t="inlineStr">
        <is>
          <t>UNVERIFIED (expert, dated): share build U7 = 45%; Downloads build: RFP out since ~2025, Illinois pilot of ~500 cars to IAA (experts Jan–Aug 2026); sizing from historical 10–20 pt moves over four quarters (share-build precedents, not yet re-read)</t>
        </is>
      </c>
    </row>
    <row r="34">
      <c r="B34" s="238" t="inlineStr">
        <is>
          <t>E3 Carriers</t>
        </is>
      </c>
      <c r="C34" s="238" t="inlineStr">
        <is>
          <t>I77</t>
        </is>
      </c>
      <c r="D34" s="238" t="inlineStr">
        <is>
          <t>State Farm — adverse shift to IAA</t>
        </is>
      </c>
      <c r="E34" s="237" t="n">
        <v>2</v>
      </c>
      <c r="F34" s="234" t="inlineStr"/>
      <c r="G34" s="234" t="inlineStr">
        <is>
          <t>UNVERIFIED (expert, dated): share build U7 = 45%; Downloads build: RFP out since ~2025, Illinois pilot of ~500 cars to IAA (experts Jan–Aug 2026); sizing from historical 10–20 pt moves over four quarters (share-build precedents, not yet re-read)</t>
        </is>
      </c>
    </row>
    <row r="35">
      <c r="B35" s="238" t="inlineStr">
        <is>
          <t>E3 Carriers</t>
        </is>
      </c>
      <c r="C35" s="238" t="inlineStr">
        <is>
          <t>D78</t>
        </is>
      </c>
      <c r="D35" s="238" t="inlineStr">
        <is>
          <t>Other (Erie, AAA, AmFam, regionals) — adverse drift</t>
        </is>
      </c>
      <c r="E35" s="237" t="n">
        <v>-0.05</v>
      </c>
      <c r="F35" s="234" t="inlineStr"/>
      <c r="G35" s="234" t="inlineStr">
        <is>
          <t>UNVERIFIED (expert, dated): share build Events row 15; YipitData shows IAA additions high in Pennsylvania where Erie is #3; regional anecdote applied to a 24% bucket</t>
        </is>
      </c>
    </row>
    <row r="36">
      <c r="B36" s="238" t="inlineStr">
        <is>
          <t>E3 Carriers</t>
        </is>
      </c>
      <c r="C36" s="238" t="inlineStr">
        <is>
          <t>E78</t>
        </is>
      </c>
      <c r="D36" s="238" t="inlineStr">
        <is>
          <t>Other (Erie, AAA, AmFam, regionals) — adverse drift</t>
        </is>
      </c>
      <c r="E36" s="240" t="n">
        <v>0.45</v>
      </c>
      <c r="F36" s="234" t="inlineStr"/>
      <c r="G36" s="234" t="inlineStr">
        <is>
          <t>UNVERIFIED (expert, dated): share build Events row 15; YipitData shows IAA additions high in Pennsylvania where Erie is #3; regional anecdote applied to a 24% bucket</t>
        </is>
      </c>
    </row>
    <row r="37">
      <c r="B37" s="238" t="inlineStr">
        <is>
          <t>E3 Carriers</t>
        </is>
      </c>
      <c r="C37" s="238" t="inlineStr">
        <is>
          <t>I78</t>
        </is>
      </c>
      <c r="D37" s="238" t="inlineStr">
        <is>
          <t>Other (Erie, AAA, AmFam, regionals) — adverse drift</t>
        </is>
      </c>
      <c r="E37" s="237" t="n">
        <v>4</v>
      </c>
      <c r="F37" s="234" t="inlineStr"/>
      <c r="G37" s="234" t="inlineStr">
        <is>
          <t>UNVERIFIED (expert, dated): share build Events row 15; YipitData shows IAA additions high in Pennsylvania where Erie is #3; regional anecdote applied to a 24% bucket</t>
        </is>
      </c>
    </row>
    <row r="38">
      <c r="B38" s="238" t="inlineStr">
        <is>
          <t>E3 Carriers</t>
        </is>
      </c>
      <c r="C38" s="238" t="inlineStr">
        <is>
          <t>D79</t>
        </is>
      </c>
      <c r="D38" s="238" t="inlineStr">
        <is>
          <t>GEICO — win for Copart (0.83 → 0.95 if realised)</t>
        </is>
      </c>
      <c r="E38" s="237" t="n">
        <v>0.12</v>
      </c>
      <c r="F38" s="234" t="inlineStr"/>
      <c r="G38" s="234" t="inlineStr">
        <is>
          <t>UNVERIFIED (expert, dated): share build U5 = 60%; expert (Jul 2025) put the GEICO RFP 1–2 years out. Off in the bear variant by default</t>
        </is>
      </c>
    </row>
    <row r="39">
      <c r="B39" s="238" t="inlineStr">
        <is>
          <t>E3 Carriers</t>
        </is>
      </c>
      <c r="C39" s="238" t="inlineStr">
        <is>
          <t>E79</t>
        </is>
      </c>
      <c r="D39" s="238" t="inlineStr">
        <is>
          <t>GEICO — win for Copart (0.83 → 0.95 if realised)</t>
        </is>
      </c>
      <c r="E39" s="240" t="n">
        <v>0.6</v>
      </c>
      <c r="F39" s="234" t="inlineStr"/>
      <c r="G39" s="234" t="inlineStr">
        <is>
          <t>UNVERIFIED (expert, dated): share build U5 = 60%; expert (Jul 2025) put the GEICO RFP 1–2 years out. Off in the bear variant by default</t>
        </is>
      </c>
    </row>
    <row r="40">
      <c r="B40" s="238" t="inlineStr">
        <is>
          <t>E3 Carriers</t>
        </is>
      </c>
      <c r="C40" s="238" t="inlineStr">
        <is>
          <t>I79</t>
        </is>
      </c>
      <c r="D40" s="238" t="inlineStr">
        <is>
          <t>GEICO — win for Copart (0.83 → 0.95 if realised)</t>
        </is>
      </c>
      <c r="E40" s="237" t="n">
        <v>3</v>
      </c>
      <c r="F40" s="234" t="inlineStr"/>
      <c r="G40" s="234" t="inlineStr">
        <is>
          <t>UNVERIFIED (expert, dated): share build U5 = 60%; expert (Jul 2025) put the GEICO RFP 1–2 years out. Off in the bear variant by default</t>
        </is>
      </c>
    </row>
    <row r="41">
      <c r="B41" s="238" t="inlineStr">
        <is>
          <t>E3 Carriers</t>
        </is>
      </c>
      <c r="C41" s="238" t="inlineStr">
        <is>
          <t>D80</t>
        </is>
      </c>
      <c r="D41" s="238" t="inlineStr">
        <is>
          <t>Progressive — realised loss (0.25 → 0.05)</t>
        </is>
      </c>
      <c r="E41" s="237" t="n">
        <v>-0.2</v>
      </c>
      <c r="F41" s="234" t="inlineStr"/>
      <c r="G41" s="234" t="inlineStr">
        <is>
          <t>FITTED to the FQ4 FY26 print (carrier test); IAA agreement in principle Feb 2026, executed May 2026, all 50 states (Downloads build, UNVERIFIED expert); Copart call: assignments +2.3% ex one customer (VERIFIED)</t>
        </is>
      </c>
    </row>
    <row r="42">
      <c r="B42" s="238" t="inlineStr">
        <is>
          <t>E3 Carriers</t>
        </is>
      </c>
      <c r="C42" s="238" t="inlineStr">
        <is>
          <t>E80</t>
        </is>
      </c>
      <c r="D42" s="238" t="inlineStr">
        <is>
          <t>Progressive — realised loss (0.25 → 0.05)</t>
        </is>
      </c>
      <c r="E42" s="240" t="n">
        <v>1</v>
      </c>
      <c r="F42" s="234" t="inlineStr"/>
      <c r="G42" s="234" t="inlineStr">
        <is>
          <t>FITTED to the FQ4 FY26 print (carrier test); IAA agreement in principle Feb 2026, executed May 2026, all 50 states (Downloads build, UNVERIFIED expert); Copart call: assignments +2.3% ex one customer (VERIFIED)</t>
        </is>
      </c>
    </row>
    <row r="43">
      <c r="B43" s="238" t="inlineStr">
        <is>
          <t>E3 Carriers</t>
        </is>
      </c>
      <c r="C43" s="238" t="inlineStr">
        <is>
          <t>I80</t>
        </is>
      </c>
      <c r="D43" s="238" t="inlineStr">
        <is>
          <t>Progressive — realised loss (0.25 → 0.05)</t>
        </is>
      </c>
      <c r="E43" s="237" t="n">
        <v>2.2</v>
      </c>
      <c r="F43" s="234" t="inlineStr"/>
      <c r="G43" s="234" t="inlineStr">
        <is>
          <t>FITTED to the FQ4 FY26 print (carrier test); IAA agreement in principle Feb 2026, executed May 2026, all 50 states (Downloads build, UNVERIFIED expert); Copart call: assignments +2.3% ex one customer (VERIFIED)</t>
        </is>
      </c>
    </row>
    <row r="44">
      <c r="B44" s="238" t="inlineStr">
        <is>
          <t>E3 Carriers</t>
        </is>
      </c>
      <c r="C44" s="238" t="inlineStr">
        <is>
          <t>C83</t>
        </is>
      </c>
      <c r="D44" s="238" t="inlineStr">
        <is>
          <t xml:space="preserve">   Copart share y/y FQ4 FY26 (carrier test) × insurance share of US service × US share of global service = % of global s</t>
        </is>
      </c>
      <c r="E44" s="237" t="n">
        <v>-0.06508</v>
      </c>
      <c r="F44" s="234" t="inlineStr"/>
      <c r="G44" s="234" t="inlineStr">
        <is>
          <t>MEASURED chain: −6.508% share y/y (docs/carrier_test_2026-09-28/results.json, reconstructed, not disclosed) × E5 insurance share × 8-K FY26 US service ÷ global service × service ÷ total revenue</t>
        </is>
      </c>
    </row>
    <row r="45">
      <c r="B45" s="238" t="inlineStr">
        <is>
          <t>E3 Carriers</t>
        </is>
      </c>
      <c r="C45" s="238" t="inlineStr">
        <is>
          <t>E86</t>
        </is>
      </c>
      <c r="D45" s="238" t="inlineStr">
        <is>
          <t>Operating acreage (owned + leased)</t>
        </is>
      </c>
      <c r="E45" s="237" t="n">
        <v>14803</v>
      </c>
      <c r="F45" s="234" t="inlineStr"/>
      <c r="G45" s="234" t="inlineStr">
        <is>
          <t>RB Global FY2025 10-K properties table: 6,143 owned + 8,660 leased acres, 333 locations (US 250 locations, 4,431 + 7,769 acres). Copart discloses no acreage in the FY25 or FY26 10-K or any of 17 calls; the memo's 19.1k acres needs a citation</t>
        </is>
      </c>
    </row>
    <row r="46">
      <c r="B46" s="238" t="inlineStr">
        <is>
          <t>E3 Carriers</t>
        </is>
      </c>
      <c r="C46" s="238" t="inlineStr">
        <is>
          <t>D87</t>
        </is>
      </c>
      <c r="D46" s="238" t="inlineStr">
        <is>
          <t>Operating locations</t>
        </is>
      </c>
      <c r="E46" s="237" t="n">
        <v>286</v>
      </c>
      <c r="F46" s="234" t="inlineStr"/>
      <c r="G46" s="234" t="inlineStr">
        <is>
          <t>Copart FY2026 10-K Item 2 (281 in FY25); RB Global FY2025 10-K</t>
        </is>
      </c>
    </row>
    <row r="47">
      <c r="B47" s="238" t="inlineStr">
        <is>
          <t>E3 Carriers</t>
        </is>
      </c>
      <c r="C47" s="238" t="inlineStr">
        <is>
          <t>E87</t>
        </is>
      </c>
      <c r="D47" s="238" t="inlineStr">
        <is>
          <t>Operating locations</t>
        </is>
      </c>
      <c r="E47" s="237" t="n">
        <v>333</v>
      </c>
      <c r="F47" s="234" t="inlineStr"/>
      <c r="G47" s="234" t="inlineStr">
        <is>
          <t>Copart FY2026 10-K Item 2 (281 in FY25); RB Global FY2025 10-K</t>
        </is>
      </c>
    </row>
    <row r="48">
      <c r="B48" s="238" t="inlineStr">
        <is>
          <t>E3 Carriers</t>
        </is>
      </c>
      <c r="C48" s="238" t="inlineStr">
        <is>
          <t>E88</t>
        </is>
      </c>
      <c r="D48" s="238" t="inlineStr">
        <is>
          <t>Catastrophe option acreage</t>
        </is>
      </c>
      <c r="E48" s="237" t="n">
        <v>1800</v>
      </c>
      <c r="F48" s="234" t="inlineStr"/>
      <c r="G48" s="234" t="inlineStr">
        <is>
          <t>RB Global FY2025 10-K: agreements to lease and use &gt;1,800 acres in catastrophes; Copart describes CAT capacity qualitatively</t>
        </is>
      </c>
    </row>
    <row r="49">
      <c r="B49" s="238" t="inlineStr">
        <is>
          <t>E3 Carriers</t>
        </is>
      </c>
      <c r="C49" s="238" t="inlineStr">
        <is>
          <t>D89</t>
        </is>
      </c>
      <c r="D49" s="238" t="inlineStr">
        <is>
          <t>Average days on lot (cycle time)</t>
        </is>
      </c>
      <c r="E49" s="237" t="n">
        <v>52</v>
      </c>
      <c r="F49" s="234" t="inlineStr"/>
      <c r="G49" s="234" t="inlineStr">
        <is>
          <t>Expert calls: former SVP GEICO (Sep 2026), former VP GEICO (Feb 2025) as cited in the memo; no filing measures this</t>
        </is>
      </c>
    </row>
    <row r="50">
      <c r="B50" s="238" t="inlineStr">
        <is>
          <t>E3 Carriers</t>
        </is>
      </c>
      <c r="C50" s="238" t="inlineStr">
        <is>
          <t>E89</t>
        </is>
      </c>
      <c r="D50" s="238" t="inlineStr">
        <is>
          <t>Average days on lot (cycle time)</t>
        </is>
      </c>
      <c r="E50" s="237" t="n">
        <v>50</v>
      </c>
      <c r="F50" s="234" t="inlineStr"/>
      <c r="G50" s="234" t="inlineStr">
        <is>
          <t>Expert calls: former SVP GEICO (Sep 2026), former VP GEICO (Feb 2025) as cited in the memo; no filing measures this</t>
        </is>
      </c>
    </row>
    <row r="51">
      <c r="B51" s="238" t="inlineStr">
        <is>
          <t>E3 Carriers</t>
        </is>
      </c>
      <c r="C51" s="238" t="inlineStr">
        <is>
          <t>D90</t>
        </is>
      </c>
      <c r="D51" s="238" t="inlineStr">
        <is>
          <t>Gross margin, FQ4 FY26 (Copart) vs FQ4 FY25</t>
        </is>
      </c>
      <c r="E51" s="237" t="n">
        <v>0.418</v>
      </c>
      <c r="F51" s="234" t="inlineStr"/>
      <c r="G51" s="234" t="inlineStr">
        <is>
          <t>Copart FQ4 FY26 call: 41.8% (VERIFIED, transcript line ~176); 45.3% FQ4 FY25 per memo, to be confirmed from raw/sec/8k/er_2025-09-04</t>
        </is>
      </c>
    </row>
    <row r="52">
      <c r="B52" s="238" t="inlineStr">
        <is>
          <t>E3 Carriers</t>
        </is>
      </c>
      <c r="C52" s="238" t="inlineStr">
        <is>
          <t>E90</t>
        </is>
      </c>
      <c r="D52" s="238" t="inlineStr">
        <is>
          <t>Gross margin, FQ4 FY26 (Copart) vs FQ4 FY25</t>
        </is>
      </c>
      <c r="E52" s="237" t="n">
        <v>0.453</v>
      </c>
      <c r="F52" s="234" t="inlineStr"/>
      <c r="G52" s="234" t="inlineStr">
        <is>
          <t>Copart FQ4 FY26 call: 41.8% (VERIFIED, transcript line ~176); 45.3% FQ4 FY25 per memo, to be confirmed from raw/sec/8k/er_2025-09-04</t>
        </is>
      </c>
    </row>
    <row r="53">
      <c r="B53" s="238" t="inlineStr">
        <is>
          <t>E3 Carriers</t>
        </is>
      </c>
      <c r="C53" s="238" t="inlineStr">
        <is>
          <t>D92</t>
        </is>
      </c>
      <c r="D53" s="238" t="inlineStr">
        <is>
          <t>Supplier concentration</t>
        </is>
      </c>
      <c r="E53" s="237" t="n">
        <v>0.1</v>
      </c>
      <c r="F53" s="234" t="inlineStr"/>
      <c r="G53" s="234" t="inlineStr">
        <is>
          <t>Copart 10-K: no customer &gt;10% of revenue (shown as the 10% threshold). RB Global 10-K: top three vehicle suppliers ≈ 23% of FY2025 consolidated revenue</t>
        </is>
      </c>
    </row>
    <row r="54">
      <c r="B54" s="238" t="inlineStr">
        <is>
          <t>E3 Carriers</t>
        </is>
      </c>
      <c r="C54" s="238" t="inlineStr">
        <is>
          <t>E92</t>
        </is>
      </c>
      <c r="D54" s="238" t="inlineStr">
        <is>
          <t>Supplier concentration</t>
        </is>
      </c>
      <c r="E54" s="237" t="n">
        <v>0.23</v>
      </c>
      <c r="F54" s="234" t="inlineStr"/>
      <c r="G54" s="234" t="inlineStr">
        <is>
          <t>Copart 10-K: no customer &gt;10% of revenue (shown as the 10% threshold). RB Global 10-K: top three vehicle suppliers ≈ 23% of FY2025 consolidated revenue</t>
        </is>
      </c>
    </row>
    <row r="55">
      <c r="B55" s="238" t="inlineStr">
        <is>
          <t>E3 Carriers</t>
        </is>
      </c>
      <c r="C55" s="238" t="inlineStr">
        <is>
          <t>E93</t>
        </is>
      </c>
      <c r="D55" s="238" t="inlineStr">
        <is>
          <t>Progressive link to RB Global board</t>
        </is>
      </c>
      <c r="E55" s="237" t="n">
        <v>2023</v>
      </c>
      <c r="F55" s="234" t="inlineStr"/>
      <c r="G55" s="234" t="inlineStr">
        <is>
          <t>RB Global 2026 proxy: director Michael Sieger, appointed 2023, three decades at Progressive (a former executive, not a Progressive representative)</t>
        </is>
      </c>
    </row>
    <row r="56">
      <c r="B56" s="238" t="inlineStr">
        <is>
          <t>E3 Carriers</t>
        </is>
      </c>
      <c r="C56" s="238" t="inlineStr">
        <is>
          <t>D94</t>
        </is>
      </c>
      <c r="D56" s="238" t="inlineStr">
        <is>
          <t>Automotive volume growth, latest quarter</t>
        </is>
      </c>
      <c r="E56" s="237" t="n">
        <v>-0.075</v>
      </c>
      <c r="F56" s="234" t="inlineStr"/>
      <c r="G56" s="234" t="inlineStr">
        <is>
          <t>Copart FQ4 FY26 US insurance units −7.5% (call); RB Global Q2 2026 automotive lots +11% (10-Q), GTV per lot ≈ $3,717 (+2.5%), seller revenue −1% from automotive price incentives</t>
        </is>
      </c>
    </row>
    <row r="57">
      <c r="B57" s="238" t="inlineStr">
        <is>
          <t>E3 Carriers</t>
        </is>
      </c>
      <c r="C57" s="238" t="inlineStr">
        <is>
          <t>E94</t>
        </is>
      </c>
      <c r="D57" s="238" t="inlineStr">
        <is>
          <t>Automotive volume growth, latest quarter</t>
        </is>
      </c>
      <c r="E57" s="237" t="n">
        <v>0.11</v>
      </c>
      <c r="F57" s="234" t="inlineStr"/>
      <c r="G57" s="234" t="inlineStr">
        <is>
          <t>Copart FQ4 FY26 US insurance units −7.5% (call); RB Global Q2 2026 automotive lots +11% (10-Q), GTV per lot ≈ $3,717 (+2.5%), seller revenue −1% from automotive price incentives</t>
        </is>
      </c>
    </row>
    <row r="58">
      <c r="B58" s="238" t="inlineStr">
        <is>
          <t>E3 Carriers</t>
        </is>
      </c>
      <c r="C58" s="238" t="inlineStr">
        <is>
          <t>D95</t>
        </is>
      </c>
      <c r="D58" s="238" t="inlineStr">
        <is>
          <t>Progressive allocation Copart : IAA</t>
        </is>
      </c>
      <c r="E58" s="237" t="n">
        <v>0.05</v>
      </c>
      <c r="F58" s="234" t="inlineStr"/>
      <c r="G58" s="234" t="inlineStr">
        <is>
          <t>Expert calls (Downloads build Contract_Calendar); Copart has never named the carrier</t>
        </is>
      </c>
    </row>
    <row r="59">
      <c r="B59" s="238" t="inlineStr">
        <is>
          <t>E3 Carriers</t>
        </is>
      </c>
      <c r="C59" s="238" t="inlineStr">
        <is>
          <t>E95</t>
        </is>
      </c>
      <c r="D59" s="238" t="inlineStr">
        <is>
          <t>Progressive allocation Copart : IAA</t>
        </is>
      </c>
      <c r="E59" s="237" t="n">
        <v>0.95</v>
      </c>
      <c r="F59" s="234" t="inlineStr"/>
      <c r="G59" s="234" t="inlineStr">
        <is>
          <t>Expert calls (Downloads build Contract_Calendar); Copart has never named the carrier</t>
        </is>
      </c>
    </row>
    <row r="60">
      <c r="B60" s="238" t="inlineStr">
        <is>
          <t>E4 Aftermarket</t>
        </is>
      </c>
      <c r="C60" s="238" t="inlineStr">
        <is>
          <t>D45</t>
        </is>
      </c>
      <c r="D60" s="238" t="inlineStr">
        <is>
          <t>e: parts share of the complete repair bill (all replacement parts)</t>
        </is>
      </c>
      <c r="E60" s="237" t="n">
        <v>0.4</v>
      </c>
      <c r="F60" s="234" t="inlineStr"/>
      <c r="G60" s="234" t="inlineStr">
        <is>
          <t>CCC Crash Course: parts 36–44% of the bill by vehicle age (docs/aftermarket_parameter_audit); 40% is the midpoint. Treats all replacement-part dollars as the basket</t>
        </is>
      </c>
    </row>
    <row r="61">
      <c r="B61" s="238" t="inlineStr">
        <is>
          <t>E4 Aftermarket</t>
        </is>
      </c>
      <c r="C61" s="238" t="inlineStr">
        <is>
          <t>D46</t>
        </is>
      </c>
      <c r="D61" s="238" t="inlineStr">
        <is>
          <t>q_OEM: OEM share of replacement-part dollars, 2025</t>
        </is>
      </c>
      <c r="E61" s="237" t="n">
        <v>0.668</v>
      </c>
      <c r="F61" s="234" t="inlineStr">
        <is>
          <t>VERIFIED</t>
        </is>
      </c>
      <c r="G61" s="234" t="inlineStr">
        <is>
          <t>CCC Crash Course 2026: 1 − 22.7% − 10.5% (dollar shares; counts differ slightly, see docs/bidmate_adoption)</t>
        </is>
      </c>
    </row>
    <row r="62">
      <c r="B62" s="238" t="inlineStr">
        <is>
          <t>E4 Aftermarket</t>
        </is>
      </c>
      <c r="C62" s="238" t="inlineStr">
        <is>
          <t>D47</t>
        </is>
      </c>
      <c r="D62" s="238" t="inlineStr">
        <is>
          <t>q_AM: aftermarket share of replacement-part dollars, 2025</t>
        </is>
      </c>
      <c r="E62" s="237" t="n">
        <v>0.227</v>
      </c>
      <c r="F62" s="234" t="inlineStr">
        <is>
          <t>VERIFIED</t>
        </is>
      </c>
      <c r="G62" s="234" t="inlineStr">
        <is>
          <t>CCC Crash Course 2026, 22.7% (21.0% in 2024)</t>
        </is>
      </c>
    </row>
    <row r="63">
      <c r="B63" s="238" t="inlineStr">
        <is>
          <t>E4 Aftermarket</t>
        </is>
      </c>
      <c r="C63" s="238" t="inlineStr">
        <is>
          <t>D48</t>
        </is>
      </c>
      <c r="D63" s="238" t="inlineStr">
        <is>
          <t>q_rec: recycled share of replacement-part dollars, 2025</t>
        </is>
      </c>
      <c r="E63" s="237" t="n">
        <v>0.105</v>
      </c>
      <c r="F63" s="234" t="inlineStr">
        <is>
          <t>VERIFIED</t>
        </is>
      </c>
      <c r="G63" s="234" t="inlineStr">
        <is>
          <t>CCC Crash Course 2026, 10.5% (10.7% in 2024)</t>
        </is>
      </c>
    </row>
    <row r="64">
      <c r="B64" s="238" t="inlineStr">
        <is>
          <t>E4 Aftermarket</t>
        </is>
      </c>
      <c r="C64" s="238" t="inlineStr">
        <is>
          <t>D49</t>
        </is>
      </c>
      <c r="D64" s="238" t="inlineStr">
        <is>
          <t>p_OEM: relative price</t>
        </is>
      </c>
      <c r="E64" s="237" t="n">
        <v>1</v>
      </c>
      <c r="F64" s="234" t="inlineStr">
        <is>
          <t>ASSUMED</t>
        </is>
      </c>
      <c r="G64" s="234" t="inlineStr">
        <is>
          <t>Numeraire</t>
        </is>
      </c>
    </row>
    <row r="65">
      <c r="B65" s="238" t="inlineStr">
        <is>
          <t>E4 Aftermarket</t>
        </is>
      </c>
      <c r="C65" s="238" t="inlineStr">
        <is>
          <t>D50</t>
        </is>
      </c>
      <c r="D65" s="238" t="inlineStr">
        <is>
          <t>p_AM: aftermarket price relative to OEM</t>
        </is>
      </c>
      <c r="E65" s="237" t="n">
        <v>0.73</v>
      </c>
      <c r="F65" s="234" t="inlineStr"/>
      <c r="G65" s="234" t="inlineStr">
        <is>
          <t>Mitchell Q2 2017 Industry Trends Report pp. 8–10: 2016 six-component discounts 23.3% domestic, 29.9% Asian, 27.7% European; mean 27% (raw cache; docs/aftermarket_transition_evidence). Current catalogue ~0.50 is a stress (MapleV 2026, vendor-selected)</t>
        </is>
      </c>
    </row>
    <row r="66">
      <c r="B66" s="238" t="inlineStr">
        <is>
          <t>E4 Aftermarket</t>
        </is>
      </c>
      <c r="C66" s="238" t="inlineStr">
        <is>
          <t>D51</t>
        </is>
      </c>
      <c r="D66" s="238" t="inlineStr">
        <is>
          <t>p_rec: recycled price relative to OEM</t>
        </is>
      </c>
      <c r="E66" s="237" t="n">
        <v>0.6</v>
      </c>
      <c r="F66" s="234" t="inlineStr">
        <is>
          <t>ASSUMED</t>
        </is>
      </c>
      <c r="G66" s="234" t="inlineStr">
        <is>
          <t>No matched national dataset; flagged in the source trace</t>
        </is>
      </c>
    </row>
    <row r="67">
      <c r="B67" s="238" t="inlineStr">
        <is>
          <t>E4 Aftermarket</t>
        </is>
      </c>
      <c r="C67" s="238" t="inlineStr">
        <is>
          <t>D52</t>
        </is>
      </c>
      <c r="D67" s="238" t="inlineStr">
        <is>
          <t>x: donor contribution exposed to collision-part substitution</t>
        </is>
      </c>
      <c r="E67" s="237" t="n">
        <v>0.25</v>
      </c>
      <c r="F67" s="234" t="inlineStr">
        <is>
          <t>ASSUMED</t>
        </is>
      </c>
      <c r="G67" s="234" t="inlineStr">
        <is>
          <t>No supporting record (FORWARD_ASSUMPTIONS.md)</t>
        </is>
      </c>
    </row>
    <row r="68">
      <c r="B68" s="238" t="inlineStr">
        <is>
          <t>E4 Aftermarket</t>
        </is>
      </c>
      <c r="C68" s="238" t="inlineStr">
        <is>
          <t>D53</t>
        </is>
      </c>
      <c r="D68" s="238" t="inlineStr">
        <is>
          <t>κ: contribution-to-hammer bid ratio</t>
        </is>
      </c>
      <c r="E68" s="237" t="n">
        <v>1.5</v>
      </c>
      <c r="F68" s="234" t="inlineStr">
        <is>
          <t>ASSUMED</t>
        </is>
      </c>
      <c r="G68" s="234" t="inlineStr">
        <is>
          <t>Sturgeon 2018 margins make the scale interpretable, not the value</t>
        </is>
      </c>
    </row>
    <row r="69">
      <c r="B69" s="238" t="inlineStr">
        <is>
          <t>E4 Aftermarket</t>
        </is>
      </c>
      <c r="C69" s="238" t="inlineStr">
        <is>
          <t>D54</t>
        </is>
      </c>
      <c r="D69" s="238" t="inlineStr">
        <is>
          <t>Stress path: OEM → aftermarket shift per quarter through FY27 (points)</t>
        </is>
      </c>
      <c r="E69" s="237" t="n">
        <v>0.01</v>
      </c>
      <c r="F69" s="234" t="inlineStr">
        <is>
          <t>ASSUMED</t>
        </is>
      </c>
      <c r="G69" s="234" t="inlineStr">
        <is>
          <t>model/thesis_audit_2026-10-01/assumptions.json (memo stress; 5.5-pt endpoint)</t>
        </is>
      </c>
    </row>
    <row r="70">
      <c r="B70" s="238" t="inlineStr">
        <is>
          <t>E4 Aftermarket</t>
        </is>
      </c>
      <c r="C70" s="238" t="inlineStr">
        <is>
          <t>D55</t>
        </is>
      </c>
      <c r="D70" s="238" t="inlineStr">
        <is>
          <t>Stress path: recycled → aftermarket shift per quarter (points)</t>
        </is>
      </c>
      <c r="E70" s="237" t="n">
        <v>0.00375</v>
      </c>
      <c r="F70" s="234" t="inlineStr">
        <is>
          <t>ASSUMED</t>
        </is>
      </c>
      <c r="G70" s="234" t="inlineStr">
        <is>
          <t>same</t>
        </is>
      </c>
    </row>
    <row r="71">
      <c r="B71" s="238" t="inlineStr">
        <is>
          <t>E4 Aftermarket</t>
        </is>
      </c>
      <c r="C71" s="238" t="inlineStr">
        <is>
          <t>D56</t>
        </is>
      </c>
      <c r="D71" s="238" t="inlineStr">
        <is>
          <t>Stress path: hold FY27 endpoint through FY28 (1) or revert (0)</t>
        </is>
      </c>
      <c r="E71" s="240" t="n">
        <v>1</v>
      </c>
      <c r="F71" s="234" t="inlineStr">
        <is>
          <t>TOGGLE</t>
        </is>
      </c>
      <c r="G71" s="234" t="inlineStr">
        <is>
          <t>Convention for the stress path only</t>
        </is>
      </c>
    </row>
    <row r="72">
      <c r="B72" s="238" t="inlineStr">
        <is>
          <t>E4 Aftermarket</t>
        </is>
      </c>
      <c r="C72" s="238" t="inlineStr">
        <is>
          <t>D57</t>
        </is>
      </c>
      <c r="D72" s="238" t="inlineStr">
        <is>
          <t>τ: recycler bid transmission to the marginal price</t>
        </is>
      </c>
      <c r="E72" s="237" t="n">
        <v>0.5</v>
      </c>
      <c r="F72" s="234" t="inlineStr">
        <is>
          <t>ASSUMED</t>
        </is>
      </c>
      <c r="G72" s="234" t="inlineStr">
        <is>
          <t>The 10% case removes most of the price effect (AUDIT.md)</t>
        </is>
      </c>
    </row>
    <row r="73">
      <c r="B73" s="238" t="inlineStr">
        <is>
          <t>E4 Aftermarket</t>
        </is>
      </c>
      <c r="C73" s="238" t="inlineStr">
        <is>
          <t>D58</t>
        </is>
      </c>
      <c r="D73" s="238" t="inlineStr">
        <is>
          <t>Endpoint recycled displacement used by the engine (points)</t>
        </is>
      </c>
      <c r="E73" s="237" t="n">
        <v>0.015</v>
      </c>
      <c r="F73" s="234" t="inlineStr">
        <is>
          <t>ASSUMED</t>
        </is>
      </c>
      <c r="G73" s="234" t="inlineStr">
        <is>
          <t>ccc_larger_shift case</t>
        </is>
      </c>
    </row>
    <row r="74">
      <c r="B74" s="238" t="inlineStr">
        <is>
          <t>E4 Aftermarket</t>
        </is>
      </c>
      <c r="C74" s="238" t="inlineStr">
        <is>
          <t>D64</t>
        </is>
      </c>
      <c r="D74" s="238" t="inlineStr">
        <is>
          <t>Sourcing path selector: 1 = observed CCC trend continued; 2 = memo stress (5.5 pts by FQ4 FY27)</t>
        </is>
      </c>
      <c r="E74" s="240" t="n">
        <v>1</v>
      </c>
      <c r="F74" s="234" t="inlineStr">
        <is>
          <t>TOGGLE</t>
        </is>
      </c>
      <c r="G74" s="234" t="inlineStr">
        <is>
          <t>Default is the evidence; the stress is shown for the memo's larger case</t>
        </is>
      </c>
    </row>
    <row r="75">
      <c r="B75" s="238" t="inlineStr">
        <is>
          <t>E4 Aftermarket</t>
        </is>
      </c>
      <c r="C75" s="238" t="inlineStr">
        <is>
          <t>D65</t>
        </is>
      </c>
      <c r="D75" s="238" t="inlineStr">
        <is>
          <t>Observed path: aftermarket dollar-share gain per quarter (points)</t>
        </is>
      </c>
      <c r="E75" s="237" t="n">
        <v>0.00425</v>
      </c>
      <c r="F75" s="234" t="inlineStr"/>
      <c r="G75" s="234" t="inlineStr">
        <is>
          <t>CCC 2024→25 +1.7 pts a year ÷ 4; a one-year trend, so a continuation assumption</t>
        </is>
      </c>
    </row>
    <row r="76">
      <c r="B76" s="238" t="inlineStr">
        <is>
          <t>E4 Aftermarket</t>
        </is>
      </c>
      <c r="C76" s="238" t="inlineStr">
        <is>
          <t>D66</t>
        </is>
      </c>
      <c r="D76" s="238" t="inlineStr">
        <is>
          <t>Observed path: recycled dollar-share loss per quarter (points)</t>
        </is>
      </c>
      <c r="E76" s="237" t="n">
        <v>0.0005</v>
      </c>
      <c r="F76" s="234" t="inlineStr"/>
      <c r="G76" s="234" t="inlineStr">
        <is>
          <t>CCC 2024→25 −0.2 pt a year ÷ 4</t>
        </is>
      </c>
    </row>
    <row r="77">
      <c r="B77" s="238" t="inlineStr">
        <is>
          <t>E4 Aftermarket</t>
        </is>
      </c>
      <c r="C77" s="238" t="inlineStr">
        <is>
          <t>D67</t>
        </is>
      </c>
      <c r="D77" s="238" t="inlineStr">
        <is>
          <t>Tariff effect: additional aftermarket share suppressed by the Taiwan parts tariff (points, FY27 endpoint)</t>
        </is>
      </c>
      <c r="E77" s="237" t="n">
        <v>0</v>
      </c>
      <c r="F77" s="234" t="inlineStr">
        <is>
          <t>ASSUMED</t>
        </is>
      </c>
      <c r="G77" s="234" t="inlineStr">
        <is>
          <t>Memo: 0.84–1.69 pts with a price-response coefficient of 2; coefficient unsourced, so 0 by default. The other session verified a 1 May 2025 implementation for qualifying categories only</t>
        </is>
      </c>
    </row>
    <row r="78">
      <c r="B78" s="238" t="inlineStr">
        <is>
          <t>E5 Prices &amp; Fees</t>
        </is>
      </c>
      <c r="C78" s="238" t="inlineStr">
        <is>
          <t>G17</t>
        </is>
      </c>
      <c r="D78" s="238" t="inlineStr">
        <is>
          <t>Reference: disclosed US insurance ASP y/y (FQ4 FY26 +3.7%; Manheim +2.8%)</t>
        </is>
      </c>
      <c r="E78" s="237" t="n">
        <v>0.037</v>
      </c>
      <c r="F78" s="234" t="inlineStr"/>
      <c r="G78" s="234" t="inlineStr">
        <is>
          <t>VERIFIED, call 10 Sep 2026</t>
        </is>
      </c>
    </row>
    <row r="79">
      <c r="B79" s="238" t="inlineStr">
        <is>
          <t>E5 Prices &amp; Fees</t>
        </is>
      </c>
      <c r="C79" s="238" t="inlineStr">
        <is>
          <t>D39</t>
        </is>
      </c>
      <c r="D79" s="238" t="inlineStr">
        <is>
          <t>Insurance share of US service dollars</t>
        </is>
      </c>
      <c r="E79" s="240" t="n">
        <v>0.9</v>
      </c>
      <c r="F79" s="234" t="inlineStr">
        <is>
          <t>ASSUMED</t>
        </is>
      </c>
      <c r="G79" s="234" t="inlineStr">
        <is>
          <t>0.80 alternative; carry both</t>
        </is>
      </c>
    </row>
    <row r="80">
      <c r="B80" s="238" t="inlineStr">
        <is>
          <t>E5 Prices &amp; Fees</t>
        </is>
      </c>
      <c r="C80" s="238" t="inlineStr">
        <is>
          <t>D40</t>
        </is>
      </c>
      <c r="D80" s="238" t="inlineStr">
        <is>
          <t>Title service: adoption (share of sales)</t>
        </is>
      </c>
      <c r="E80" s="237" t="n">
        <v>0.5</v>
      </c>
      <c r="F80" s="234" t="inlineStr">
        <is>
          <t>ASSUMED</t>
        </is>
      </c>
      <c r="G80" s="234" t="inlineStr">
        <is>
          <t>Undisclosed</t>
        </is>
      </c>
    </row>
    <row r="81">
      <c r="B81" s="238" t="inlineStr">
        <is>
          <t>E5 Prices &amp; Fees</t>
        </is>
      </c>
      <c r="C81" s="238" t="inlineStr">
        <is>
          <t>D41</t>
        </is>
      </c>
      <c r="D81" s="238" t="inlineStr">
        <is>
          <t>Title service: charge per job</t>
        </is>
      </c>
      <c r="E81" s="237" t="n">
        <v>50</v>
      </c>
      <c r="F81" s="234" t="inlineStr">
        <is>
          <t>ASSUMED</t>
        </is>
      </c>
      <c r="G81" s="234" t="inlineStr">
        <is>
          <t>Inherited with the adoption rate above; product price undisclosed</t>
        </is>
      </c>
    </row>
    <row r="82">
      <c r="B82" s="238" t="inlineStr">
        <is>
          <t>E5 Prices &amp; Fees</t>
        </is>
      </c>
      <c r="C82" s="238" t="inlineStr">
        <is>
          <t>D42</t>
        </is>
      </c>
      <c r="D82" s="238" t="inlineStr">
        <is>
          <t>Delivery service: adoption</t>
        </is>
      </c>
      <c r="E82" s="237" t="n">
        <v>0.1</v>
      </c>
      <c r="F82" s="234" t="inlineStr">
        <is>
          <t>ASSUMED</t>
        </is>
      </c>
      <c r="G82" s="234" t="inlineStr">
        <is>
          <t>Undisclosed; gross/net unknown</t>
        </is>
      </c>
    </row>
    <row r="83">
      <c r="B83" s="238" t="inlineStr">
        <is>
          <t>E5 Prices &amp; Fees</t>
        </is>
      </c>
      <c r="C83" s="238" t="inlineStr">
        <is>
          <t>D43</t>
        </is>
      </c>
      <c r="D83" s="238" t="inlineStr">
        <is>
          <t>Delivery service: charge per job</t>
        </is>
      </c>
      <c r="E83" s="237" t="n">
        <v>300</v>
      </c>
      <c r="F83" s="234" t="inlineStr">
        <is>
          <t>ASSUMED</t>
        </is>
      </c>
      <c r="G83" s="234" t="inlineStr">
        <is>
          <t>Inherited; gross charge per delivered vehicle, product price undisclosed</t>
        </is>
      </c>
    </row>
    <row r="84">
      <c r="B84" s="238" t="inlineStr">
        <is>
          <t>E5 Prices &amp; Fees</t>
        </is>
      </c>
      <c r="C84" s="238" t="inlineStr">
        <is>
          <t>D44</t>
        </is>
      </c>
      <c r="D84" s="238" t="inlineStr">
        <is>
          <t>US insurance ASP growth, FY27+ (continuation)</t>
        </is>
      </c>
      <c r="E84" s="237" t="n">
        <v>0.037</v>
      </c>
      <c r="F84" s="234" t="inlineStr">
        <is>
          <t>ASSUMED</t>
        </is>
      </c>
      <c r="G84" s="234" t="inlineStr">
        <is>
          <t>FQ4 FY26 disclosed +3.7% continued; not guidance (6% alternative)</t>
        </is>
      </c>
    </row>
    <row r="85">
      <c r="B85" s="238" t="inlineStr">
        <is>
          <t>E5 Prices &amp; Fees</t>
        </is>
      </c>
      <c r="C85" s="238" t="inlineStr">
        <is>
          <t>D45</t>
        </is>
      </c>
      <c r="D85" s="238" t="inlineStr">
        <is>
          <t>ASP₀: modeled selected-vehicle price at the FY26 anchor</t>
        </is>
      </c>
      <c r="E85" s="237" t="n">
        <v>3040.99</v>
      </c>
      <c r="F85" s="234" t="inlineStr">
        <is>
          <t>ENGINE</t>
        </is>
      </c>
      <c r="G85" s="234" t="inlineStr">
        <is>
          <t>age_constrained_engine_results.json baseline_core.ASP</t>
        </is>
      </c>
    </row>
    <row r="86">
      <c r="B86" s="238" t="inlineStr">
        <is>
          <t>E5 Prices &amp; Fees</t>
        </is>
      </c>
      <c r="C86" s="238" t="inlineStr">
        <is>
          <t>D46</t>
        </is>
      </c>
      <c r="D86" s="238" t="inlineStr">
        <is>
          <t>Core RPU at the anchor (buyer fees + seller commission + fixed fees)</t>
        </is>
      </c>
      <c r="E86" s="237" t="n">
        <v>851.51</v>
      </c>
      <c r="F86" s="234" t="inlineStr">
        <is>
          <t>ENGINE</t>
        </is>
      </c>
      <c r="G86" s="234" t="inlineStr">
        <is>
          <t>baseline_core.core_RPU</t>
        </is>
      </c>
    </row>
    <row r="87">
      <c r="B87" s="238" t="inlineStr">
        <is>
          <t>E5 Prices &amp; Fees</t>
        </is>
      </c>
      <c r="C87" s="238" t="inlineStr">
        <is>
          <t>D47</t>
        </is>
      </c>
      <c r="D87" s="238" t="inlineStr">
        <is>
          <t>Seller commission rate embedded in the anchor</t>
        </is>
      </c>
      <c r="E87" s="237" t="n">
        <v>0.04</v>
      </c>
      <c r="F87" s="234" t="inlineStr">
        <is>
          <t>ASSUMED</t>
        </is>
      </c>
      <c r="G87" s="234" t="inlineStr">
        <is>
          <t>driver_register buyer_and_seller_fees</t>
        </is>
      </c>
    </row>
    <row r="88">
      <c r="B88" s="238" t="inlineStr">
        <is>
          <t>E5 Prices &amp; Fees</t>
        </is>
      </c>
      <c r="C88" s="238" t="inlineStr">
        <is>
          <t>D48</t>
        </is>
      </c>
      <c r="D88" s="238" t="inlineStr">
        <is>
          <t>Fixed buyer fees embedded in the anchor</t>
        </is>
      </c>
      <c r="E88" s="237" t="n">
        <v>110</v>
      </c>
      <c r="F88" s="234" t="inlineStr">
        <is>
          <t>ASSUMED</t>
        </is>
      </c>
      <c r="G88" s="234" t="inlineStr">
        <is>
          <t>Inherited; contradicts posted $79/$95 gate fee — flagged in source trace</t>
        </is>
      </c>
    </row>
    <row r="89">
      <c r="B89" s="238" t="inlineStr">
        <is>
          <t>E6 Other Branches</t>
        </is>
      </c>
      <c r="C89" s="238" t="inlineStr">
        <is>
          <t>D30</t>
        </is>
      </c>
      <c r="D89" s="238" t="inlineStr">
        <is>
          <t>US non-insurance service growth, y/y</t>
        </is>
      </c>
      <c r="E89" s="237" t="n">
        <v>0</v>
      </c>
      <c r="F89" s="234" t="inlineStr">
        <is>
          <t>ASSUMED</t>
        </is>
      </c>
      <c r="G89" s="234" t="inlineStr">
        <is>
          <t>Flat convention; FQ4 FY26 non-insurance units +0.2% with dealer +5.8%, BluCar +20%, Direct −11.7% (call)</t>
        </is>
      </c>
    </row>
    <row r="90">
      <c r="B90" s="238" t="inlineStr">
        <is>
          <t>E6 Other Branches</t>
        </is>
      </c>
      <c r="C90" s="238" t="inlineStr">
        <is>
          <t>D31</t>
        </is>
      </c>
      <c r="D90" s="238" t="inlineStr">
        <is>
          <t>International fee-unit growth, y/y</t>
        </is>
      </c>
      <c r="E90" s="237" t="n">
        <v>0.116</v>
      </c>
      <c r="F90" s="234" t="inlineStr">
        <is>
          <t>ASSUMED</t>
        </is>
      </c>
      <c r="G90" s="234" t="inlineStr">
        <is>
          <t>Derived FQ4 FY26: service +15.5% ÷ 1.035 − 1 (MEASURED by identity), continued as an assumption</t>
        </is>
      </c>
    </row>
    <row r="91">
      <c r="B91" s="238" t="inlineStr">
        <is>
          <t>E6 Other Branches</t>
        </is>
      </c>
      <c r="C91" s="238" t="inlineStr">
        <is>
          <t>D32</t>
        </is>
      </c>
      <c r="D91" s="238" t="inlineStr">
        <is>
          <t>International fee RPU growth, y/y</t>
        </is>
      </c>
      <c r="E91" s="237" t="n">
        <v>0.035</v>
      </c>
      <c r="F91" s="234" t="inlineStr">
        <is>
          <t>ASSUMED</t>
        </is>
      </c>
      <c r="G91" s="234" t="inlineStr">
        <is>
          <t>FQ4 FY26 disclosed +3.5% (VERIFIED), continued</t>
        </is>
      </c>
    </row>
    <row r="92">
      <c r="B92" s="238" t="inlineStr">
        <is>
          <t>E6 Other Branches</t>
        </is>
      </c>
      <c r="C92" s="238" t="inlineStr">
        <is>
          <t>D33</t>
        </is>
      </c>
      <c r="D92" s="238" t="inlineStr">
        <is>
          <t>International continuation toggle (1 = continue; 0 = flat)</t>
        </is>
      </c>
      <c r="E92" s="240" t="n">
        <v>1</v>
      </c>
      <c r="F92" s="234" t="inlineStr">
        <is>
          <t>TOGGLE</t>
        </is>
      </c>
      <c r="G92" s="234" t="inlineStr">
        <is>
          <t>Worth about $90m a year</t>
        </is>
      </c>
    </row>
    <row r="93">
      <c r="B93" s="238" t="inlineStr">
        <is>
          <t>E6 Other Branches</t>
        </is>
      </c>
      <c r="C93" s="238" t="inlineStr">
        <is>
          <t>D34</t>
        </is>
      </c>
      <c r="D93" s="238" t="inlineStr">
        <is>
          <t>Purchased-vehicle revenue growth, y/y</t>
        </is>
      </c>
      <c r="E93" s="237" t="n">
        <v>0</v>
      </c>
      <c r="F93" s="234" t="inlineStr">
        <is>
          <t>ASSUMED</t>
        </is>
      </c>
      <c r="G93" s="234" t="inlineStr">
        <is>
          <t>Flat convention</t>
        </is>
      </c>
    </row>
    <row r="94">
      <c r="B94" s="238" t="inlineStr">
        <is>
          <t>E6 Other Branches</t>
        </is>
      </c>
      <c r="C94" s="238" t="inlineStr">
        <is>
          <t>D35</t>
        </is>
      </c>
      <c r="D94" s="238" t="inlineStr">
        <is>
          <t>ACV included (1) or excluded (0)</t>
        </is>
      </c>
      <c r="E94" s="240" t="n">
        <v>0</v>
      </c>
      <c r="F94" s="234" t="inlineStr">
        <is>
          <t>TOGGLE</t>
        </is>
      </c>
      <c r="G94" s="234" t="inlineStr">
        <is>
          <t>Perimeter gate</t>
        </is>
      </c>
    </row>
    <row r="95">
      <c r="B95" s="238" t="inlineStr">
        <is>
          <t>Scenarios</t>
        </is>
      </c>
      <c r="C95" s="238" t="inlineStr">
        <is>
          <t>D101</t>
        </is>
      </c>
      <c r="D95" s="238" t="inlineStr">
        <is>
          <t>Case 0 — Street-implied: known runoff, coverage recovery reverse-solved to JPM FY27</t>
        </is>
      </c>
      <c r="E95" s="240" t="n">
        <v>0</v>
      </c>
      <c r="F95" s="234" t="inlineStr"/>
      <c r="G95" s="234" t="inlineStr">
        <is>
          <t>Case parameter (toggle) — see Scenarios case definitions</t>
        </is>
      </c>
    </row>
    <row r="96">
      <c r="B96" s="238" t="inlineStr">
        <is>
          <t>Scenarios</t>
        </is>
      </c>
      <c r="C96" s="238" t="inlineStr">
        <is>
          <t>E101</t>
        </is>
      </c>
      <c r="D96" s="238" t="inlineStr">
        <is>
          <t>Case 0 — Street-implied: known runoff, coverage recovery reverse-solved to JPM FY27</t>
        </is>
      </c>
      <c r="E96" s="240" t="n">
        <v>0</v>
      </c>
      <c r="F96" s="234" t="inlineStr"/>
      <c r="G96" s="234" t="inlineStr">
        <is>
          <t>Case parameter (toggle) — see Scenarios case definitions</t>
        </is>
      </c>
    </row>
    <row r="97">
      <c r="B97" s="238" t="inlineStr">
        <is>
          <t>Scenarios</t>
        </is>
      </c>
      <c r="C97" s="238" t="inlineStr">
        <is>
          <t>H101</t>
        </is>
      </c>
      <c r="D97" s="238" t="inlineStr">
        <is>
          <t>Case 0 — Street-implied: known runoff, coverage recovery reverse-solved to JPM FY27</t>
        </is>
      </c>
      <c r="E97" s="240" t="n">
        <v>3</v>
      </c>
      <c r="F97" s="234" t="inlineStr"/>
      <c r="G97" s="234" t="inlineStr">
        <is>
          <t>Case parameter (toggle) — see Scenarios case definitions</t>
        </is>
      </c>
    </row>
    <row r="98">
      <c r="B98" s="238" t="inlineStr">
        <is>
          <t>Scenarios</t>
        </is>
      </c>
      <c r="C98" s="238" t="inlineStr">
        <is>
          <t>D102</t>
        </is>
      </c>
      <c r="D98" s="238" t="inlineStr">
        <is>
          <t>Case 1 — Known facts / thesis 1 sticky: runoff laps, coverage flat, no other thesis</t>
        </is>
      </c>
      <c r="E98" s="240" t="n">
        <v>0</v>
      </c>
      <c r="F98" s="234" t="inlineStr"/>
      <c r="G98" s="234" t="inlineStr">
        <is>
          <t>Case parameter (toggle) — see Scenarios case definitions</t>
        </is>
      </c>
    </row>
    <row r="99">
      <c r="B99" s="238" t="inlineStr">
        <is>
          <t>Scenarios</t>
        </is>
      </c>
      <c r="C99" s="238" t="inlineStr">
        <is>
          <t>E102</t>
        </is>
      </c>
      <c r="D99" s="238" t="inlineStr">
        <is>
          <t>Case 1 — Known facts / thesis 1 sticky: runoff laps, coverage flat, no other thesis</t>
        </is>
      </c>
      <c r="E99" s="240" t="n">
        <v>0</v>
      </c>
      <c r="F99" s="234" t="inlineStr"/>
      <c r="G99" s="234" t="inlineStr">
        <is>
          <t>Case parameter (toggle) — see Scenarios case definitions</t>
        </is>
      </c>
    </row>
    <row r="100">
      <c r="B100" s="238" t="inlineStr">
        <is>
          <t>Scenarios</t>
        </is>
      </c>
      <c r="C100" s="238" t="inlineStr">
        <is>
          <t>H102</t>
        </is>
      </c>
      <c r="D100" s="238" t="inlineStr">
        <is>
          <t>Case 1 — Known facts / thesis 1 sticky: runoff laps, coverage flat, no other thesis</t>
        </is>
      </c>
      <c r="E100" s="240" t="n">
        <v>1</v>
      </c>
      <c r="F100" s="234" t="inlineStr"/>
      <c r="G100" s="234" t="inlineStr">
        <is>
          <t>Case parameter (toggle) — see Scenarios case definitions</t>
        </is>
      </c>
    </row>
    <row r="101">
      <c r="B101" s="238" t="inlineStr">
        <is>
          <t>Scenarios</t>
        </is>
      </c>
      <c r="C101" s="238" t="inlineStr">
        <is>
          <t>D103</t>
        </is>
      </c>
      <c r="D101" s="238" t="inlineStr">
        <is>
          <t>Case 1b — Premium-response coverage (mechanistic bull on thesis 1)</t>
        </is>
      </c>
      <c r="E101" s="240" t="n">
        <v>0</v>
      </c>
      <c r="F101" s="234" t="inlineStr"/>
      <c r="G101" s="234" t="inlineStr">
        <is>
          <t>Case parameter (toggle) — see Scenarios case definitions</t>
        </is>
      </c>
    </row>
    <row r="102">
      <c r="B102" s="238" t="inlineStr">
        <is>
          <t>Scenarios</t>
        </is>
      </c>
      <c r="C102" s="238" t="inlineStr">
        <is>
          <t>E103</t>
        </is>
      </c>
      <c r="D102" s="238" t="inlineStr">
        <is>
          <t>Case 1b — Premium-response coverage (mechanistic bull on thesis 1)</t>
        </is>
      </c>
      <c r="E102" s="240" t="n">
        <v>0</v>
      </c>
      <c r="F102" s="234" t="inlineStr"/>
      <c r="G102" s="234" t="inlineStr">
        <is>
          <t>Case parameter (toggle) — see Scenarios case definitions</t>
        </is>
      </c>
    </row>
    <row r="103">
      <c r="B103" s="238" t="inlineStr">
        <is>
          <t>Scenarios</t>
        </is>
      </c>
      <c r="C103" s="238" t="inlineStr">
        <is>
          <t>H103</t>
        </is>
      </c>
      <c r="D103" s="238" t="inlineStr">
        <is>
          <t>Case 1b — Premium-response coverage (mechanistic bull on thesis 1)</t>
        </is>
      </c>
      <c r="E103" s="240" t="n">
        <v>2</v>
      </c>
      <c r="F103" s="234" t="inlineStr"/>
      <c r="G103" s="234" t="inlineStr">
        <is>
          <t>Case parameter (toggle) — see Scenarios case definitions</t>
        </is>
      </c>
    </row>
    <row r="104">
      <c r="B104" s="238" t="inlineStr">
        <is>
          <t>Scenarios</t>
        </is>
      </c>
      <c r="C104" s="238" t="inlineStr">
        <is>
          <t>D104</t>
        </is>
      </c>
      <c r="D104" s="238" t="inlineStr">
        <is>
          <t>Thesis 2 — aftermarket substitution on case 1</t>
        </is>
      </c>
      <c r="E104" s="240" t="n">
        <v>0</v>
      </c>
      <c r="F104" s="234" t="inlineStr"/>
      <c r="G104" s="234" t="inlineStr">
        <is>
          <t>Case parameter (toggle) — see Scenarios case definitions</t>
        </is>
      </c>
    </row>
    <row r="105">
      <c r="B105" s="238" t="inlineStr">
        <is>
          <t>Scenarios</t>
        </is>
      </c>
      <c r="C105" s="238" t="inlineStr">
        <is>
          <t>E104</t>
        </is>
      </c>
      <c r="D105" s="238" t="inlineStr">
        <is>
          <t>Thesis 2 — aftermarket substitution on case 1</t>
        </is>
      </c>
      <c r="E105" s="240" t="n">
        <v>1</v>
      </c>
      <c r="F105" s="234" t="inlineStr"/>
      <c r="G105" s="234" t="inlineStr">
        <is>
          <t>Case parameter (toggle) — see Scenarios case definitions</t>
        </is>
      </c>
    </row>
    <row r="106">
      <c r="B106" s="238" t="inlineStr">
        <is>
          <t>Scenarios</t>
        </is>
      </c>
      <c r="C106" s="238" t="inlineStr">
        <is>
          <t>H104</t>
        </is>
      </c>
      <c r="D106" s="238" t="inlineStr">
        <is>
          <t>Thesis 2 — aftermarket substitution on case 1</t>
        </is>
      </c>
      <c r="E106" s="240" t="n">
        <v>1</v>
      </c>
      <c r="F106" s="234" t="inlineStr"/>
      <c r="G106" s="234" t="inlineStr">
        <is>
          <t>Case parameter (toggle) — see Scenarios case definitions</t>
        </is>
      </c>
    </row>
    <row r="107">
      <c r="B107" s="238" t="inlineStr">
        <is>
          <t>Scenarios</t>
        </is>
      </c>
      <c r="C107" s="238" t="inlineStr">
        <is>
          <t>D105</t>
        </is>
      </c>
      <c r="D107" s="238" t="inlineStr">
        <is>
          <t>Thesis 3 — probability-weighted carrier moves on case 1</t>
        </is>
      </c>
      <c r="E107" s="240" t="n">
        <v>1</v>
      </c>
      <c r="F107" s="234" t="inlineStr"/>
      <c r="G107" s="234" t="inlineStr">
        <is>
          <t>Case parameter (toggle) — see Scenarios case definitions</t>
        </is>
      </c>
    </row>
    <row r="108">
      <c r="B108" s="238" t="inlineStr">
        <is>
          <t>Scenarios</t>
        </is>
      </c>
      <c r="C108" s="238" t="inlineStr">
        <is>
          <t>E105</t>
        </is>
      </c>
      <c r="D108" s="238" t="inlineStr">
        <is>
          <t>Thesis 3 — probability-weighted carrier moves on case 1</t>
        </is>
      </c>
      <c r="E108" s="240" t="n">
        <v>0</v>
      </c>
      <c r="F108" s="234" t="inlineStr"/>
      <c r="G108" s="234" t="inlineStr">
        <is>
          <t>Case parameter (toggle) — see Scenarios case definitions</t>
        </is>
      </c>
    </row>
    <row r="109">
      <c r="B109" s="238" t="inlineStr">
        <is>
          <t>Scenarios</t>
        </is>
      </c>
      <c r="C109" s="238" t="inlineStr">
        <is>
          <t>H105</t>
        </is>
      </c>
      <c r="D109" s="238" t="inlineStr">
        <is>
          <t>Thesis 3 — probability-weighted carrier moves on case 1</t>
        </is>
      </c>
      <c r="E109" s="240" t="n">
        <v>1</v>
      </c>
      <c r="F109" s="234" t="inlineStr"/>
      <c r="G109" s="234" t="inlineStr">
        <is>
          <t>Case parameter (toggle) — see Scenarios case definitions</t>
        </is>
      </c>
    </row>
    <row r="110">
      <c r="B110" s="238" t="inlineStr">
        <is>
          <t>Scenarios</t>
        </is>
      </c>
      <c r="C110" s="238" t="inlineStr">
        <is>
          <t>D106</t>
        </is>
      </c>
      <c r="D110" s="238" t="inlineStr">
        <is>
          <t>All three — sticky coverage + aftermarket + carrier moves</t>
        </is>
      </c>
      <c r="E110" s="240" t="n">
        <v>1</v>
      </c>
      <c r="F110" s="234" t="inlineStr"/>
      <c r="G110" s="234" t="inlineStr">
        <is>
          <t>Case parameter (toggle) — see Scenarios case definitions</t>
        </is>
      </c>
    </row>
    <row r="111">
      <c r="B111" s="238" t="inlineStr">
        <is>
          <t>Scenarios</t>
        </is>
      </c>
      <c r="C111" s="238" t="inlineStr">
        <is>
          <t>E106</t>
        </is>
      </c>
      <c r="D111" s="238" t="inlineStr">
        <is>
          <t>All three — sticky coverage + aftermarket + carrier moves</t>
        </is>
      </c>
      <c r="E111" s="240" t="n">
        <v>1</v>
      </c>
      <c r="F111" s="234" t="inlineStr"/>
      <c r="G111" s="234" t="inlineStr">
        <is>
          <t>Case parameter (toggle) — see Scenarios case definitions</t>
        </is>
      </c>
    </row>
    <row r="112">
      <c r="B112" s="238" t="inlineStr">
        <is>
          <t>Scenarios</t>
        </is>
      </c>
      <c r="C112" s="238" t="inlineStr">
        <is>
          <t>H106</t>
        </is>
      </c>
      <c r="D112" s="238" t="inlineStr">
        <is>
          <t>All three — sticky coverage + aftermarket + carrier moves</t>
        </is>
      </c>
      <c r="E112" s="240" t="n">
        <v>1</v>
      </c>
      <c r="F112" s="234" t="inlineStr"/>
      <c r="G112" s="234" t="inlineStr">
        <is>
          <t>Case parameter (toggle) — see Scenarios case definitions</t>
        </is>
      </c>
    </row>
    <row r="113">
      <c r="B113" s="238" t="inlineStr">
        <is>
          <t>Scenarios</t>
        </is>
      </c>
      <c r="C113" s="238" t="inlineStr">
        <is>
          <t>D107</t>
        </is>
      </c>
      <c r="D113" s="238" t="inlineStr">
        <is>
          <t>Bull — premium-response coverage, ASP +6%</t>
        </is>
      </c>
      <c r="E113" s="240" t="n">
        <v>0</v>
      </c>
      <c r="F113" s="234" t="inlineStr"/>
      <c r="G113" s="234" t="inlineStr">
        <is>
          <t>Case parameter (toggle) — see Scenarios case definitions</t>
        </is>
      </c>
    </row>
    <row r="114">
      <c r="B114" s="238" t="inlineStr">
        <is>
          <t>Scenarios</t>
        </is>
      </c>
      <c r="C114" s="238" t="inlineStr">
        <is>
          <t>E107</t>
        </is>
      </c>
      <c r="D114" s="238" t="inlineStr">
        <is>
          <t>Bull — premium-response coverage, ASP +6%</t>
        </is>
      </c>
      <c r="E114" s="240" t="n">
        <v>0</v>
      </c>
      <c r="F114" s="234" t="inlineStr"/>
      <c r="G114" s="234" t="inlineStr">
        <is>
          <t>Case parameter (toggle) — see Scenarios case definitions</t>
        </is>
      </c>
    </row>
    <row r="115">
      <c r="B115" s="238" t="inlineStr">
        <is>
          <t>Scenarios</t>
        </is>
      </c>
      <c r="C115" s="238" t="inlineStr">
        <is>
          <t>F107</t>
        </is>
      </c>
      <c r="D115" s="238" t="inlineStr">
        <is>
          <t>Bull — premium-response coverage, ASP +6%</t>
        </is>
      </c>
      <c r="E115" s="237" t="n">
        <v>0.06</v>
      </c>
      <c r="F115" s="234" t="inlineStr"/>
      <c r="G115" s="234" t="inlineStr">
        <is>
          <t>Case parameter (toggle) — see Scenarios case definitions</t>
        </is>
      </c>
    </row>
    <row r="116">
      <c r="B116" s="238" t="inlineStr">
        <is>
          <t>Scenarios</t>
        </is>
      </c>
      <c r="C116" s="238" t="inlineStr">
        <is>
          <t>H107</t>
        </is>
      </c>
      <c r="D116" s="238" t="inlineStr">
        <is>
          <t>Bull — premium-response coverage, ASP +6%</t>
        </is>
      </c>
      <c r="E116" s="240" t="n">
        <v>2</v>
      </c>
      <c r="F116" s="234" t="inlineStr"/>
      <c r="G116" s="234" t="inlineStr">
        <is>
          <t>Case parameter (toggle) — see Scenarios case definitions</t>
        </is>
      </c>
    </row>
    <row r="117">
      <c r="B117" s="238" t="inlineStr">
        <is>
          <t>Scenarios</t>
        </is>
      </c>
      <c r="C117" s="238" t="inlineStr">
        <is>
          <t>D108</t>
        </is>
      </c>
      <c r="D117" s="238" t="inlineStr">
        <is>
          <t>JPMorgan FY27 service revenue, 11 Sep 2026 (ex-ACV)</t>
        </is>
      </c>
      <c r="E117" s="237" t="n">
        <v>4061</v>
      </c>
      <c r="F117" s="234" t="inlineStr"/>
      <c r="G117" s="234" t="inlineStr">
        <is>
          <t>VERIFIED, licensed report held locally, Table 3 lines 275–278</t>
        </is>
      </c>
    </row>
    <row r="118">
      <c r="B118" s="238" t="inlineStr">
        <is>
          <t>RPM</t>
        </is>
      </c>
      <c r="C118" s="238" t="inlineStr">
        <is>
          <t>D3</t>
        </is>
      </c>
      <c r="D118" s="238" t="inlineStr">
        <is>
          <t xml:space="preserve">Scenario selector: 1 Street-implied (case 0) · 2 Known facts / T1 sticky (case 1) · 3 Premium-response · 4 Thesis 2 · 5 </t>
        </is>
      </c>
      <c r="E118" s="240" t="n">
        <v>2</v>
      </c>
      <c r="F118" s="234" t="inlineStr"/>
      <c r="G118" s="234" t="inlineStr">
        <is>
          <t>Scenario selector (1–7), see label in B3</t>
        </is>
      </c>
    </row>
    <row r="119">
      <c r="B119" s="238" t="inlineStr">
        <is>
          <t>RPM</t>
        </is>
      </c>
      <c r="C119" s="238" t="inlineStr">
        <is>
          <t>D10</t>
        </is>
      </c>
      <c r="D119" s="238" t="inlineStr">
        <is>
          <t>Service revenue (fee-based)</t>
        </is>
      </c>
      <c r="E119" s="237" t="n">
        <v>2881.7</v>
      </c>
      <c r="F119" s="234" t="inlineStr"/>
      <c r="G119" s="234" t="inlineStr">
        <is>
          <t>FY27–28 from Scenarios (selected case); FY29–31 fade at row 43</t>
        </is>
      </c>
    </row>
    <row r="120">
      <c r="B120" s="238" t="inlineStr">
        <is>
          <t>RPM</t>
        </is>
      </c>
      <c r="C120" s="238" t="inlineStr">
        <is>
          <t>E10</t>
        </is>
      </c>
      <c r="D120" s="238" t="inlineStr">
        <is>
          <t>Service revenue (fee-based)</t>
        </is>
      </c>
      <c r="E120" s="237" t="n">
        <v>3199.6</v>
      </c>
      <c r="F120" s="234" t="inlineStr"/>
      <c r="G120" s="234" t="inlineStr">
        <is>
          <t>FY27–28 from Scenarios (selected case); FY29–31 fade at row 43</t>
        </is>
      </c>
    </row>
    <row r="121">
      <c r="B121" s="238" t="inlineStr">
        <is>
          <t>RPM</t>
        </is>
      </c>
      <c r="C121" s="238" t="inlineStr">
        <is>
          <t>F10</t>
        </is>
      </c>
      <c r="D121" s="238" t="inlineStr">
        <is>
          <t>Service revenue (fee-based)</t>
        </is>
      </c>
      <c r="E121" s="237" t="n">
        <v>3561</v>
      </c>
      <c r="F121" s="234" t="inlineStr"/>
      <c r="G121" s="234" t="inlineStr">
        <is>
          <t>FY27–28 from Scenarios (selected case); FY29–31 fade at row 43</t>
        </is>
      </c>
    </row>
    <row r="122">
      <c r="B122" s="238" t="inlineStr">
        <is>
          <t>RPM</t>
        </is>
      </c>
      <c r="C122" s="238" t="inlineStr">
        <is>
          <t>G10</t>
        </is>
      </c>
      <c r="D122" s="238" t="inlineStr">
        <is>
          <t>Service revenue (fee-based)</t>
        </is>
      </c>
      <c r="E122" s="237" t="n">
        <v>3968.7</v>
      </c>
      <c r="F122" s="234" t="inlineStr"/>
      <c r="G122" s="234" t="inlineStr">
        <is>
          <t>FY27–28 from Scenarios (selected case); FY29–31 fade at row 43</t>
        </is>
      </c>
    </row>
    <row r="123">
      <c r="B123" s="238" t="inlineStr">
        <is>
          <t>RPM</t>
        </is>
      </c>
      <c r="C123" s="238" t="inlineStr">
        <is>
          <t>H10</t>
        </is>
      </c>
      <c r="D123" s="238" t="inlineStr">
        <is>
          <t>Service revenue (fee-based)</t>
        </is>
      </c>
      <c r="E123" s="237" t="n">
        <v>3969.5</v>
      </c>
      <c r="F123" s="234" t="inlineStr"/>
      <c r="G123" s="234" t="inlineStr">
        <is>
          <t>FY27–28 from Scenarios (selected case); FY29–31 fade at row 43</t>
        </is>
      </c>
    </row>
    <row r="124">
      <c r="B124" s="238" t="inlineStr">
        <is>
          <t>RPM</t>
        </is>
      </c>
      <c r="C124" s="238" t="inlineStr">
        <is>
          <t>D12</t>
        </is>
      </c>
      <c r="D124" s="238" t="inlineStr">
        <is>
          <t>Vehicle sales (bought &amp; resold)</t>
        </is>
      </c>
      <c r="E124" s="237" t="n">
        <v>619.2</v>
      </c>
      <c r="F124" s="234" t="inlineStr"/>
      <c r="G124" s="234" t="inlineStr">
        <is>
          <t>FY27–28 from Scenarios (E6 purchased overlay); FY29–31 fade at row 44</t>
        </is>
      </c>
    </row>
    <row r="125">
      <c r="B125" s="238" t="inlineStr">
        <is>
          <t>RPM</t>
        </is>
      </c>
      <c r="C125" s="238" t="inlineStr">
        <is>
          <t>E12</t>
        </is>
      </c>
      <c r="D125" s="238" t="inlineStr">
        <is>
          <t>Vehicle sales (bought &amp; resold)</t>
        </is>
      </c>
      <c r="E125" s="237" t="n">
        <v>669.9</v>
      </c>
      <c r="F125" s="234" t="inlineStr"/>
      <c r="G125" s="234" t="inlineStr">
        <is>
          <t>FY27–28 from Scenarios (E6 purchased overlay); FY29–31 fade at row 44</t>
        </is>
      </c>
    </row>
    <row r="126">
      <c r="B126" s="238" t="inlineStr">
        <is>
          <t>RPM</t>
        </is>
      </c>
      <c r="C126" s="238" t="inlineStr">
        <is>
          <t>F12</t>
        </is>
      </c>
      <c r="D126" s="238" t="inlineStr">
        <is>
          <t>Vehicle sales (bought &amp; resold)</t>
        </is>
      </c>
      <c r="E126" s="237" t="n">
        <v>675.8</v>
      </c>
      <c r="F126" s="234" t="inlineStr"/>
      <c r="G126" s="234" t="inlineStr">
        <is>
          <t>FY27–28 from Scenarios (E6 purchased overlay); FY29–31 fade at row 44</t>
        </is>
      </c>
    </row>
    <row r="127">
      <c r="B127" s="238" t="inlineStr">
        <is>
          <t>RPM</t>
        </is>
      </c>
      <c r="C127" s="238" t="inlineStr">
        <is>
          <t>G12</t>
        </is>
      </c>
      <c r="D127" s="238" t="inlineStr">
        <is>
          <t>Vehicle sales (bought &amp; resold)</t>
        </is>
      </c>
      <c r="E127" s="237" t="n">
        <v>678.3</v>
      </c>
      <c r="F127" s="234" t="inlineStr"/>
      <c r="G127" s="234" t="inlineStr">
        <is>
          <t>FY27–28 from Scenarios (E6 purchased overlay); FY29–31 fade at row 44</t>
        </is>
      </c>
    </row>
    <row r="128">
      <c r="B128" s="238" t="inlineStr">
        <is>
          <t>RPM</t>
        </is>
      </c>
      <c r="C128" s="238" t="inlineStr">
        <is>
          <t>H12</t>
        </is>
      </c>
      <c r="D128" s="238" t="inlineStr">
        <is>
          <t>Vehicle sales (bought &amp; resold)</t>
        </is>
      </c>
      <c r="E128" s="237" t="n">
        <v>696.7</v>
      </c>
      <c r="F128" s="234" t="inlineStr"/>
      <c r="G128" s="234" t="inlineStr">
        <is>
          <t>FY27–28 from Scenarios (E6 purchased overlay); FY29–31 fade at row 44</t>
        </is>
      </c>
    </row>
    <row r="129">
      <c r="B129" s="238" t="inlineStr">
        <is>
          <t>RPM</t>
        </is>
      </c>
      <c r="C129" s="238" t="inlineStr">
        <is>
          <t>H17</t>
        </is>
      </c>
      <c r="D129" s="238" t="inlineStr">
        <is>
          <t>FY2026 global units</t>
        </is>
      </c>
      <c r="E129" s="237" t="n">
        <v>4000</v>
      </c>
      <c r="F129" s="234" t="inlineStr"/>
      <c r="G129" s="234" t="inlineStr">
        <is>
          <t>&lt;-  As an anchor for forecasts. Copart only discloses % change in its units sold. FY2026, Copart said "over 4million"-&gt; assuming 4m units for FY2026</t>
        </is>
      </c>
    </row>
    <row r="130">
      <c r="B130" s="238" t="inlineStr">
        <is>
          <t>RPM</t>
        </is>
      </c>
      <c r="C130" s="238" t="inlineStr">
        <is>
          <t>F18</t>
        </is>
      </c>
      <c r="D130" s="238" t="inlineStr">
        <is>
          <t>FY2026 unit mix: US insurance / US non-insurance / International</t>
        </is>
      </c>
      <c r="E130" s="237" t="n">
        <v>0.65</v>
      </c>
      <c r="F130" s="234" t="inlineStr"/>
      <c r="G130" s="234" t="inlineStr">
        <is>
          <t>Estimates</t>
        </is>
      </c>
    </row>
    <row r="131">
      <c r="B131" s="238" t="inlineStr">
        <is>
          <t>RPM</t>
        </is>
      </c>
      <c r="C131" s="238" t="inlineStr">
        <is>
          <t>G18</t>
        </is>
      </c>
      <c r="D131" s="238" t="inlineStr">
        <is>
          <t>FY2026 unit mix: US insurance / US non-insurance / International</t>
        </is>
      </c>
      <c r="E131" s="237" t="n">
        <v>0.17</v>
      </c>
      <c r="F131" s="234" t="inlineStr"/>
      <c r="G131" s="234" t="inlineStr">
        <is>
          <t>Estimates</t>
        </is>
      </c>
    </row>
    <row r="132">
      <c r="B132" s="238" t="inlineStr">
        <is>
          <t>RPM</t>
        </is>
      </c>
      <c r="C132" s="238" t="inlineStr">
        <is>
          <t>G21</t>
        </is>
      </c>
      <c r="D132" s="238" t="inlineStr">
        <is>
          <t>US insurance units, y/y</t>
        </is>
      </c>
      <c r="E132" s="237" t="n">
        <v>0.042</v>
      </c>
      <c r="F132" s="234" t="inlineStr"/>
      <c r="G132" s="234" t="inlineStr">
        <is>
          <t>FY27–28 from Scenarios (E2 pool × E3 share × E4); FY29–31 fade at row 45</t>
        </is>
      </c>
    </row>
    <row r="133">
      <c r="B133" s="238" t="inlineStr">
        <is>
          <t>RPM</t>
        </is>
      </c>
      <c r="C133" s="238" t="inlineStr">
        <is>
          <t>H21</t>
        </is>
      </c>
      <c r="D133" s="238" t="inlineStr">
        <is>
          <t>US insurance units, y/y</t>
        </is>
      </c>
      <c r="E133" s="237" t="n">
        <v>-0.08</v>
      </c>
      <c r="F133" s="234" t="inlineStr"/>
      <c r="G133" s="234" t="inlineStr">
        <is>
          <t>FY27–28 from Scenarios (E2 pool × E3 share × E4); FY29–31 fade at row 45</t>
        </is>
      </c>
    </row>
    <row r="134">
      <c r="B134" s="238" t="inlineStr">
        <is>
          <t>RPM</t>
        </is>
      </c>
      <c r="C134" s="238" t="inlineStr">
        <is>
          <t>G22</t>
        </is>
      </c>
      <c r="D134" s="238" t="inlineStr">
        <is>
          <t>US non-insurance units, y/y</t>
        </is>
      </c>
      <c r="E134" s="237" t="n">
        <v>0.028</v>
      </c>
      <c r="F134" s="234" t="inlineStr"/>
      <c r="G134" s="234" t="inlineStr">
        <is>
          <t>Forecasts link to volume build</t>
        </is>
      </c>
    </row>
    <row r="135">
      <c r="B135" s="238" t="inlineStr">
        <is>
          <t>RPM</t>
        </is>
      </c>
      <c r="C135" s="238" t="inlineStr">
        <is>
          <t>H22</t>
        </is>
      </c>
      <c r="D135" s="238" t="inlineStr">
        <is>
          <t>US non-insurance units, y/y</t>
        </is>
      </c>
      <c r="E135" s="237" t="n">
        <v>-0.039</v>
      </c>
      <c r="F135" s="234" t="inlineStr"/>
      <c r="G135" s="234" t="inlineStr">
        <is>
          <t>Forecasts link to volume build</t>
        </is>
      </c>
    </row>
    <row r="136">
      <c r="B136" s="238" t="inlineStr">
        <is>
          <t>RPM</t>
        </is>
      </c>
      <c r="C136" s="238" t="inlineStr">
        <is>
          <t>G23</t>
        </is>
      </c>
      <c r="D136" s="238" t="inlineStr">
        <is>
          <t>International units, y/y</t>
        </is>
      </c>
      <c r="E136" s="237" t="n">
        <v>0.081</v>
      </c>
      <c r="F136" s="234" t="inlineStr"/>
      <c r="G136" s="234" t="inlineStr">
        <is>
          <t>Owner-entered from Copart calls (international units y/y)</t>
        </is>
      </c>
    </row>
    <row r="137">
      <c r="B137" s="238" t="inlineStr">
        <is>
          <t>RPM</t>
        </is>
      </c>
      <c r="C137" s="238" t="inlineStr">
        <is>
          <t>H23</t>
        </is>
      </c>
      <c r="D137" s="238" t="inlineStr">
        <is>
          <t>International units, y/y</t>
        </is>
      </c>
      <c r="E137" s="237" t="n">
        <v>0.037</v>
      </c>
      <c r="F137" s="234" t="inlineStr"/>
      <c r="G137" s="234" t="inlineStr">
        <is>
          <t>Owner-entered from Copart calls (international units y/y)</t>
        </is>
      </c>
    </row>
    <row r="138">
      <c r="B138" s="238" t="inlineStr">
        <is>
          <t>RPM</t>
        </is>
      </c>
      <c r="C138" s="238" t="inlineStr">
        <is>
          <t>H37</t>
        </is>
      </c>
      <c r="D138" s="238" t="inlineStr">
        <is>
          <t>Global revenue per unit, y/y (disclosed)</t>
        </is>
      </c>
      <c r="E138" s="237" t="n">
        <v>0.057</v>
      </c>
      <c r="F138" s="234" t="inlineStr"/>
      <c r="G138" s="234" t="inlineStr">
        <is>
          <t>Disclosed by Copart (calls); owner-entered in v1</t>
        </is>
      </c>
    </row>
    <row r="139">
      <c r="B139" s="238" t="inlineStr">
        <is>
          <t>RPM</t>
        </is>
      </c>
      <c r="C139" s="238" t="inlineStr">
        <is>
          <t>H38</t>
        </is>
      </c>
      <c r="D139" s="238" t="inlineStr">
        <is>
          <t>Global ASP, y/y (disclosed)</t>
        </is>
      </c>
      <c r="E139" s="237" t="n">
        <v>0.055</v>
      </c>
      <c r="F139" s="234" t="inlineStr"/>
      <c r="G139" s="234" t="inlineStr">
        <is>
          <t>Disclosed by Copart (calls); owner-entered in v1</t>
        </is>
      </c>
    </row>
    <row r="140">
      <c r="B140" s="238" t="inlineStr">
        <is>
          <t>RPM</t>
        </is>
      </c>
      <c r="C140" s="238" t="inlineStr">
        <is>
          <t>G39</t>
        </is>
      </c>
      <c r="D140" s="238" t="inlineStr">
        <is>
          <t>International revenue, $M (disclosed)</t>
        </is>
      </c>
      <c r="E140" s="237" t="n">
        <v>791.9</v>
      </c>
      <c r="F140" s="234" t="inlineStr"/>
      <c r="G140" s="234" t="inlineStr">
        <is>
          <t>8-K segment revenue; owner-entered in v1 (see D Reported geography table)</t>
        </is>
      </c>
    </row>
    <row r="141">
      <c r="B141" s="238" t="inlineStr">
        <is>
          <t>RPM</t>
        </is>
      </c>
      <c r="C141" s="238" t="inlineStr">
        <is>
          <t>H39</t>
        </is>
      </c>
      <c r="D141" s="238" t="inlineStr">
        <is>
          <t>International revenue, $M (disclosed)</t>
        </is>
      </c>
      <c r="E141" s="237" t="n">
        <v>858.8</v>
      </c>
      <c r="F141" s="234" t="inlineStr"/>
      <c r="G141" s="234" t="inlineStr">
        <is>
          <t>8-K segment revenue; owner-entered in v1 (see D Reported geography table)</t>
        </is>
      </c>
    </row>
    <row r="142">
      <c r="B142" s="238" t="inlineStr">
        <is>
          <t>RPM</t>
        </is>
      </c>
      <c r="C142" s="238" t="inlineStr">
        <is>
          <t>G40</t>
        </is>
      </c>
      <c r="D142" s="238" t="inlineStr">
        <is>
          <t>US revenue, $M (disclosed)</t>
        </is>
      </c>
      <c r="E142" s="237" t="n">
        <v>3855.1</v>
      </c>
      <c r="F142" s="234" t="inlineStr"/>
      <c r="G142" s="234" t="inlineStr">
        <is>
          <t>8-K segment revenue; owner-entered in v1 (see D Reported geography table)</t>
        </is>
      </c>
    </row>
    <row r="143">
      <c r="B143" s="238" t="inlineStr">
        <is>
          <t>RPM</t>
        </is>
      </c>
      <c r="C143" s="238" t="inlineStr">
        <is>
          <t>H40</t>
        </is>
      </c>
      <c r="D143" s="238" t="inlineStr">
        <is>
          <t>US revenue, $M (disclosed)</t>
        </is>
      </c>
      <c r="E143" s="237" t="n">
        <v>3807.4</v>
      </c>
      <c r="F143" s="234" t="inlineStr"/>
      <c r="G143" s="234" t="inlineStr">
        <is>
          <t>8-K segment revenue; owner-entered in v1 (see D Reported geography table)</t>
        </is>
      </c>
    </row>
    <row r="144">
      <c r="B144" s="238" t="inlineStr">
        <is>
          <t>RPM</t>
        </is>
      </c>
      <c r="C144" s="238" t="inlineStr">
        <is>
          <t>D43</t>
        </is>
      </c>
      <c r="D144" s="238" t="inlineStr">
        <is>
          <t>Service revenue growth, FY29–31</t>
        </is>
      </c>
      <c r="E144" s="237" t="n">
        <v>0.03</v>
      </c>
      <c r="F144" s="234" t="inlineStr"/>
      <c r="G144" s="234" t="inlineStr">
        <is>
          <t>ASSUMED: roughly the FY28 engine growth; the engines stop at FY28</t>
        </is>
      </c>
    </row>
    <row r="145">
      <c r="B145" s="238" t="inlineStr">
        <is>
          <t>RPM</t>
        </is>
      </c>
      <c r="C145" s="238" t="inlineStr">
        <is>
          <t>D44</t>
        </is>
      </c>
      <c r="D145" s="238" t="inlineStr">
        <is>
          <t>Vehicle-sales revenue growth, FY29–31</t>
        </is>
      </c>
      <c r="E145" s="237" t="n">
        <v>0</v>
      </c>
      <c r="F145" s="234" t="inlineStr"/>
      <c r="G145" s="234" t="inlineStr">
        <is>
          <t>ASSUMED flat</t>
        </is>
      </c>
    </row>
    <row r="146">
      <c r="B146" s="238" t="inlineStr">
        <is>
          <t>RPM</t>
        </is>
      </c>
      <c r="C146" s="238" t="inlineStr">
        <is>
          <t>D45</t>
        </is>
      </c>
      <c r="D146" s="238" t="inlineStr">
        <is>
          <t>US insurance unit growth, FY29–31</t>
        </is>
      </c>
      <c r="E146" s="237" t="n">
        <v>0.01</v>
      </c>
      <c r="F146" s="234" t="inlineStr"/>
      <c r="G146" s="234" t="inlineStr">
        <is>
          <t>ASSUMED</t>
        </is>
      </c>
    </row>
    <row r="148">
      <c r="B148" s="242" t="inlineStr">
        <is>
          <t>142 typed inputs; 0 without a source note.</t>
        </is>
      </c>
    </row>
  </sheetData>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2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9" t="inlineStr">
        <is>
          <t>Model</t>
        </is>
      </c>
      <c r="E4" s="269" t="inlineStr">
        <is>
          <t>Target</t>
        </is>
      </c>
      <c r="F4" s="269" t="inlineStr">
        <is>
          <t>Difference</t>
        </is>
      </c>
      <c r="G4" s="269"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70">
        <f>'E1 Fleet'!D81</f>
        <v/>
      </c>
      <c r="E7" s="270">
        <f>'E1 Fleet'!E81</f>
        <v/>
      </c>
      <c r="F7" s="276">
        <f>D7-E7</f>
        <v/>
      </c>
      <c r="G7" s="242">
        <f>IF(ABS(F7)&lt;=0.02*'E1 Fleet'!E81,"PASS","FAIL")</f>
        <v/>
      </c>
    </row>
    <row r="8">
      <c r="B8" s="238" t="inlineStr">
        <is>
          <t>E1: largest claim-mix cell gap vs CCC 2020–2025 (within 3.5 pts)</t>
        </is>
      </c>
      <c r="D8" s="279">
        <f>'E1 Fleet'!D83</f>
        <v/>
      </c>
      <c r="E8" s="257" t="n">
        <v>0</v>
      </c>
      <c r="F8" s="278">
        <f>D8-E8</f>
        <v/>
      </c>
      <c r="G8" s="242">
        <f>IF(ABS(F8)&lt;=0.035,"PASS","FAIL")</f>
        <v/>
      </c>
    </row>
    <row r="9">
      <c r="B9" s="238" t="inlineStr">
        <is>
          <t>E2: fiscal-quarter weights sum to one (FQ4 FY28)</t>
        </is>
      </c>
      <c r="D9" s="287">
        <f>'E2 Claims &amp; Totals'!O13</f>
        <v/>
      </c>
      <c r="E9" s="296" t="n">
        <v>1</v>
      </c>
      <c r="F9" s="283">
        <f>D9-E9</f>
        <v/>
      </c>
      <c r="G9" s="242">
        <f>IF(ABS(F9)&lt;=1e-06,"PASS","FAIL")</f>
        <v/>
      </c>
    </row>
    <row r="10">
      <c r="B10" s="238" t="inlineStr">
        <is>
          <t>E3: carrier weights sum to one</t>
        </is>
      </c>
      <c r="D10" s="287">
        <f>'E3 Carriers'!D16</f>
        <v/>
      </c>
      <c r="E10" s="296" t="n">
        <v>1</v>
      </c>
      <c r="F10" s="283">
        <f>D10-E10</f>
        <v/>
      </c>
      <c r="G10" s="242">
        <f>IF(ABS(F10)&lt;=1e-06,"PASS","FAIL")</f>
        <v/>
      </c>
    </row>
    <row r="11">
      <c r="B11" s="238" t="inlineStr">
        <is>
          <t>E4: formula parity — the engine's own basket reproduces its documented 1.03% bill saving</t>
        </is>
      </c>
      <c r="D11" s="314">
        <f>'E4 Aftermarket'!D30</f>
        <v/>
      </c>
      <c r="E11" s="315" t="n">
        <v>-0.0103</v>
      </c>
      <c r="F11" s="293">
        <f>D11-E11</f>
        <v/>
      </c>
      <c r="G11" s="242">
        <f>IF(ABS(F11)&lt;=0.0003,"PASS","FAIL")</f>
        <v/>
      </c>
    </row>
    <row r="12">
      <c r="B12" s="238" t="inlineStr">
        <is>
          <t>E5: core RPU at the anchor reproduces the engine ($851.51)</t>
        </is>
      </c>
      <c r="D12" s="299">
        <f>'E5 Prices &amp; Fees'!D23</f>
        <v/>
      </c>
      <c r="E12" s="299">
        <f>'E5 Prices &amp; Fees'!D46</f>
        <v/>
      </c>
      <c r="F12" s="298">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287">
        <f>'E2 Claims &amp; Totals'!L107</f>
        <v/>
      </c>
      <c r="E16" s="296" t="n">
        <v>1</v>
      </c>
      <c r="F16" s="283">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316" t="n">
        <v>26</v>
      </c>
      <c r="E19" s="234" t="inlineStr">
        <is>
          <t>E3 Carriers!G45=0.572; E3 Carriers!D77=-0.05; E3 Carriers!I77=2; E3 Carriers!D78=-0.05; E3 Carriers!I78=4; E3 Carriers!D79=0.12; E3 Carriers!I79=3; E3 Carriers!D80=-0.2; E3 Carriers!I80=2.2; E3 Carriers!C83=-0.06508; E3 Carriers!E86=14803; E3 Carriers!D87=286; E3 Carriers!E87=333; E3 Carriers!E88=1800; E3 Carriers!D89=52; E3 Carriers!E89=50; E3 Carriers!D90=0.418; E3 Carriers!E90=0.453; E3 Carrier</t>
        </is>
      </c>
    </row>
    <row r="20">
      <c r="B20" s="242" t="inlineStr">
        <is>
          <t>Inputs without a source note (from the Sources tab; must be 0)</t>
        </is>
      </c>
      <c r="D20" s="316" t="n">
        <v>0</v>
      </c>
      <c r="E20" s="234" t="inlineStr"/>
    </row>
    <row r="22">
      <c r="B22" s="234" t="inlineStr">
        <is>
          <t>Not checked here: the economic coefficients (every ASSUMED input). See docs/source_trace_2026-10-01/README.md for the 21 numbers with no source.</t>
        </is>
      </c>
    </row>
  </sheetData>
  <pageMargins left="0.75" right="0.75" top="1" bottom="1" header="0.5" footer="0.5"/>
</worksheet>
</file>

<file path=xl/worksheets/sheet17.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DATA -----&gt;</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17" t="inlineStr">
        <is>
          <t>Fiscal quarter</t>
        </is>
      </c>
      <c r="C4" s="318" t="inlineStr">
        <is>
          <t>Quarter end</t>
        </is>
      </c>
      <c r="D4" s="318" t="inlineStr">
        <is>
          <t>Service revenue</t>
        </is>
      </c>
      <c r="E4" s="318" t="inlineStr">
        <is>
          <t>Vehicle sales</t>
        </is>
      </c>
      <c r="F4" s="318" t="inlineStr">
        <is>
          <t>Total revenue</t>
        </is>
      </c>
      <c r="G4" s="318" t="inlineStr">
        <is>
          <t>Service y/y %</t>
        </is>
      </c>
      <c r="H4" s="318" t="inlineStr">
        <is>
          <t>Total y/y %</t>
        </is>
      </c>
    </row>
    <row r="5">
      <c r="B5" s="238" t="inlineStr">
        <is>
          <t>FY2021 Q4</t>
        </is>
      </c>
      <c r="C5" s="238" t="inlineStr">
        <is>
          <t>2021-07-31</t>
        </is>
      </c>
      <c r="D5" s="309" t="n">
        <v>620.048</v>
      </c>
      <c r="E5" s="309" t="n">
        <v>128.582</v>
      </c>
      <c r="F5" s="309" t="n">
        <v>748.63</v>
      </c>
      <c r="G5" s="290" t="n">
        <v>35.5</v>
      </c>
      <c r="H5" s="290" t="n">
        <v>42.4</v>
      </c>
    </row>
    <row r="6">
      <c r="B6" s="238" t="inlineStr">
        <is>
          <t>FY2022 Q2</t>
        </is>
      </c>
      <c r="C6" s="238" t="inlineStr">
        <is>
          <t>2022-01-31</t>
        </is>
      </c>
      <c r="D6" s="309" t="n">
        <v>711.09</v>
      </c>
      <c r="E6" s="309" t="n">
        <v>156.37</v>
      </c>
      <c r="F6" s="309" t="n">
        <v>867.46</v>
      </c>
      <c r="G6" s="290" t="n">
        <v>33.5</v>
      </c>
      <c r="H6" s="290" t="n">
        <v>40.6</v>
      </c>
    </row>
    <row r="7">
      <c r="B7" s="238" t="inlineStr">
        <is>
          <t>FY2022 Q3</t>
        </is>
      </c>
      <c r="C7" s="238" t="inlineStr">
        <is>
          <t>2022-04-30</t>
        </is>
      </c>
      <c r="D7" s="309" t="n">
        <v>766.316</v>
      </c>
      <c r="E7" s="309" t="n">
        <v>173.625</v>
      </c>
      <c r="F7" s="309" t="n">
        <v>939.941</v>
      </c>
      <c r="G7" s="290" t="n">
        <v>22.8</v>
      </c>
      <c r="H7" s="290" t="n">
        <v>28.1</v>
      </c>
    </row>
    <row r="8">
      <c r="B8" s="238" t="inlineStr">
        <is>
          <t>FY2022 Q4</t>
        </is>
      </c>
      <c r="C8" s="238" t="inlineStr">
        <is>
          <t>2022-07-31</t>
        </is>
      </c>
      <c r="D8" s="309" t="n">
        <v>707.816</v>
      </c>
      <c r="E8" s="309" t="n">
        <v>175.572</v>
      </c>
      <c r="F8" s="309" t="n">
        <v>883.388</v>
      </c>
      <c r="G8" s="290" t="n">
        <v>14.2</v>
      </c>
      <c r="H8" s="290" t="n">
        <v>18</v>
      </c>
    </row>
    <row r="9">
      <c r="B9" s="238" t="inlineStr">
        <is>
          <t>FY2023 Q2</t>
        </is>
      </c>
      <c r="C9" s="238" t="inlineStr">
        <is>
          <t>2023-01-31</t>
        </is>
      </c>
      <c r="D9" s="309" t="n">
        <v>789.797</v>
      </c>
      <c r="E9" s="309" t="n">
        <v>166.927</v>
      </c>
      <c r="F9" s="309" t="n">
        <v>956.724</v>
      </c>
      <c r="G9" s="290" t="n">
        <v>11.1</v>
      </c>
      <c r="H9" s="290" t="n">
        <v>10.3</v>
      </c>
    </row>
    <row r="10">
      <c r="B10" s="238" t="inlineStr">
        <is>
          <t>FY2023 Q3</t>
        </is>
      </c>
      <c r="C10" s="238" t="inlineStr">
        <is>
          <t>2023-04-30</t>
        </is>
      </c>
      <c r="D10" s="309" t="n">
        <v>847.249</v>
      </c>
      <c r="E10" s="309" t="n">
        <v>174.582</v>
      </c>
      <c r="F10" s="309" t="n">
        <v>1021.831</v>
      </c>
      <c r="G10" s="290" t="n">
        <v>10.6</v>
      </c>
      <c r="H10" s="290" t="n">
        <v>8.699999999999999</v>
      </c>
    </row>
    <row r="11">
      <c r="B11" s="238" t="inlineStr">
        <is>
          <t>FY2023 Q4</t>
        </is>
      </c>
      <c r="C11" s="238" t="inlineStr">
        <is>
          <t>2023-07-31</t>
        </is>
      </c>
      <c r="D11" s="309" t="n">
        <v>834.242</v>
      </c>
      <c r="E11" s="309" t="n">
        <v>163.349</v>
      </c>
      <c r="F11" s="309" t="n">
        <v>997.591</v>
      </c>
      <c r="G11" s="290" t="n">
        <v>17.9</v>
      </c>
      <c r="H11" s="290" t="n">
        <v>12.9</v>
      </c>
    </row>
    <row r="12">
      <c r="B12" s="238" t="inlineStr">
        <is>
          <t>FY2024 Q2</t>
        </is>
      </c>
      <c r="C12" s="238" t="inlineStr">
        <is>
          <t>2024-01-31</t>
        </is>
      </c>
      <c r="D12" s="309" t="n">
        <v>861.745</v>
      </c>
      <c r="E12" s="309" t="n">
        <v>158.404</v>
      </c>
      <c r="F12" s="309" t="n">
        <v>1020.149</v>
      </c>
      <c r="G12" s="290" t="n">
        <v>9.1</v>
      </c>
      <c r="H12" s="290" t="n">
        <v>6.6</v>
      </c>
    </row>
    <row r="13">
      <c r="B13" s="238" t="inlineStr">
        <is>
          <t>FY2024 Q3</t>
        </is>
      </c>
      <c r="C13" s="238" t="inlineStr">
        <is>
          <t>2024-04-30</t>
        </is>
      </c>
      <c r="D13" s="309" t="n">
        <v>946.63</v>
      </c>
      <c r="E13" s="309" t="n">
        <v>180.629</v>
      </c>
      <c r="F13" s="309" t="n">
        <v>1127.259</v>
      </c>
      <c r="G13" s="290" t="n">
        <v>11.7</v>
      </c>
      <c r="H13" s="290" t="n">
        <v>10.3</v>
      </c>
    </row>
    <row r="14">
      <c r="B14" s="238" t="inlineStr">
        <is>
          <t>FY2024 Q4</t>
        </is>
      </c>
      <c r="C14" s="238" t="inlineStr">
        <is>
          <t>2024-07-31</t>
        </is>
      </c>
      <c r="D14" s="309" t="n">
        <v>893.091</v>
      </c>
      <c r="E14" s="309" t="n">
        <v>175.908</v>
      </c>
      <c r="F14" s="309" t="n">
        <v>1068.999</v>
      </c>
      <c r="G14" s="290" t="n">
        <v>7.1</v>
      </c>
      <c r="H14" s="290" t="n">
        <v>7.2</v>
      </c>
    </row>
    <row r="15">
      <c r="B15" s="238" t="inlineStr">
        <is>
          <t>FY2025 Q2</t>
        </is>
      </c>
      <c r="C15" s="238" t="inlineStr">
        <is>
          <t>2025-01-31</t>
        </is>
      </c>
      <c r="D15" s="309" t="n">
        <v>991.2809999999999</v>
      </c>
      <c r="E15" s="309" t="n">
        <v>172.035</v>
      </c>
      <c r="F15" s="309" t="n">
        <v>1163.316</v>
      </c>
      <c r="G15" s="290" t="n">
        <v>15</v>
      </c>
      <c r="H15" s="290" t="n">
        <v>14</v>
      </c>
    </row>
    <row r="16">
      <c r="B16" s="238" t="inlineStr">
        <is>
          <t>FY2025 Q3</t>
        </is>
      </c>
      <c r="C16" s="238" t="inlineStr">
        <is>
          <t>2025-04-30</t>
        </is>
      </c>
      <c r="D16" s="309" t="n">
        <v>1034.836</v>
      </c>
      <c r="E16" s="309" t="n">
        <v>176.88</v>
      </c>
      <c r="F16" s="309" t="n">
        <v>1211.716</v>
      </c>
      <c r="G16" s="290" t="n">
        <v>9.300000000000001</v>
      </c>
      <c r="H16" s="290" t="n">
        <v>7.5</v>
      </c>
    </row>
    <row r="17">
      <c r="B17" s="238" t="inlineStr">
        <is>
          <t>FY2025 Q4</t>
        </is>
      </c>
      <c r="C17" s="238" t="inlineStr">
        <is>
          <t>2025-07-31</t>
        </is>
      </c>
      <c r="D17" s="309" t="n">
        <v>956.2089999999999</v>
      </c>
      <c r="E17" s="309" t="n">
        <v>168.888</v>
      </c>
      <c r="F17" s="309" t="n">
        <v>1125.097</v>
      </c>
      <c r="G17" s="290" t="n">
        <v>7.1</v>
      </c>
      <c r="H17" s="290" t="n">
        <v>5.2</v>
      </c>
    </row>
    <row r="18">
      <c r="B18" s="238" t="inlineStr">
        <is>
          <t>FY2026 Q3</t>
        </is>
      </c>
      <c r="C18" s="238" t="inlineStr">
        <is>
          <t>2026-04-30</t>
        </is>
      </c>
      <c r="D18" s="309" t="n">
        <v>1056.08</v>
      </c>
      <c r="E18" s="309" t="n">
        <v>180.986</v>
      </c>
      <c r="F18" s="309" t="n">
        <v>1237.066</v>
      </c>
      <c r="G18" s="290" t="n">
        <v>2.1</v>
      </c>
      <c r="H18" s="290" t="n">
        <v>2.1</v>
      </c>
    </row>
    <row r="20">
      <c r="B20" s="242" t="inlineStr">
        <is>
          <t>Geography split, service and vehicle revenue by quarter (8-K segment tables)</t>
        </is>
      </c>
    </row>
    <row r="21">
      <c r="B21" s="317" t="inlineStr">
        <is>
          <t>Fiscal quarter</t>
        </is>
      </c>
      <c r="C21" s="318" t="inlineStr">
        <is>
          <t>Quarter end</t>
        </is>
      </c>
      <c r="D21" s="318" t="inlineStr">
        <is>
          <t>US service</t>
        </is>
      </c>
      <c r="E21" s="318" t="inlineStr">
        <is>
          <t>Intl service</t>
        </is>
      </c>
      <c r="F21" s="318" t="inlineStr">
        <is>
          <t>US vehicle</t>
        </is>
      </c>
      <c r="G21" s="318" t="inlineStr">
        <is>
          <t>Intl vehicle</t>
        </is>
      </c>
      <c r="H21" s="318" t="inlineStr">
        <is>
          <t>Source exhibit</t>
        </is>
      </c>
    </row>
    <row r="22">
      <c r="B22" s="238" t="inlineStr">
        <is>
          <t>FY2025 Q1</t>
        </is>
      </c>
      <c r="C22" s="238" t="inlineStr">
        <is>
          <t>2024-10-31</t>
        </is>
      </c>
      <c r="D22" s="309" t="n">
        <v>859.99</v>
      </c>
      <c r="E22" s="309" t="n">
        <v>126.346</v>
      </c>
      <c r="F22" s="309" t="n">
        <v>87.54900000000001</v>
      </c>
      <c r="G22" s="309" t="n">
        <v>72.944</v>
      </c>
      <c r="H22" s="238" t="inlineStr">
        <is>
          <t>er_2025-11-20_cprt-ex99_1.htm</t>
        </is>
      </c>
    </row>
    <row r="23">
      <c r="B23" s="238" t="inlineStr">
        <is>
          <t>FY2025 Q2</t>
        </is>
      </c>
      <c r="C23" s="238" t="inlineStr">
        <is>
          <t>2025-01-31</t>
        </is>
      </c>
      <c r="D23" s="309" t="n">
        <v>868.13</v>
      </c>
      <c r="E23" s="309" t="n">
        <v>123.151</v>
      </c>
      <c r="F23" s="309" t="n">
        <v>106.715</v>
      </c>
      <c r="G23" s="309" t="n">
        <v>65.31999999999999</v>
      </c>
      <c r="H23" s="238" t="inlineStr">
        <is>
          <t>er_2026-02-19_cprt-ex99_1.htm</t>
        </is>
      </c>
    </row>
    <row r="24">
      <c r="B24" s="238" t="inlineStr">
        <is>
          <t>FY2025 Q3</t>
        </is>
      </c>
      <c r="C24" s="238" t="inlineStr">
        <is>
          <t>2025-04-30</t>
        </is>
      </c>
      <c r="D24" s="309" t="n">
        <v>898.625</v>
      </c>
      <c r="E24" s="309" t="n">
        <v>136.211</v>
      </c>
      <c r="F24" s="309" t="n">
        <v>107.832</v>
      </c>
      <c r="G24" s="309" t="n">
        <v>69.048</v>
      </c>
      <c r="H24" s="238" t="inlineStr">
        <is>
          <t>er_2026-05-21_cprt-ex99_1.htm</t>
        </is>
      </c>
    </row>
    <row r="25">
      <c r="B25" s="238" t="inlineStr">
        <is>
          <t>FY2025 Q4</t>
        </is>
      </c>
      <c r="C25" s="238" t="inlineStr">
        <is>
          <t>2025-07-31</t>
        </is>
      </c>
      <c r="D25" s="309" t="n">
        <v>824.813</v>
      </c>
      <c r="E25" s="309" t="n">
        <v>131.396</v>
      </c>
      <c r="F25" s="309" t="n">
        <v>101.45</v>
      </c>
      <c r="G25" s="309" t="n">
        <v>67.438</v>
      </c>
      <c r="H25" s="238" t="inlineStr">
        <is>
          <t>er_2026-09-10_cprt-ex99_1.htm</t>
        </is>
      </c>
    </row>
    <row r="26">
      <c r="B26" s="238" t="inlineStr">
        <is>
          <t>FY2026 Q1</t>
        </is>
      </c>
      <c r="C26" s="238" t="inlineStr">
        <is>
          <t>2025-10-31</t>
        </is>
      </c>
      <c r="D26" s="309" t="n">
        <v>855.534</v>
      </c>
      <c r="E26" s="309" t="n">
        <v>136.311</v>
      </c>
      <c r="F26" s="309" t="n">
        <v>97.08</v>
      </c>
      <c r="G26" s="309" t="n">
        <v>66.105</v>
      </c>
      <c r="H26" s="238" t="inlineStr">
        <is>
          <t>er_2025-11-20_cprt-ex99_1.htm</t>
        </is>
      </c>
    </row>
    <row r="27">
      <c r="B27" s="238" t="inlineStr">
        <is>
          <t>FY2026 Q2</t>
        </is>
      </c>
      <c r="C27" s="238" t="inlineStr">
        <is>
          <t>2026-01-31</t>
        </is>
      </c>
      <c r="D27" s="309" t="n">
        <v>819.467</v>
      </c>
      <c r="E27" s="309" t="n">
        <v>132.584</v>
      </c>
      <c r="F27" s="309" t="n">
        <v>102.153</v>
      </c>
      <c r="G27" s="309" t="n">
        <v>67.47</v>
      </c>
      <c r="H27" s="238" t="inlineStr">
        <is>
          <t>er_2026-02-19_cprt-ex99_1.htm</t>
        </is>
      </c>
    </row>
    <row r="28">
      <c r="B28" s="238" t="inlineStr">
        <is>
          <t>FY2026 Q3</t>
        </is>
      </c>
      <c r="C28" s="238" t="inlineStr">
        <is>
          <t>2026-04-30</t>
        </is>
      </c>
      <c r="D28" s="309" t="n">
        <v>895.4640000000001</v>
      </c>
      <c r="E28" s="309" t="n">
        <v>160.616</v>
      </c>
      <c r="F28" s="309" t="n">
        <v>107.398</v>
      </c>
      <c r="G28" s="309" t="n">
        <v>73.58799999999999</v>
      </c>
      <c r="H28" s="238" t="inlineStr">
        <is>
          <t>er_2026-05-21_cprt-ex99_1.htm</t>
        </is>
      </c>
    </row>
    <row r="29">
      <c r="B29" s="238" t="inlineStr">
        <is>
          <t>FY2026 Q4</t>
        </is>
      </c>
      <c r="C29" s="238" t="inlineStr">
        <is>
          <t>2026-07-31</t>
        </is>
      </c>
      <c r="D29" s="309" t="n">
        <v>817.822</v>
      </c>
      <c r="E29" s="309" t="n">
        <v>151.722</v>
      </c>
      <c r="F29" s="309" t="n">
        <v>112.512</v>
      </c>
      <c r="G29" s="309" t="n">
        <v>70.383</v>
      </c>
      <c r="H29" s="238" t="inlineStr">
        <is>
          <t>er_2026-09-10_cprt-ex99_1.htm</t>
        </is>
      </c>
    </row>
    <row r="31">
      <c r="B31" s="242" t="inlineStr">
        <is>
          <t>Disclosed growth rates by quarter (calls; per cent)</t>
        </is>
      </c>
    </row>
    <row r="32">
      <c r="B32" s="317" t="inlineStr">
        <is>
          <t>Fiscal quarter</t>
        </is>
      </c>
      <c r="C32" s="318" t="inlineStr">
        <is>
          <t>Call date</t>
        </is>
      </c>
      <c r="D32" s="318" t="inlineStr">
        <is>
          <t>US inventory y/y</t>
        </is>
      </c>
      <c r="E32" s="318" t="inlineStr">
        <is>
          <t>US ins. units y/y</t>
        </is>
      </c>
      <c r="F32" s="318" t="inlineStr">
        <is>
          <t>US ins. units ex-CAT y/y</t>
        </is>
      </c>
      <c r="G32" s="318" t="inlineStr">
        <is>
          <t>US ins. ASP y/y</t>
        </is>
      </c>
      <c r="H32" s="318" t="inlineStr">
        <is>
          <t>Global ASP y/y</t>
        </is>
      </c>
      <c r="I32" s="318"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19"/>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290" t="n">
        <v>526.9111666666666</v>
      </c>
      <c r="E5" s="290" t="n">
        <v>565.9567499999999</v>
      </c>
      <c r="F5" s="290" t="n">
        <v>571.0321666666667</v>
      </c>
      <c r="G5" s="290" t="n">
        <v>544.6329166666667</v>
      </c>
      <c r="H5" s="290" t="n">
        <v>565.3130833333333</v>
      </c>
      <c r="I5" s="290" t="n">
        <v>609.8400833333334</v>
      </c>
      <c r="J5" s="290" t="n">
        <v>716.00375</v>
      </c>
      <c r="K5" s="290" t="n">
        <v>843.098</v>
      </c>
      <c r="L5" s="290" t="n">
        <v>893.0514999999999</v>
      </c>
      <c r="M5" s="290" t="n">
        <v>877.678375</v>
      </c>
      <c r="S5" s="234" t="inlineStr">
        <is>
          <t>VERIFIED — raw/bls/cu.data.14.USTransportation, series CUUR0000SETE, annual = mean of months (2026 = Jan–Aug)</t>
        </is>
      </c>
    </row>
    <row r="6">
      <c r="B6" s="272"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19" t="n">
        <v>26.30916666666667</v>
      </c>
      <c r="E7" s="319" t="n">
        <v>27.1025</v>
      </c>
      <c r="F7" s="319" t="n">
        <v>27.99833333333333</v>
      </c>
      <c r="G7" s="319" t="n">
        <v>29.36</v>
      </c>
      <c r="H7" s="319" t="n">
        <v>30.61333333333333</v>
      </c>
      <c r="I7" s="319" t="n">
        <v>32.25833333333333</v>
      </c>
      <c r="J7" s="319" t="n">
        <v>33.69583333333333</v>
      </c>
      <c r="K7" s="319" t="n">
        <v>35.0575</v>
      </c>
      <c r="L7" s="319" t="n">
        <v>36.4425</v>
      </c>
      <c r="M7" s="319"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J9" s="257" t="n">
        <v>0.77</v>
      </c>
      <c r="S9" s="234" t="inlineStr">
        <is>
          <t>VERIFIED republication — III Facts + Statistics, Triple-I analysis of 2023 NAIC data (77% collision, 80% comprehensive). NAIC history refused the fetch (HTTP 403); earlier years not obtained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290" t="n">
        <v>895.2619999999999</v>
      </c>
      <c r="E16" s="290" t="n">
        <v>895.2809999999999</v>
      </c>
      <c r="F16" s="290" t="n">
        <v>896.018</v>
      </c>
      <c r="G16" s="290" t="n">
        <v>894.075</v>
      </c>
      <c r="H16" s="290" t="n">
        <v>890.473</v>
      </c>
      <c r="I16" s="290" t="n">
        <v>892.879</v>
      </c>
      <c r="J16" s="290" t="n">
        <v>892.491</v>
      </c>
      <c r="K16" s="290" t="n">
        <v>897.4059999999999</v>
      </c>
      <c r="L16" s="290" t="n">
        <v>897.145</v>
      </c>
      <c r="M16" s="290" t="n">
        <v>894.3150000000001</v>
      </c>
      <c r="N16" s="290" t="n">
        <v>877.278</v>
      </c>
      <c r="O16" s="290" t="n">
        <v>858.481</v>
      </c>
      <c r="P16" s="290" t="n">
        <v>856.08</v>
      </c>
      <c r="Q16" s="290" t="n">
        <v>848.231</v>
      </c>
    </row>
    <row r="17">
      <c r="B17" s="272"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17" t="inlineStr">
        <is>
          <t>Year</t>
        </is>
      </c>
      <c r="C4" s="318" t="inlineStr">
        <is>
          <t>Body</t>
        </is>
      </c>
      <c r="D4" s="318" t="inlineStr">
        <is>
          <t>Age group</t>
        </is>
      </c>
      <c r="E4" s="318" t="inlineStr">
        <is>
          <t>Age label</t>
        </is>
      </c>
      <c r="F4" s="318" t="inlineStr">
        <is>
          <t>TLF</t>
        </is>
      </c>
      <c r="G4" s="318" t="inlineStr">
        <is>
          <t>TL mix</t>
        </is>
      </c>
      <c r="H4" s="318" t="inlineStr">
        <is>
          <t>TLF cell</t>
        </is>
      </c>
      <c r="I4" s="318"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15" t="n">
        <v>0.09410538385365091</v>
      </c>
      <c r="G5" s="315" t="n">
        <v>0.006857920716116418</v>
      </c>
      <c r="H5" s="238" t="inlineStr">
        <is>
          <t>C4</t>
        </is>
      </c>
      <c r="I5" s="238" t="inlineStr">
        <is>
          <t>M5</t>
        </is>
      </c>
      <c r="J5" s="283">
        <f>G5/F5</f>
        <v/>
      </c>
      <c r="K5" s="283">
        <f>J5/SUMIFS($J$5:$J$100,$B$5:$B$100,B5)</f>
        <v/>
      </c>
    </row>
    <row r="6">
      <c r="B6" s="237" t="n">
        <v>2020</v>
      </c>
      <c r="C6" s="238" t="inlineStr">
        <is>
          <t>Car</t>
        </is>
      </c>
      <c r="D6" s="237" t="n">
        <v>1</v>
      </c>
      <c r="E6" s="238" t="inlineStr">
        <is>
          <t>1 - 3 Years Old</t>
        </is>
      </c>
      <c r="F6" s="315" t="n">
        <v>0.1311760375102815</v>
      </c>
      <c r="G6" s="315" t="n">
        <v>0.07159720882323004</v>
      </c>
      <c r="H6" s="238" t="inlineStr">
        <is>
          <t>C5</t>
        </is>
      </c>
      <c r="I6" s="238" t="inlineStr">
        <is>
          <t>M9</t>
        </is>
      </c>
      <c r="J6" s="283">
        <f>G6/F6</f>
        <v/>
      </c>
      <c r="K6" s="283">
        <f>J6/SUMIFS($J$5:$J$100,$B$5:$B$100,B6)</f>
        <v/>
      </c>
    </row>
    <row r="7">
      <c r="B7" s="237" t="n">
        <v>2020</v>
      </c>
      <c r="C7" s="238" t="inlineStr">
        <is>
          <t>Car</t>
        </is>
      </c>
      <c r="D7" s="237" t="n">
        <v>2</v>
      </c>
      <c r="E7" s="238" t="inlineStr">
        <is>
          <t>4 - 6 Years Old</t>
        </is>
      </c>
      <c r="F7" s="315" t="n">
        <v>0.1924797004881514</v>
      </c>
      <c r="G7" s="315" t="n">
        <v>0.1214569055493857</v>
      </c>
      <c r="H7" s="238" t="inlineStr">
        <is>
          <t>C6</t>
        </is>
      </c>
      <c r="I7" s="238" t="inlineStr">
        <is>
          <t>M13</t>
        </is>
      </c>
      <c r="J7" s="283">
        <f>G7/F7</f>
        <v/>
      </c>
      <c r="K7" s="283">
        <f>J7/SUMIFS($J$5:$J$100,$B$5:$B$100,B7)</f>
        <v/>
      </c>
    </row>
    <row r="8">
      <c r="B8" s="237" t="n">
        <v>2020</v>
      </c>
      <c r="C8" s="238" t="inlineStr">
        <is>
          <t>Car</t>
        </is>
      </c>
      <c r="D8" s="237" t="n">
        <v>3</v>
      </c>
      <c r="E8" s="238" t="inlineStr">
        <is>
          <t>7 Years and Older</t>
        </is>
      </c>
      <c r="F8" s="315" t="n">
        <v>0.3646806049668614</v>
      </c>
      <c r="G8" s="315" t="n">
        <v>0.3935020669475264</v>
      </c>
      <c r="H8" s="238" t="inlineStr">
        <is>
          <t>C7</t>
        </is>
      </c>
      <c r="I8" s="238" t="inlineStr">
        <is>
          <t>M17</t>
        </is>
      </c>
      <c r="J8" s="283">
        <f>G8/F8</f>
        <v/>
      </c>
      <c r="K8" s="283">
        <f>J8/SUMIFS($J$5:$J$100,$B$5:$B$100,B8)</f>
        <v/>
      </c>
    </row>
    <row r="9">
      <c r="B9" s="237" t="n">
        <v>2020</v>
      </c>
      <c r="C9" s="238" t="inlineStr">
        <is>
          <t>Pickup</t>
        </is>
      </c>
      <c r="D9" s="237" t="n">
        <v>0</v>
      </c>
      <c r="E9" s="238" t="inlineStr">
        <is>
          <t>Current Yr or Newer Group</t>
        </is>
      </c>
      <c r="F9" s="315" t="n">
        <v>0.04164382226445899</v>
      </c>
      <c r="G9" s="315" t="n">
        <v>0.001298204087709676</v>
      </c>
      <c r="H9" s="238" t="inlineStr">
        <is>
          <t>C9</t>
        </is>
      </c>
      <c r="I9" s="238" t="inlineStr">
        <is>
          <t>M6</t>
        </is>
      </c>
      <c r="J9" s="283">
        <f>G9/F9</f>
        <v/>
      </c>
      <c r="K9" s="283">
        <f>J9/SUMIFS($J$5:$J$100,$B$5:$B$100,B9)</f>
        <v/>
      </c>
    </row>
    <row r="10">
      <c r="B10" s="237" t="n">
        <v>2020</v>
      </c>
      <c r="C10" s="238" t="inlineStr">
        <is>
          <t>Pickup</t>
        </is>
      </c>
      <c r="D10" s="237" t="n">
        <v>1</v>
      </c>
      <c r="E10" s="238" t="inlineStr">
        <is>
          <t>1 - 3 Years Old</t>
        </is>
      </c>
      <c r="F10" s="315" t="n">
        <v>0.05836406816448181</v>
      </c>
      <c r="G10" s="315" t="n">
        <v>0.01127553679105827</v>
      </c>
      <c r="H10" s="238" t="inlineStr">
        <is>
          <t>C10</t>
        </is>
      </c>
      <c r="I10" s="238" t="inlineStr">
        <is>
          <t>M10</t>
        </is>
      </c>
      <c r="J10" s="283">
        <f>G10/F10</f>
        <v/>
      </c>
      <c r="K10" s="283">
        <f>J10/SUMIFS($J$5:$J$100,$B$5:$B$100,B10)</f>
        <v/>
      </c>
    </row>
    <row r="11">
      <c r="B11" s="237" t="n">
        <v>2020</v>
      </c>
      <c r="C11" s="238" t="inlineStr">
        <is>
          <t>Pickup</t>
        </is>
      </c>
      <c r="D11" s="237" t="n">
        <v>2</v>
      </c>
      <c r="E11" s="238" t="inlineStr">
        <is>
          <t>4 - 6 Years Old</t>
        </is>
      </c>
      <c r="F11" s="315" t="n">
        <v>0.08241473302899244</v>
      </c>
      <c r="G11" s="315" t="n">
        <v>0.01225317790333583</v>
      </c>
      <c r="H11" s="238" t="inlineStr">
        <is>
          <t>C11</t>
        </is>
      </c>
      <c r="I11" s="238" t="inlineStr">
        <is>
          <t>M14</t>
        </is>
      </c>
      <c r="J11" s="283">
        <f>G11/F11</f>
        <v/>
      </c>
      <c r="K11" s="283">
        <f>J11/SUMIFS($J$5:$J$100,$B$5:$B$100,B11)</f>
        <v/>
      </c>
    </row>
    <row r="12">
      <c r="B12" s="237" t="n">
        <v>2020</v>
      </c>
      <c r="C12" s="238" t="inlineStr">
        <is>
          <t>Pickup</t>
        </is>
      </c>
      <c r="D12" s="237" t="n">
        <v>3</v>
      </c>
      <c r="E12" s="238" t="inlineStr">
        <is>
          <t>7 Years and Older</t>
        </is>
      </c>
      <c r="F12" s="315" t="n">
        <v>0.2532811452345886</v>
      </c>
      <c r="G12" s="315" t="n">
        <v>0.08393280635413548</v>
      </c>
      <c r="H12" s="238" t="inlineStr">
        <is>
          <t>C12</t>
        </is>
      </c>
      <c r="I12" s="238" t="inlineStr">
        <is>
          <t>M18</t>
        </is>
      </c>
      <c r="J12" s="283">
        <f>G12/F12</f>
        <v/>
      </c>
      <c r="K12" s="283">
        <f>J12/SUMIFS($J$5:$J$100,$B$5:$B$100,B12)</f>
        <v/>
      </c>
    </row>
    <row r="13">
      <c r="B13" s="237" t="n">
        <v>2020</v>
      </c>
      <c r="C13" s="238" t="inlineStr">
        <is>
          <t>Utility Vehicle</t>
        </is>
      </c>
      <c r="D13" s="237" t="n">
        <v>0</v>
      </c>
      <c r="E13" s="238" t="inlineStr">
        <is>
          <t>Current Yr or Newer Group</t>
        </is>
      </c>
      <c r="F13" s="315" t="n">
        <v>0.05789303341694312</v>
      </c>
      <c r="G13" s="315" t="n">
        <v>0.00543513765217246</v>
      </c>
      <c r="H13" s="238" t="inlineStr">
        <is>
          <t>C14</t>
        </is>
      </c>
      <c r="I13" s="238" t="inlineStr">
        <is>
          <t>M7</t>
        </is>
      </c>
      <c r="J13" s="283">
        <f>G13/F13</f>
        <v/>
      </c>
      <c r="K13" s="283">
        <f>J13/SUMIFS($J$5:$J$100,$B$5:$B$100,B13)</f>
        <v/>
      </c>
    </row>
    <row r="14">
      <c r="B14" s="237" t="n">
        <v>2020</v>
      </c>
      <c r="C14" s="238" t="inlineStr">
        <is>
          <t>Utility Vehicle</t>
        </is>
      </c>
      <c r="D14" s="237" t="n">
        <v>1</v>
      </c>
      <c r="E14" s="238" t="inlineStr">
        <is>
          <t>1 - 3 Years Old</t>
        </is>
      </c>
      <c r="F14" s="315" t="n">
        <v>0.07886682698579801</v>
      </c>
      <c r="G14" s="315" t="n">
        <v>0.04293682782425857</v>
      </c>
      <c r="H14" s="238" t="inlineStr">
        <is>
          <t>C15</t>
        </is>
      </c>
      <c r="I14" s="238" t="inlineStr">
        <is>
          <t>M11</t>
        </is>
      </c>
      <c r="J14" s="283">
        <f>G14/F14</f>
        <v/>
      </c>
      <c r="K14" s="283">
        <f>J14/SUMIFS($J$5:$J$100,$B$5:$B$100,B14)</f>
        <v/>
      </c>
    </row>
    <row r="15">
      <c r="B15" s="237" t="n">
        <v>2020</v>
      </c>
      <c r="C15" s="238" t="inlineStr">
        <is>
          <t>Utility Vehicle</t>
        </is>
      </c>
      <c r="D15" s="237" t="n">
        <v>2</v>
      </c>
      <c r="E15" s="238" t="inlineStr">
        <is>
          <t>4 - 6 Years Old</t>
        </is>
      </c>
      <c r="F15" s="315" t="n">
        <v>0.1211801865943846</v>
      </c>
      <c r="G15" s="315" t="n">
        <v>0.04725569227169763</v>
      </c>
      <c r="H15" s="238" t="inlineStr">
        <is>
          <t>C16</t>
        </is>
      </c>
      <c r="I15" s="238" t="inlineStr">
        <is>
          <t>M15</t>
        </is>
      </c>
      <c r="J15" s="283">
        <f>G15/F15</f>
        <v/>
      </c>
      <c r="K15" s="283">
        <f>J15/SUMIFS($J$5:$J$100,$B$5:$B$100,B15)</f>
        <v/>
      </c>
    </row>
    <row r="16">
      <c r="B16" s="237" t="n">
        <v>2020</v>
      </c>
      <c r="C16" s="238" t="inlineStr">
        <is>
          <t>Utility Vehicle</t>
        </is>
      </c>
      <c r="D16" s="237" t="n">
        <v>3</v>
      </c>
      <c r="E16" s="238" t="inlineStr">
        <is>
          <t>7 Years and Older</t>
        </is>
      </c>
      <c r="F16" s="315" t="n">
        <v>0.2882660818412391</v>
      </c>
      <c r="G16" s="315" t="n">
        <v>0.1595062874401603</v>
      </c>
      <c r="H16" s="238" t="inlineStr">
        <is>
          <t>C17</t>
        </is>
      </c>
      <c r="I16" s="238" t="inlineStr">
        <is>
          <t>M19</t>
        </is>
      </c>
      <c r="J16" s="283">
        <f>G16/F16</f>
        <v/>
      </c>
      <c r="K16" s="283">
        <f>J16/SUMIFS($J$5:$J$100,$B$5:$B$100,B16)</f>
        <v/>
      </c>
    </row>
    <row r="17">
      <c r="B17" s="237" t="n">
        <v>2020</v>
      </c>
      <c r="C17" s="238" t="inlineStr">
        <is>
          <t>Van</t>
        </is>
      </c>
      <c r="D17" s="237" t="n">
        <v>0</v>
      </c>
      <c r="E17" s="238" t="inlineStr">
        <is>
          <t>Current Yr or Newer Group</t>
        </is>
      </c>
      <c r="F17" s="315" t="n">
        <v>0.05406074612083196</v>
      </c>
      <c r="G17" s="315" t="n">
        <v>0.000248778138516629</v>
      </c>
      <c r="H17" s="238" t="inlineStr">
        <is>
          <t>C19</t>
        </is>
      </c>
      <c r="I17" s="238" t="inlineStr">
        <is>
          <t>M8</t>
        </is>
      </c>
      <c r="J17" s="283">
        <f>G17/F17</f>
        <v/>
      </c>
      <c r="K17" s="283">
        <f>J17/SUMIFS($J$5:$J$100,$B$5:$B$100,B17)</f>
        <v/>
      </c>
    </row>
    <row r="18">
      <c r="B18" s="237" t="n">
        <v>2020</v>
      </c>
      <c r="C18" s="238" t="inlineStr">
        <is>
          <t>Van</t>
        </is>
      </c>
      <c r="D18" s="237" t="n">
        <v>1</v>
      </c>
      <c r="E18" s="238" t="inlineStr">
        <is>
          <t>1 - 3 Years Old</t>
        </is>
      </c>
      <c r="F18" s="315" t="n">
        <v>0.08314968342253472</v>
      </c>
      <c r="G18" s="315" t="n">
        <v>0.003611271054986425</v>
      </c>
      <c r="H18" s="238" t="inlineStr">
        <is>
          <t>C20</t>
        </is>
      </c>
      <c r="I18" s="238" t="inlineStr">
        <is>
          <t>M12</t>
        </is>
      </c>
      <c r="J18" s="283">
        <f>G18/F18</f>
        <v/>
      </c>
      <c r="K18" s="283">
        <f>J18/SUMIFS($J$5:$J$100,$B$5:$B$100,B18)</f>
        <v/>
      </c>
    </row>
    <row r="19">
      <c r="B19" s="237" t="n">
        <v>2020</v>
      </c>
      <c r="C19" s="238" t="inlineStr">
        <is>
          <t>Van</t>
        </is>
      </c>
      <c r="D19" s="237" t="n">
        <v>2</v>
      </c>
      <c r="E19" s="238" t="inlineStr">
        <is>
          <t>4 - 6 Years Old</t>
        </is>
      </c>
      <c r="F19" s="315" t="n">
        <v>0.1303115907706881</v>
      </c>
      <c r="G19" s="315" t="n">
        <v>0.005851793557443822</v>
      </c>
      <c r="H19" s="238" t="inlineStr">
        <is>
          <t>C21</t>
        </is>
      </c>
      <c r="I19" s="238" t="inlineStr">
        <is>
          <t>M16</t>
        </is>
      </c>
      <c r="J19" s="283">
        <f>G19/F19</f>
        <v/>
      </c>
      <c r="K19" s="283">
        <f>J19/SUMIFS($J$5:$J$100,$B$5:$B$100,B19)</f>
        <v/>
      </c>
    </row>
    <row r="20">
      <c r="B20" s="237" t="n">
        <v>2020</v>
      </c>
      <c r="C20" s="238" t="inlineStr">
        <is>
          <t>Van</t>
        </is>
      </c>
      <c r="D20" s="237" t="n">
        <v>3</v>
      </c>
      <c r="E20" s="238" t="inlineStr">
        <is>
          <t>7 Years and Older</t>
        </is>
      </c>
      <c r="F20" s="315" t="n">
        <v>0.3590187793039006</v>
      </c>
      <c r="G20" s="315" t="n">
        <v>0.03298038488826633</v>
      </c>
      <c r="H20" s="238" t="inlineStr">
        <is>
          <t>C22</t>
        </is>
      </c>
      <c r="I20" s="238" t="inlineStr">
        <is>
          <t>M20</t>
        </is>
      </c>
      <c r="J20" s="283">
        <f>G20/F20</f>
        <v/>
      </c>
      <c r="K20" s="283">
        <f>J20/SUMIFS($J$5:$J$100,$B$5:$B$100,B20)</f>
        <v/>
      </c>
    </row>
    <row r="21">
      <c r="B21" s="237" t="n">
        <v>2021</v>
      </c>
      <c r="C21" s="238" t="inlineStr">
        <is>
          <t>Car</t>
        </is>
      </c>
      <c r="D21" s="237" t="n">
        <v>0</v>
      </c>
      <c r="E21" s="238" t="inlineStr">
        <is>
          <t>Current Yr or Newer Group</t>
        </is>
      </c>
      <c r="F21" s="315" t="n">
        <v>0.09914747325992264</v>
      </c>
      <c r="G21" s="315" t="n">
        <v>0.0071910436550033</v>
      </c>
      <c r="H21" s="238" t="inlineStr">
        <is>
          <t>D4</t>
        </is>
      </c>
      <c r="I21" s="238" t="inlineStr">
        <is>
          <t>N5</t>
        </is>
      </c>
      <c r="J21" s="283">
        <f>G21/F21</f>
        <v/>
      </c>
      <c r="K21" s="283">
        <f>J21/SUMIFS($J$5:$J$100,$B$5:$B$100,B21)</f>
        <v/>
      </c>
    </row>
    <row r="22">
      <c r="B22" s="237" t="n">
        <v>2021</v>
      </c>
      <c r="C22" s="238" t="inlineStr">
        <is>
          <t>Car</t>
        </is>
      </c>
      <c r="D22" s="237" t="n">
        <v>1</v>
      </c>
      <c r="E22" s="238" t="inlineStr">
        <is>
          <t>1 - 3 Years Old</t>
        </is>
      </c>
      <c r="F22" s="315" t="n">
        <v>0.1259228649544836</v>
      </c>
      <c r="G22" s="315" t="n">
        <v>0.06086967377783296</v>
      </c>
      <c r="H22" s="238" t="inlineStr">
        <is>
          <t>D5</t>
        </is>
      </c>
      <c r="I22" s="238" t="inlineStr">
        <is>
          <t>N9</t>
        </is>
      </c>
      <c r="J22" s="283">
        <f>G22/F22</f>
        <v/>
      </c>
      <c r="K22" s="283">
        <f>J22/SUMIFS($J$5:$J$100,$B$5:$B$100,B22)</f>
        <v/>
      </c>
    </row>
    <row r="23">
      <c r="B23" s="237" t="n">
        <v>2021</v>
      </c>
      <c r="C23" s="238" t="inlineStr">
        <is>
          <t>Car</t>
        </is>
      </c>
      <c r="D23" s="237" t="n">
        <v>2</v>
      </c>
      <c r="E23" s="238" t="inlineStr">
        <is>
          <t>4 - 6 Years Old</t>
        </is>
      </c>
      <c r="F23" s="315" t="n">
        <v>0.1851689524467392</v>
      </c>
      <c r="G23" s="315" t="n">
        <v>0.1175043444154797</v>
      </c>
      <c r="H23" s="238" t="inlineStr">
        <is>
          <t>D6</t>
        </is>
      </c>
      <c r="I23" s="238" t="inlineStr">
        <is>
          <t>N13</t>
        </is>
      </c>
      <c r="J23" s="283">
        <f>G23/F23</f>
        <v/>
      </c>
      <c r="K23" s="283">
        <f>J23/SUMIFS($J$5:$J$100,$B$5:$B$100,B23)</f>
        <v/>
      </c>
    </row>
    <row r="24">
      <c r="B24" s="237" t="n">
        <v>2021</v>
      </c>
      <c r="C24" s="238" t="inlineStr">
        <is>
          <t>Car</t>
        </is>
      </c>
      <c r="D24" s="237" t="n">
        <v>3</v>
      </c>
      <c r="E24" s="238" t="inlineStr">
        <is>
          <t>7 Years and Older</t>
        </is>
      </c>
      <c r="F24" s="315" t="n">
        <v>0.3400530623190121</v>
      </c>
      <c r="G24" s="315" t="n">
        <v>0.3935917314095257</v>
      </c>
      <c r="H24" s="238" t="inlineStr">
        <is>
          <t>D7</t>
        </is>
      </c>
      <c r="I24" s="238" t="inlineStr">
        <is>
          <t>N17</t>
        </is>
      </c>
      <c r="J24" s="283">
        <f>G24/F24</f>
        <v/>
      </c>
      <c r="K24" s="283">
        <f>J24/SUMIFS($J$5:$J$100,$B$5:$B$100,B24)</f>
        <v/>
      </c>
    </row>
    <row r="25">
      <c r="B25" s="237" t="n">
        <v>2021</v>
      </c>
      <c r="C25" s="238" t="inlineStr">
        <is>
          <t>Pickup</t>
        </is>
      </c>
      <c r="D25" s="237" t="n">
        <v>0</v>
      </c>
      <c r="E25" s="238" t="inlineStr">
        <is>
          <t>Current Yr or Newer Group</t>
        </is>
      </c>
      <c r="F25" s="315" t="n">
        <v>0.04659659885425594</v>
      </c>
      <c r="G25" s="315" t="n">
        <v>0.001791171898056136</v>
      </c>
      <c r="H25" s="238" t="inlineStr">
        <is>
          <t>D9</t>
        </is>
      </c>
      <c r="I25" s="238" t="inlineStr">
        <is>
          <t>N6</t>
        </is>
      </c>
      <c r="J25" s="283">
        <f>G25/F25</f>
        <v/>
      </c>
      <c r="K25" s="283">
        <f>J25/SUMIFS($J$5:$J$100,$B$5:$B$100,B25)</f>
        <v/>
      </c>
    </row>
    <row r="26">
      <c r="B26" s="237" t="n">
        <v>2021</v>
      </c>
      <c r="C26" s="238" t="inlineStr">
        <is>
          <t>Pickup</t>
        </is>
      </c>
      <c r="D26" s="237" t="n">
        <v>1</v>
      </c>
      <c r="E26" s="238" t="inlineStr">
        <is>
          <t>1 - 3 Years Old</t>
        </is>
      </c>
      <c r="F26" s="315" t="n">
        <v>0.05586782331803201</v>
      </c>
      <c r="G26" s="315" t="n">
        <v>0.01041654023270323</v>
      </c>
      <c r="H26" s="238" t="inlineStr">
        <is>
          <t>D10</t>
        </is>
      </c>
      <c r="I26" s="238" t="inlineStr">
        <is>
          <t>N10</t>
        </is>
      </c>
      <c r="J26" s="283">
        <f>G26/F26</f>
        <v/>
      </c>
      <c r="K26" s="283">
        <f>J26/SUMIFS($J$5:$J$100,$B$5:$B$100,B26)</f>
        <v/>
      </c>
    </row>
    <row r="27">
      <c r="B27" s="237" t="n">
        <v>2021</v>
      </c>
      <c r="C27" s="238" t="inlineStr">
        <is>
          <t>Pickup</t>
        </is>
      </c>
      <c r="D27" s="237" t="n">
        <v>2</v>
      </c>
      <c r="E27" s="238" t="inlineStr">
        <is>
          <t>4 - 6 Years Old</t>
        </is>
      </c>
      <c r="F27" s="315" t="n">
        <v>0.07842137262456489</v>
      </c>
      <c r="G27" s="315" t="n">
        <v>0.01221152682405629</v>
      </c>
      <c r="H27" s="238" t="inlineStr">
        <is>
          <t>D11</t>
        </is>
      </c>
      <c r="I27" s="238" t="inlineStr">
        <is>
          <t>N14</t>
        </is>
      </c>
      <c r="J27" s="283">
        <f>G27/F27</f>
        <v/>
      </c>
      <c r="K27" s="283">
        <f>J27/SUMIFS($J$5:$J$100,$B$5:$B$100,B27)</f>
        <v/>
      </c>
    </row>
    <row r="28">
      <c r="B28" s="237" t="n">
        <v>2021</v>
      </c>
      <c r="C28" s="238" t="inlineStr">
        <is>
          <t>Pickup</t>
        </is>
      </c>
      <c r="D28" s="237" t="n">
        <v>3</v>
      </c>
      <c r="E28" s="238" t="inlineStr">
        <is>
          <t>7 Years and Older</t>
        </is>
      </c>
      <c r="F28" s="315" t="n">
        <v>0.2284534099280345</v>
      </c>
      <c r="G28" s="315" t="n">
        <v>0.0777552402615215</v>
      </c>
      <c r="H28" s="238" t="inlineStr">
        <is>
          <t>D12</t>
        </is>
      </c>
      <c r="I28" s="238" t="inlineStr">
        <is>
          <t>N18</t>
        </is>
      </c>
      <c r="J28" s="283">
        <f>G28/F28</f>
        <v/>
      </c>
      <c r="K28" s="283">
        <f>J28/SUMIFS($J$5:$J$100,$B$5:$B$100,B28)</f>
        <v/>
      </c>
    </row>
    <row r="29">
      <c r="B29" s="237" t="n">
        <v>2021</v>
      </c>
      <c r="C29" s="238" t="inlineStr">
        <is>
          <t>Utility Vehicle</t>
        </is>
      </c>
      <c r="D29" s="237" t="n">
        <v>0</v>
      </c>
      <c r="E29" s="238" t="inlineStr">
        <is>
          <t>Current Yr or Newer Group</t>
        </is>
      </c>
      <c r="F29" s="315" t="n">
        <v>0.06313658610984013</v>
      </c>
      <c r="G29" s="315" t="n">
        <v>0.007895721544035259</v>
      </c>
      <c r="H29" s="238" t="inlineStr">
        <is>
          <t>D14</t>
        </is>
      </c>
      <c r="I29" s="238" t="inlineStr">
        <is>
          <t>N7</t>
        </is>
      </c>
      <c r="J29" s="283">
        <f>G29/F29</f>
        <v/>
      </c>
      <c r="K29" s="283">
        <f>J29/SUMIFS($J$5:$J$100,$B$5:$B$100,B29)</f>
        <v/>
      </c>
    </row>
    <row r="30">
      <c r="B30" s="237" t="n">
        <v>2021</v>
      </c>
      <c r="C30" s="238" t="inlineStr">
        <is>
          <t>Utility Vehicle</t>
        </is>
      </c>
      <c r="D30" s="237" t="n">
        <v>1</v>
      </c>
      <c r="E30" s="238" t="inlineStr">
        <is>
          <t>1 - 3 Years Old</t>
        </is>
      </c>
      <c r="F30" s="315" t="n">
        <v>0.08155778608498028</v>
      </c>
      <c r="G30" s="315" t="n">
        <v>0.04622055793704161</v>
      </c>
      <c r="H30" s="238" t="inlineStr">
        <is>
          <t>D15</t>
        </is>
      </c>
      <c r="I30" s="238" t="inlineStr">
        <is>
          <t>N11</t>
        </is>
      </c>
      <c r="J30" s="283">
        <f>G30/F30</f>
        <v/>
      </c>
      <c r="K30" s="283">
        <f>J30/SUMIFS($J$5:$J$100,$B$5:$B$100,B30)</f>
        <v/>
      </c>
    </row>
    <row r="31">
      <c r="B31" s="237" t="n">
        <v>2021</v>
      </c>
      <c r="C31" s="238" t="inlineStr">
        <is>
          <t>Utility Vehicle</t>
        </is>
      </c>
      <c r="D31" s="237" t="n">
        <v>2</v>
      </c>
      <c r="E31" s="238" t="inlineStr">
        <is>
          <t>4 - 6 Years Old</t>
        </is>
      </c>
      <c r="F31" s="315" t="n">
        <v>0.1182692364600534</v>
      </c>
      <c r="G31" s="315" t="n">
        <v>0.05543963126481011</v>
      </c>
      <c r="H31" s="238" t="inlineStr">
        <is>
          <t>D16</t>
        </is>
      </c>
      <c r="I31" s="238" t="inlineStr">
        <is>
          <t>N15</t>
        </is>
      </c>
      <c r="J31" s="283">
        <f>G31/F31</f>
        <v/>
      </c>
      <c r="K31" s="283">
        <f>J31/SUMIFS($J$5:$J$100,$B$5:$B$100,B31)</f>
        <v/>
      </c>
    </row>
    <row r="32">
      <c r="B32" s="237" t="n">
        <v>2021</v>
      </c>
      <c r="C32" s="238" t="inlineStr">
        <is>
          <t>Utility Vehicle</t>
        </is>
      </c>
      <c r="D32" s="237" t="n">
        <v>3</v>
      </c>
      <c r="E32" s="238" t="inlineStr">
        <is>
          <t>7 Years and Older</t>
        </is>
      </c>
      <c r="F32" s="315" t="n">
        <v>0.269427612173302</v>
      </c>
      <c r="G32" s="315" t="n">
        <v>0.1672836644082526</v>
      </c>
      <c r="H32" s="238" t="inlineStr">
        <is>
          <t>D17</t>
        </is>
      </c>
      <c r="I32" s="238" t="inlineStr">
        <is>
          <t>N19</t>
        </is>
      </c>
      <c r="J32" s="283">
        <f>G32/F32</f>
        <v/>
      </c>
      <c r="K32" s="283">
        <f>J32/SUMIFS($J$5:$J$100,$B$5:$B$100,B32)</f>
        <v/>
      </c>
    </row>
    <row r="33">
      <c r="B33" s="237" t="n">
        <v>2021</v>
      </c>
      <c r="C33" s="238" t="inlineStr">
        <is>
          <t>Van</t>
        </is>
      </c>
      <c r="D33" s="237" t="n">
        <v>0</v>
      </c>
      <c r="E33" s="238" t="inlineStr">
        <is>
          <t>Current Yr or Newer Group</t>
        </is>
      </c>
      <c r="F33" s="315" t="n">
        <v>0.05772999940606997</v>
      </c>
      <c r="G33" s="315" t="n">
        <v>0.0003370801713282797</v>
      </c>
      <c r="H33" s="238" t="inlineStr">
        <is>
          <t>D19</t>
        </is>
      </c>
      <c r="I33" s="238" t="inlineStr">
        <is>
          <t>N8</t>
        </is>
      </c>
      <c r="J33" s="283">
        <f>G33/F33</f>
        <v/>
      </c>
      <c r="K33" s="283">
        <f>J33/SUMIFS($J$5:$J$100,$B$5:$B$100,B33)</f>
        <v/>
      </c>
    </row>
    <row r="34">
      <c r="B34" s="237" t="n">
        <v>2021</v>
      </c>
      <c r="C34" s="238" t="inlineStr">
        <is>
          <t>Van</t>
        </is>
      </c>
      <c r="D34" s="237" t="n">
        <v>1</v>
      </c>
      <c r="E34" s="238" t="inlineStr">
        <is>
          <t>1 - 3 Years Old</t>
        </is>
      </c>
      <c r="F34" s="315" t="n">
        <v>0.07945331438602357</v>
      </c>
      <c r="G34" s="315" t="n">
        <v>0.003296241798842899</v>
      </c>
      <c r="H34" s="238" t="inlineStr">
        <is>
          <t>D20</t>
        </is>
      </c>
      <c r="I34" s="238" t="inlineStr">
        <is>
          <t>N12</t>
        </is>
      </c>
      <c r="J34" s="283">
        <f>G34/F34</f>
        <v/>
      </c>
      <c r="K34" s="283">
        <f>J34/SUMIFS($J$5:$J$100,$B$5:$B$100,B34)</f>
        <v/>
      </c>
    </row>
    <row r="35">
      <c r="B35" s="237" t="n">
        <v>2021</v>
      </c>
      <c r="C35" s="238" t="inlineStr">
        <is>
          <t>Van</t>
        </is>
      </c>
      <c r="D35" s="237" t="n">
        <v>2</v>
      </c>
      <c r="E35" s="238" t="inlineStr">
        <is>
          <t>4 - 6 Years Old</t>
        </is>
      </c>
      <c r="F35" s="315" t="n">
        <v>0.1274673461020324</v>
      </c>
      <c r="G35" s="315" t="n">
        <v>0.006037619118133076</v>
      </c>
      <c r="H35" s="238" t="inlineStr">
        <is>
          <t>D21</t>
        </is>
      </c>
      <c r="I35" s="238" t="inlineStr">
        <is>
          <t>N16</t>
        </is>
      </c>
      <c r="J35" s="283">
        <f>G35/F35</f>
        <v/>
      </c>
      <c r="K35" s="283">
        <f>J35/SUMIFS($J$5:$J$100,$B$5:$B$100,B35)</f>
        <v/>
      </c>
    </row>
    <row r="36">
      <c r="B36" s="237" t="n">
        <v>2021</v>
      </c>
      <c r="C36" s="238" t="inlineStr">
        <is>
          <t>Van</t>
        </is>
      </c>
      <c r="D36" s="237" t="n">
        <v>3</v>
      </c>
      <c r="E36" s="238" t="inlineStr">
        <is>
          <t>7 Years and Older</t>
        </is>
      </c>
      <c r="F36" s="315" t="n">
        <v>0.3286981241758709</v>
      </c>
      <c r="G36" s="315" t="n">
        <v>0.03215821128337727</v>
      </c>
      <c r="H36" s="238" t="inlineStr">
        <is>
          <t>D22</t>
        </is>
      </c>
      <c r="I36" s="238" t="inlineStr">
        <is>
          <t>N20</t>
        </is>
      </c>
      <c r="J36" s="283">
        <f>G36/F36</f>
        <v/>
      </c>
      <c r="K36" s="283">
        <f>J36/SUMIFS($J$5:$J$100,$B$5:$B$100,B36)</f>
        <v/>
      </c>
    </row>
    <row r="37">
      <c r="B37" s="237" t="n">
        <v>2022</v>
      </c>
      <c r="C37" s="238" t="inlineStr">
        <is>
          <t>Car</t>
        </is>
      </c>
      <c r="D37" s="237" t="n">
        <v>0</v>
      </c>
      <c r="E37" s="238" t="inlineStr">
        <is>
          <t>Current Yr or Newer Group</t>
        </is>
      </c>
      <c r="F37" s="315" t="n">
        <v>0.1037956407963709</v>
      </c>
      <c r="G37" s="315" t="n">
        <v>0.008341538296217895</v>
      </c>
      <c r="H37" s="238" t="inlineStr">
        <is>
          <t>E4</t>
        </is>
      </c>
      <c r="I37" s="238" t="inlineStr">
        <is>
          <t>O5</t>
        </is>
      </c>
      <c r="J37" s="283">
        <f>G37/F37</f>
        <v/>
      </c>
      <c r="K37" s="283">
        <f>J37/SUMIFS($J$5:$J$100,$B$5:$B$100,B37)</f>
        <v/>
      </c>
    </row>
    <row r="38">
      <c r="B38" s="237" t="n">
        <v>2022</v>
      </c>
      <c r="C38" s="238" t="inlineStr">
        <is>
          <t>Car</t>
        </is>
      </c>
      <c r="D38" s="237" t="n">
        <v>1</v>
      </c>
      <c r="E38" s="238" t="inlineStr">
        <is>
          <t>1 - 3 Years Old</t>
        </is>
      </c>
      <c r="F38" s="315" t="n">
        <v>0.1142213800859824</v>
      </c>
      <c r="G38" s="315" t="n">
        <v>0.04810607921000299</v>
      </c>
      <c r="H38" s="238" t="inlineStr">
        <is>
          <t>E5</t>
        </is>
      </c>
      <c r="I38" s="238" t="inlineStr">
        <is>
          <t>O9</t>
        </is>
      </c>
      <c r="J38" s="283">
        <f>G38/F38</f>
        <v/>
      </c>
      <c r="K38" s="283">
        <f>J38/SUMIFS($J$5:$J$100,$B$5:$B$100,B38)</f>
        <v/>
      </c>
    </row>
    <row r="39">
      <c r="B39" s="237" t="n">
        <v>2022</v>
      </c>
      <c r="C39" s="238" t="inlineStr">
        <is>
          <t>Car</t>
        </is>
      </c>
      <c r="D39" s="237" t="n">
        <v>2</v>
      </c>
      <c r="E39" s="238" t="inlineStr">
        <is>
          <t>4 - 6 Years Old</t>
        </is>
      </c>
      <c r="F39" s="315" t="n">
        <v>0.1631054390201651</v>
      </c>
      <c r="G39" s="315" t="n">
        <v>0.0990037686243318</v>
      </c>
      <c r="H39" s="238" t="inlineStr">
        <is>
          <t>E6</t>
        </is>
      </c>
      <c r="I39" s="238" t="inlineStr">
        <is>
          <t>O13</t>
        </is>
      </c>
      <c r="J39" s="283">
        <f>G39/F39</f>
        <v/>
      </c>
      <c r="K39" s="283">
        <f>J39/SUMIFS($J$5:$J$100,$B$5:$B$100,B39)</f>
        <v/>
      </c>
    </row>
    <row r="40">
      <c r="B40" s="237" t="n">
        <v>2022</v>
      </c>
      <c r="C40" s="238" t="inlineStr">
        <is>
          <t>Car</t>
        </is>
      </c>
      <c r="D40" s="237" t="n">
        <v>3</v>
      </c>
      <c r="E40" s="238" t="inlineStr">
        <is>
          <t>7 Years and Older</t>
        </is>
      </c>
      <c r="F40" s="315" t="n">
        <v>0.3054671461407206</v>
      </c>
      <c r="G40" s="315" t="n">
        <v>0.3985545201242166</v>
      </c>
      <c r="H40" s="238" t="inlineStr">
        <is>
          <t>E7</t>
        </is>
      </c>
      <c r="I40" s="238" t="inlineStr">
        <is>
          <t>O17</t>
        </is>
      </c>
      <c r="J40" s="283">
        <f>G40/F40</f>
        <v/>
      </c>
      <c r="K40" s="283">
        <f>J40/SUMIFS($J$5:$J$100,$B$5:$B$100,B40)</f>
        <v/>
      </c>
    </row>
    <row r="41">
      <c r="B41" s="237" t="n">
        <v>2022</v>
      </c>
      <c r="C41" s="238" t="inlineStr">
        <is>
          <t>Pickup</t>
        </is>
      </c>
      <c r="D41" s="237" t="n">
        <v>0</v>
      </c>
      <c r="E41" s="238" t="inlineStr">
        <is>
          <t>Current Yr or Newer Group</t>
        </is>
      </c>
      <c r="F41" s="315" t="n">
        <v>0.0856085409252669</v>
      </c>
      <c r="G41" s="315" t="n">
        <v>0.002973564252358398</v>
      </c>
      <c r="H41" s="238" t="inlineStr">
        <is>
          <t>E9</t>
        </is>
      </c>
      <c r="I41" s="238" t="inlineStr">
        <is>
          <t>O6</t>
        </is>
      </c>
      <c r="J41" s="283">
        <f>G41/F41</f>
        <v/>
      </c>
      <c r="K41" s="283">
        <f>J41/SUMIFS($J$5:$J$100,$B$5:$B$100,B41)</f>
        <v/>
      </c>
    </row>
    <row r="42">
      <c r="B42" s="237" t="n">
        <v>2022</v>
      </c>
      <c r="C42" s="238" t="inlineStr">
        <is>
          <t>Pickup</t>
        </is>
      </c>
      <c r="D42" s="237" t="n">
        <v>1</v>
      </c>
      <c r="E42" s="238" t="inlineStr">
        <is>
          <t>1 - 3 Years Old</t>
        </is>
      </c>
      <c r="F42" s="315" t="n">
        <v>0.05912603950373306</v>
      </c>
      <c r="G42" s="315" t="n">
        <v>0.01128213985871532</v>
      </c>
      <c r="H42" s="238" t="inlineStr">
        <is>
          <t>E10</t>
        </is>
      </c>
      <c r="I42" s="238" t="inlineStr">
        <is>
          <t>O10</t>
        </is>
      </c>
      <c r="J42" s="283">
        <f>G42/F42</f>
        <v/>
      </c>
      <c r="K42" s="283">
        <f>J42/SUMIFS($J$5:$J$100,$B$5:$B$100,B42)</f>
        <v/>
      </c>
    </row>
    <row r="43">
      <c r="B43" s="237" t="n">
        <v>2022</v>
      </c>
      <c r="C43" s="238" t="inlineStr">
        <is>
          <t>Pickup</t>
        </is>
      </c>
      <c r="D43" s="237" t="n">
        <v>2</v>
      </c>
      <c r="E43" s="238" t="inlineStr">
        <is>
          <t>4 - 6 Years Old</t>
        </is>
      </c>
      <c r="F43" s="315" t="n">
        <v>0.0836300627597623</v>
      </c>
      <c r="G43" s="315" t="n">
        <v>0.01388882937292108</v>
      </c>
      <c r="H43" s="238" t="inlineStr">
        <is>
          <t>E11</t>
        </is>
      </c>
      <c r="I43" s="238" t="inlineStr">
        <is>
          <t>O14</t>
        </is>
      </c>
      <c r="J43" s="283">
        <f>G43/F43</f>
        <v/>
      </c>
      <c r="K43" s="283">
        <f>J43/SUMIFS($J$5:$J$100,$B$5:$B$100,B43)</f>
        <v/>
      </c>
    </row>
    <row r="44">
      <c r="B44" s="237" t="n">
        <v>2022</v>
      </c>
      <c r="C44" s="238" t="inlineStr">
        <is>
          <t>Pickup</t>
        </is>
      </c>
      <c r="D44" s="237" t="n">
        <v>3</v>
      </c>
      <c r="E44" s="238" t="inlineStr">
        <is>
          <t>7 Years and Older</t>
        </is>
      </c>
      <c r="F44" s="315" t="n">
        <v>0.2165159764875176</v>
      </c>
      <c r="G44" s="315" t="n">
        <v>0.08004923307357635</v>
      </c>
      <c r="H44" s="238" t="inlineStr">
        <is>
          <t>E12</t>
        </is>
      </c>
      <c r="I44" s="238" t="inlineStr">
        <is>
          <t>O18</t>
        </is>
      </c>
      <c r="J44" s="283">
        <f>G44/F44</f>
        <v/>
      </c>
      <c r="K44" s="283">
        <f>J44/SUMIFS($J$5:$J$100,$B$5:$B$100,B44)</f>
        <v/>
      </c>
    </row>
    <row r="45">
      <c r="B45" s="237" t="n">
        <v>2022</v>
      </c>
      <c r="C45" s="238" t="inlineStr">
        <is>
          <t>Utility Vehicle</t>
        </is>
      </c>
      <c r="D45" s="237" t="n">
        <v>0</v>
      </c>
      <c r="E45" s="238" t="inlineStr">
        <is>
          <t>Current Yr or Newer Group</t>
        </is>
      </c>
      <c r="F45" s="315" t="n">
        <v>0.07961846655313992</v>
      </c>
      <c r="G45" s="315" t="n">
        <v>0.01004834637721909</v>
      </c>
      <c r="H45" s="238" t="inlineStr">
        <is>
          <t>E14</t>
        </is>
      </c>
      <c r="I45" s="238" t="inlineStr">
        <is>
          <t>O7</t>
        </is>
      </c>
      <c r="J45" s="283">
        <f>G45/F45</f>
        <v/>
      </c>
      <c r="K45" s="283">
        <f>J45/SUMIFS($J$5:$J$100,$B$5:$B$100,B45)</f>
        <v/>
      </c>
    </row>
    <row r="46">
      <c r="B46" s="237" t="n">
        <v>2022</v>
      </c>
      <c r="C46" s="238" t="inlineStr">
        <is>
          <t>Utility Vehicle</t>
        </is>
      </c>
      <c r="D46" s="237" t="n">
        <v>1</v>
      </c>
      <c r="E46" s="238" t="inlineStr">
        <is>
          <t>1 - 3 Years Old</t>
        </is>
      </c>
      <c r="F46" s="315" t="n">
        <v>0.07721280395477398</v>
      </c>
      <c r="G46" s="315" t="n">
        <v>0.04627467216132732</v>
      </c>
      <c r="H46" s="238" t="inlineStr">
        <is>
          <t>E15</t>
        </is>
      </c>
      <c r="I46" s="238" t="inlineStr">
        <is>
          <t>O11</t>
        </is>
      </c>
      <c r="J46" s="283">
        <f>G46/F46</f>
        <v/>
      </c>
      <c r="K46" s="283">
        <f>J46/SUMIFS($J$5:$J$100,$B$5:$B$100,B46)</f>
        <v/>
      </c>
    </row>
    <row r="47">
      <c r="B47" s="237" t="n">
        <v>2022</v>
      </c>
      <c r="C47" s="238" t="inlineStr">
        <is>
          <t>Utility Vehicle</t>
        </is>
      </c>
      <c r="D47" s="237" t="n">
        <v>2</v>
      </c>
      <c r="E47" s="238" t="inlineStr">
        <is>
          <t>4 - 6 Years Old</t>
        </is>
      </c>
      <c r="F47" s="315" t="n">
        <v>0.1131521751799384</v>
      </c>
      <c r="G47" s="315" t="n">
        <v>0.06080099995615963</v>
      </c>
      <c r="H47" s="238" t="inlineStr">
        <is>
          <t>E16</t>
        </is>
      </c>
      <c r="I47" s="238" t="inlineStr">
        <is>
          <t>O15</t>
        </is>
      </c>
      <c r="J47" s="283">
        <f>G47/F47</f>
        <v/>
      </c>
      <c r="K47" s="283">
        <f>J47/SUMIFS($J$5:$J$100,$B$5:$B$100,B47)</f>
        <v/>
      </c>
    </row>
    <row r="48">
      <c r="B48" s="237" t="n">
        <v>2022</v>
      </c>
      <c r="C48" s="238" t="inlineStr">
        <is>
          <t>Utility Vehicle</t>
        </is>
      </c>
      <c r="D48" s="237" t="n">
        <v>3</v>
      </c>
      <c r="E48" s="238" t="inlineStr">
        <is>
          <t>7 Years and Older</t>
        </is>
      </c>
      <c r="F48" s="315" t="n">
        <v>0.2443702260596082</v>
      </c>
      <c r="G48" s="315" t="n">
        <v>0.1798984946928421</v>
      </c>
      <c r="H48" s="238" t="inlineStr">
        <is>
          <t>E17</t>
        </is>
      </c>
      <c r="I48" s="238" t="inlineStr">
        <is>
          <t>O19</t>
        </is>
      </c>
      <c r="J48" s="283">
        <f>G48/F48</f>
        <v/>
      </c>
      <c r="K48" s="283">
        <f>J48/SUMIFS($J$5:$J$100,$B$5:$B$100,B48)</f>
        <v/>
      </c>
    </row>
    <row r="49">
      <c r="B49" s="237" t="n">
        <v>2022</v>
      </c>
      <c r="C49" s="238" t="inlineStr">
        <is>
          <t>Van</t>
        </is>
      </c>
      <c r="D49" s="237" t="n">
        <v>0</v>
      </c>
      <c r="E49" s="238" t="inlineStr">
        <is>
          <t>Current Yr or Newer Group</t>
        </is>
      </c>
      <c r="F49" s="315" t="n">
        <v>0.06442446786526142</v>
      </c>
      <c r="G49" s="315" t="n">
        <v>0.0004110447425663366</v>
      </c>
      <c r="H49" s="238" t="inlineStr">
        <is>
          <t>E19</t>
        </is>
      </c>
      <c r="I49" s="238" t="inlineStr">
        <is>
          <t>O8</t>
        </is>
      </c>
      <c r="J49" s="283">
        <f>G49/F49</f>
        <v/>
      </c>
      <c r="K49" s="283">
        <f>J49/SUMIFS($J$5:$J$100,$B$5:$B$100,B49)</f>
        <v/>
      </c>
    </row>
    <row r="50">
      <c r="B50" s="237" t="n">
        <v>2022</v>
      </c>
      <c r="C50" s="238" t="inlineStr">
        <is>
          <t>Van</t>
        </is>
      </c>
      <c r="D50" s="237" t="n">
        <v>1</v>
      </c>
      <c r="E50" s="238" t="inlineStr">
        <is>
          <t>1 - 3 Years Old</t>
        </is>
      </c>
      <c r="F50" s="315" t="n">
        <v>0.07473605667384238</v>
      </c>
      <c r="G50" s="315" t="n">
        <v>0.00287236879448521</v>
      </c>
      <c r="H50" s="238" t="inlineStr">
        <is>
          <t>E20</t>
        </is>
      </c>
      <c r="I50" s="238" t="inlineStr">
        <is>
          <t>O12</t>
        </is>
      </c>
      <c r="J50" s="283">
        <f>G50/F50</f>
        <v/>
      </c>
      <c r="K50" s="283">
        <f>J50/SUMIFS($J$5:$J$100,$B$5:$B$100,B50)</f>
        <v/>
      </c>
    </row>
    <row r="51">
      <c r="B51" s="237" t="n">
        <v>2022</v>
      </c>
      <c r="C51" s="238" t="inlineStr">
        <is>
          <t>Van</t>
        </is>
      </c>
      <c r="D51" s="237" t="n">
        <v>2</v>
      </c>
      <c r="E51" s="238" t="inlineStr">
        <is>
          <t>4 - 6 Years Old</t>
        </is>
      </c>
      <c r="F51" s="315" t="n">
        <v>0.1148230740101822</v>
      </c>
      <c r="G51" s="315" t="n">
        <v>0.005397310837835762</v>
      </c>
      <c r="H51" s="238" t="inlineStr">
        <is>
          <t>E21</t>
        </is>
      </c>
      <c r="I51" s="238" t="inlineStr">
        <is>
          <t>O16</t>
        </is>
      </c>
      <c r="J51" s="283">
        <f>G51/F51</f>
        <v/>
      </c>
      <c r="K51" s="283">
        <f>J51/SUMIFS($J$5:$J$100,$B$5:$B$100,B51)</f>
        <v/>
      </c>
    </row>
    <row r="52">
      <c r="B52" s="237" t="n">
        <v>2022</v>
      </c>
      <c r="C52" s="238" t="inlineStr">
        <is>
          <t>Van</t>
        </is>
      </c>
      <c r="D52" s="237" t="n">
        <v>3</v>
      </c>
      <c r="E52" s="238" t="inlineStr">
        <is>
          <t>7 Years and Older</t>
        </is>
      </c>
      <c r="F52" s="315" t="n">
        <v>0.2976523812435043</v>
      </c>
      <c r="G52" s="315" t="n">
        <v>0.0320970896252241</v>
      </c>
      <c r="H52" s="238" t="inlineStr">
        <is>
          <t>E22</t>
        </is>
      </c>
      <c r="I52" s="238" t="inlineStr">
        <is>
          <t>O20</t>
        </is>
      </c>
      <c r="J52" s="283">
        <f>G52/F52</f>
        <v/>
      </c>
      <c r="K52" s="283">
        <f>J52/SUMIFS($J$5:$J$100,$B$5:$B$100,B52)</f>
        <v/>
      </c>
    </row>
    <row r="53">
      <c r="B53" s="237" t="n">
        <v>2023</v>
      </c>
      <c r="C53" s="238" t="inlineStr">
        <is>
          <t>Car</t>
        </is>
      </c>
      <c r="D53" s="237" t="n">
        <v>0</v>
      </c>
      <c r="E53" s="238" t="inlineStr">
        <is>
          <t>Current Yr or Newer Group</t>
        </is>
      </c>
      <c r="F53" s="315" t="n">
        <v>0.1073790865325065</v>
      </c>
      <c r="G53" s="315" t="n">
        <v>0.007870336605402501</v>
      </c>
      <c r="H53" s="238" t="inlineStr">
        <is>
          <t>F4</t>
        </is>
      </c>
      <c r="I53" s="238" t="inlineStr">
        <is>
          <t>P5</t>
        </is>
      </c>
      <c r="J53" s="283">
        <f>G53/F53</f>
        <v/>
      </c>
      <c r="K53" s="283">
        <f>J53/SUMIFS($J$5:$J$100,$B$5:$B$100,B53)</f>
        <v/>
      </c>
    </row>
    <row r="54">
      <c r="B54" s="237" t="n">
        <v>2023</v>
      </c>
      <c r="C54" s="238" t="inlineStr">
        <is>
          <t>Car</t>
        </is>
      </c>
      <c r="D54" s="237" t="n">
        <v>1</v>
      </c>
      <c r="E54" s="238" t="inlineStr">
        <is>
          <t>1 - 3 Years Old</t>
        </is>
      </c>
      <c r="F54" s="315" t="n">
        <v>0.1201207764301447</v>
      </c>
      <c r="G54" s="315" t="n">
        <v>0.04058426967652241</v>
      </c>
      <c r="H54" s="238" t="inlineStr">
        <is>
          <t>F5</t>
        </is>
      </c>
      <c r="I54" s="238" t="inlineStr">
        <is>
          <t>P9</t>
        </is>
      </c>
      <c r="J54" s="283">
        <f>G54/F54</f>
        <v/>
      </c>
      <c r="K54" s="283">
        <f>J54/SUMIFS($J$5:$J$100,$B$5:$B$100,B54)</f>
        <v/>
      </c>
    </row>
    <row r="55">
      <c r="B55" s="237" t="n">
        <v>2023</v>
      </c>
      <c r="C55" s="238" t="inlineStr">
        <is>
          <t>Car</t>
        </is>
      </c>
      <c r="D55" s="237" t="n">
        <v>2</v>
      </c>
      <c r="E55" s="238" t="inlineStr">
        <is>
          <t>4 - 6 Years Old</t>
        </is>
      </c>
      <c r="F55" s="315" t="n">
        <v>0.1755502912452125</v>
      </c>
      <c r="G55" s="315" t="n">
        <v>0.08777511905976003</v>
      </c>
      <c r="H55" s="238" t="inlineStr">
        <is>
          <t>F6</t>
        </is>
      </c>
      <c r="I55" s="238" t="inlineStr">
        <is>
          <t>P13</t>
        </is>
      </c>
      <c r="J55" s="283">
        <f>G55/F55</f>
        <v/>
      </c>
      <c r="K55" s="283">
        <f>J55/SUMIFS($J$5:$J$100,$B$5:$B$100,B55)</f>
        <v/>
      </c>
    </row>
    <row r="56">
      <c r="B56" s="237" t="n">
        <v>2023</v>
      </c>
      <c r="C56" s="238" t="inlineStr">
        <is>
          <t>Car</t>
        </is>
      </c>
      <c r="D56" s="237" t="n">
        <v>3</v>
      </c>
      <c r="E56" s="238" t="inlineStr">
        <is>
          <t>7 Years and Older</t>
        </is>
      </c>
      <c r="F56" s="315" t="n">
        <v>0.3256354396835834</v>
      </c>
      <c r="G56" s="315" t="n">
        <v>0.3992421695340774</v>
      </c>
      <c r="H56" s="238" t="inlineStr">
        <is>
          <t>F7</t>
        </is>
      </c>
      <c r="I56" s="238" t="inlineStr">
        <is>
          <t>P17</t>
        </is>
      </c>
      <c r="J56" s="283">
        <f>G56/F56</f>
        <v/>
      </c>
      <c r="K56" s="283">
        <f>J56/SUMIFS($J$5:$J$100,$B$5:$B$100,B56)</f>
        <v/>
      </c>
    </row>
    <row r="57">
      <c r="B57" s="237" t="n">
        <v>2023</v>
      </c>
      <c r="C57" s="238" t="inlineStr">
        <is>
          <t>Pickup</t>
        </is>
      </c>
      <c r="D57" s="237" t="n">
        <v>0</v>
      </c>
      <c r="E57" s="238" t="inlineStr">
        <is>
          <t>Current Yr or Newer Group</t>
        </is>
      </c>
      <c r="F57" s="315" t="n">
        <v>0.07491125038348599</v>
      </c>
      <c r="G57" s="315" t="n">
        <v>0.002069038773066363</v>
      </c>
      <c r="H57" s="238" t="inlineStr">
        <is>
          <t>F9</t>
        </is>
      </c>
      <c r="I57" s="238" t="inlineStr">
        <is>
          <t>P6</t>
        </is>
      </c>
      <c r="J57" s="283">
        <f>G57/F57</f>
        <v/>
      </c>
      <c r="K57" s="283">
        <f>J57/SUMIFS($J$5:$J$100,$B$5:$B$100,B57)</f>
        <v/>
      </c>
    </row>
    <row r="58">
      <c r="B58" s="237" t="n">
        <v>2023</v>
      </c>
      <c r="C58" s="238" t="inlineStr">
        <is>
          <t>Pickup</t>
        </is>
      </c>
      <c r="D58" s="237" t="n">
        <v>1</v>
      </c>
      <c r="E58" s="238" t="inlineStr">
        <is>
          <t>1 - 3 Years Old</t>
        </is>
      </c>
      <c r="F58" s="315" t="n">
        <v>0.06205068984813005</v>
      </c>
      <c r="G58" s="315" t="n">
        <v>0.01053705734085091</v>
      </c>
      <c r="H58" s="238" t="inlineStr">
        <is>
          <t>F10</t>
        </is>
      </c>
      <c r="I58" s="238" t="inlineStr">
        <is>
          <t>P10</t>
        </is>
      </c>
      <c r="J58" s="283">
        <f>G58/F58</f>
        <v/>
      </c>
      <c r="K58" s="283">
        <f>J58/SUMIFS($J$5:$J$100,$B$5:$B$100,B58)</f>
        <v/>
      </c>
    </row>
    <row r="59">
      <c r="B59" s="237" t="n">
        <v>2023</v>
      </c>
      <c r="C59" s="238" t="inlineStr">
        <is>
          <t>Pickup</t>
        </is>
      </c>
      <c r="D59" s="237" t="n">
        <v>2</v>
      </c>
      <c r="E59" s="238" t="inlineStr">
        <is>
          <t>4 - 6 Years Old</t>
        </is>
      </c>
      <c r="F59" s="315" t="n">
        <v>0.08721663439781237</v>
      </c>
      <c r="G59" s="315" t="n">
        <v>0.01454561190981932</v>
      </c>
      <c r="H59" s="238" t="inlineStr">
        <is>
          <t>F11</t>
        </is>
      </c>
      <c r="I59" s="238" t="inlineStr">
        <is>
          <t>P14</t>
        </is>
      </c>
      <c r="J59" s="283">
        <f>G59/F59</f>
        <v/>
      </c>
      <c r="K59" s="283">
        <f>J59/SUMIFS($J$5:$J$100,$B$5:$B$100,B59)</f>
        <v/>
      </c>
    </row>
    <row r="60">
      <c r="B60" s="237" t="n">
        <v>2023</v>
      </c>
      <c r="C60" s="238" t="inlineStr">
        <is>
          <t>Pickup</t>
        </is>
      </c>
      <c r="D60" s="237" t="n">
        <v>3</v>
      </c>
      <c r="E60" s="238" t="inlineStr">
        <is>
          <t>7 Years and Older</t>
        </is>
      </c>
      <c r="F60" s="315" t="n">
        <v>0.2289372601438728</v>
      </c>
      <c r="G60" s="315" t="n">
        <v>0.08038988837116685</v>
      </c>
      <c r="H60" s="238" t="inlineStr">
        <is>
          <t>F12</t>
        </is>
      </c>
      <c r="I60" s="238" t="inlineStr">
        <is>
          <t>P18</t>
        </is>
      </c>
      <c r="J60" s="283">
        <f>G60/F60</f>
        <v/>
      </c>
      <c r="K60" s="283">
        <f>J60/SUMIFS($J$5:$J$100,$B$5:$B$100,B60)</f>
        <v/>
      </c>
    </row>
    <row r="61">
      <c r="B61" s="237" t="n">
        <v>2023</v>
      </c>
      <c r="C61" s="238" t="inlineStr">
        <is>
          <t>Utility Vehicle</t>
        </is>
      </c>
      <c r="D61" s="237" t="n">
        <v>0</v>
      </c>
      <c r="E61" s="238" t="inlineStr">
        <is>
          <t>Current Yr or Newer Group</t>
        </is>
      </c>
      <c r="F61" s="315" t="n">
        <v>0.07751675580529416</v>
      </c>
      <c r="G61" s="315" t="n">
        <v>0.01004862256247895</v>
      </c>
      <c r="H61" s="238" t="inlineStr">
        <is>
          <t>F14</t>
        </is>
      </c>
      <c r="I61" s="238" t="inlineStr">
        <is>
          <t>P7</t>
        </is>
      </c>
      <c r="J61" s="283">
        <f>G61/F61</f>
        <v/>
      </c>
      <c r="K61" s="283">
        <f>J61/SUMIFS($J$5:$J$100,$B$5:$B$100,B61)</f>
        <v/>
      </c>
    </row>
    <row r="62">
      <c r="B62" s="237" t="n">
        <v>2023</v>
      </c>
      <c r="C62" s="238" t="inlineStr">
        <is>
          <t>Utility Vehicle</t>
        </is>
      </c>
      <c r="D62" s="237" t="n">
        <v>1</v>
      </c>
      <c r="E62" s="238" t="inlineStr">
        <is>
          <t>1 - 3 Years Old</t>
        </is>
      </c>
      <c r="F62" s="315" t="n">
        <v>0.08291242013983925</v>
      </c>
      <c r="G62" s="315" t="n">
        <v>0.0450116555548259</v>
      </c>
      <c r="H62" s="238" t="inlineStr">
        <is>
          <t>F15</t>
        </is>
      </c>
      <c r="I62" s="238" t="inlineStr">
        <is>
          <t>P11</t>
        </is>
      </c>
      <c r="J62" s="283">
        <f>G62/F62</f>
        <v/>
      </c>
      <c r="K62" s="283">
        <f>J62/SUMIFS($J$5:$J$100,$B$5:$B$100,B62)</f>
        <v/>
      </c>
    </row>
    <row r="63">
      <c r="B63" s="237" t="n">
        <v>2023</v>
      </c>
      <c r="C63" s="238" t="inlineStr">
        <is>
          <t>Utility Vehicle</t>
        </is>
      </c>
      <c r="D63" s="237" t="n">
        <v>2</v>
      </c>
      <c r="E63" s="238" t="inlineStr">
        <is>
          <t>4 - 6 Years Old</t>
        </is>
      </c>
      <c r="F63" s="315" t="n">
        <v>0.1253009480110362</v>
      </c>
      <c r="G63" s="315" t="n">
        <v>0.06688953899201466</v>
      </c>
      <c r="H63" s="238" t="inlineStr">
        <is>
          <t>F16</t>
        </is>
      </c>
      <c r="I63" s="238" t="inlineStr">
        <is>
          <t>P15</t>
        </is>
      </c>
      <c r="J63" s="283">
        <f>G63/F63</f>
        <v/>
      </c>
      <c r="K63" s="283">
        <f>J63/SUMIFS($J$5:$J$100,$B$5:$B$100,B63)</f>
        <v/>
      </c>
    </row>
    <row r="64">
      <c r="B64" s="237" t="n">
        <v>2023</v>
      </c>
      <c r="C64" s="238" t="inlineStr">
        <is>
          <t>Utility Vehicle</t>
        </is>
      </c>
      <c r="D64" s="237" t="n">
        <v>3</v>
      </c>
      <c r="E64" s="238" t="inlineStr">
        <is>
          <t>7 Years and Older</t>
        </is>
      </c>
      <c r="F64" s="315" t="n">
        <v>0.2648983041659069</v>
      </c>
      <c r="G64" s="315" t="n">
        <v>0.1951932449530676</v>
      </c>
      <c r="H64" s="238" t="inlineStr">
        <is>
          <t>F17</t>
        </is>
      </c>
      <c r="I64" s="238" t="inlineStr">
        <is>
          <t>P19</t>
        </is>
      </c>
      <c r="J64" s="283">
        <f>G64/F64</f>
        <v/>
      </c>
      <c r="K64" s="283">
        <f>J64/SUMIFS($J$5:$J$100,$B$5:$B$100,B64)</f>
        <v/>
      </c>
    </row>
    <row r="65">
      <c r="B65" s="237" t="n">
        <v>2023</v>
      </c>
      <c r="C65" s="238" t="inlineStr">
        <is>
          <t>Van</t>
        </is>
      </c>
      <c r="D65" s="237" t="n">
        <v>0</v>
      </c>
      <c r="E65" s="238" t="inlineStr">
        <is>
          <t>Current Yr or Newer Group</t>
        </is>
      </c>
      <c r="F65" s="315" t="n">
        <v>0.06961308078355188</v>
      </c>
      <c r="G65" s="315" t="n">
        <v>0.0003903846741634647</v>
      </c>
      <c r="H65" s="238" t="inlineStr">
        <is>
          <t>F19</t>
        </is>
      </c>
      <c r="I65" s="238" t="inlineStr">
        <is>
          <t>P8</t>
        </is>
      </c>
      <c r="J65" s="283">
        <f>G65/F65</f>
        <v/>
      </c>
      <c r="K65" s="283">
        <f>J65/SUMIFS($J$5:$J$100,$B$5:$B$100,B65)</f>
        <v/>
      </c>
    </row>
    <row r="66">
      <c r="B66" s="237" t="n">
        <v>2023</v>
      </c>
      <c r="C66" s="238" t="inlineStr">
        <is>
          <t>Van</t>
        </is>
      </c>
      <c r="D66" s="237" t="n">
        <v>1</v>
      </c>
      <c r="E66" s="238" t="inlineStr">
        <is>
          <t>1 - 3 Years Old</t>
        </is>
      </c>
      <c r="F66" s="315" t="n">
        <v>0.07776280048199662</v>
      </c>
      <c r="G66" s="315" t="n">
        <v>0.002304480072678127</v>
      </c>
      <c r="H66" s="238" t="inlineStr">
        <is>
          <t>F20</t>
        </is>
      </c>
      <c r="I66" s="238" t="inlineStr">
        <is>
          <t>P12</t>
        </is>
      </c>
      <c r="J66" s="283">
        <f>G66/F66</f>
        <v/>
      </c>
      <c r="K66" s="283">
        <f>J66/SUMIFS($J$5:$J$100,$B$5:$B$100,B66)</f>
        <v/>
      </c>
    </row>
    <row r="67">
      <c r="B67" s="237" t="n">
        <v>2023</v>
      </c>
      <c r="C67" s="238" t="inlineStr">
        <is>
          <t>Van</t>
        </is>
      </c>
      <c r="D67" s="237" t="n">
        <v>2</v>
      </c>
      <c r="E67" s="238" t="inlineStr">
        <is>
          <t>4 - 6 Years Old</t>
        </is>
      </c>
      <c r="F67" s="315" t="n">
        <v>0.125420598666676</v>
      </c>
      <c r="G67" s="315" t="n">
        <v>0.005425741723315316</v>
      </c>
      <c r="H67" s="238" t="inlineStr">
        <is>
          <t>F21</t>
        </is>
      </c>
      <c r="I67" s="238" t="inlineStr">
        <is>
          <t>P16</t>
        </is>
      </c>
      <c r="J67" s="283">
        <f>G67/F67</f>
        <v/>
      </c>
      <c r="K67" s="283">
        <f>J67/SUMIFS($J$5:$J$100,$B$5:$B$100,B67)</f>
        <v/>
      </c>
    </row>
    <row r="68">
      <c r="B68" s="237" t="n">
        <v>2023</v>
      </c>
      <c r="C68" s="238" t="inlineStr">
        <is>
          <t>Van</t>
        </is>
      </c>
      <c r="D68" s="237" t="n">
        <v>3</v>
      </c>
      <c r="E68" s="238" t="inlineStr">
        <is>
          <t>7 Years and Older</t>
        </is>
      </c>
      <c r="F68" s="315" t="n">
        <v>0.3198576864280331</v>
      </c>
      <c r="G68" s="315" t="n">
        <v>0.03172284019679019</v>
      </c>
      <c r="H68" s="238" t="inlineStr">
        <is>
          <t>F22</t>
        </is>
      </c>
      <c r="I68" s="238" t="inlineStr">
        <is>
          <t>P20</t>
        </is>
      </c>
      <c r="J68" s="283">
        <f>G68/F68</f>
        <v/>
      </c>
      <c r="K68" s="283">
        <f>J68/SUMIFS($J$5:$J$100,$B$5:$B$100,B68)</f>
        <v/>
      </c>
    </row>
    <row r="69">
      <c r="B69" s="237" t="n">
        <v>2024</v>
      </c>
      <c r="C69" s="238" t="inlineStr">
        <is>
          <t>Car</t>
        </is>
      </c>
      <c r="D69" s="237" t="n">
        <v>0</v>
      </c>
      <c r="E69" s="238" t="inlineStr">
        <is>
          <t>Current Yr or Newer Group</t>
        </is>
      </c>
      <c r="F69" s="315" t="n">
        <v>0.1214654806123987</v>
      </c>
      <c r="G69" s="315" t="n">
        <v>0.007769218046000457</v>
      </c>
      <c r="H69" s="238" t="inlineStr">
        <is>
          <t>G4</t>
        </is>
      </c>
      <c r="I69" s="238" t="inlineStr">
        <is>
          <t>Q5</t>
        </is>
      </c>
      <c r="J69" s="283">
        <f>G69/F69</f>
        <v/>
      </c>
      <c r="K69" s="283">
        <f>J69/SUMIFS($J$5:$J$100,$B$5:$B$100,B69)</f>
        <v/>
      </c>
    </row>
    <row r="70">
      <c r="B70" s="237" t="n">
        <v>2024</v>
      </c>
      <c r="C70" s="238" t="inlineStr">
        <is>
          <t>Car</t>
        </is>
      </c>
      <c r="D70" s="237" t="n">
        <v>1</v>
      </c>
      <c r="E70" s="238" t="inlineStr">
        <is>
          <t>1 - 3 Years Old</t>
        </is>
      </c>
      <c r="F70" s="315" t="n">
        <v>0.1317804990733867</v>
      </c>
      <c r="G70" s="315" t="n">
        <v>0.03709241997144332</v>
      </c>
      <c r="H70" s="238" t="inlineStr">
        <is>
          <t>G5</t>
        </is>
      </c>
      <c r="I70" s="238" t="inlineStr">
        <is>
          <t>Q9</t>
        </is>
      </c>
      <c r="J70" s="283">
        <f>G70/F70</f>
        <v/>
      </c>
      <c r="K70" s="283">
        <f>J70/SUMIFS($J$5:$J$100,$B$5:$B$100,B70)</f>
        <v/>
      </c>
    </row>
    <row r="71">
      <c r="B71" s="237" t="n">
        <v>2024</v>
      </c>
      <c r="C71" s="238" t="inlineStr">
        <is>
          <t>Car</t>
        </is>
      </c>
      <c r="D71" s="237" t="n">
        <v>2</v>
      </c>
      <c r="E71" s="238" t="inlineStr">
        <is>
          <t>4 - 6 Years Old</t>
        </is>
      </c>
      <c r="F71" s="315" t="n">
        <v>0.1893451840821486</v>
      </c>
      <c r="G71" s="315" t="n">
        <v>0.07134378307674594</v>
      </c>
      <c r="H71" s="238" t="inlineStr">
        <is>
          <t>G6</t>
        </is>
      </c>
      <c r="I71" s="238" t="inlineStr">
        <is>
          <t>Q13</t>
        </is>
      </c>
      <c r="J71" s="283">
        <f>G71/F71</f>
        <v/>
      </c>
      <c r="K71" s="283">
        <f>J71/SUMIFS($J$5:$J$100,$B$5:$B$100,B71)</f>
        <v/>
      </c>
    </row>
    <row r="72">
      <c r="B72" s="237" t="n">
        <v>2024</v>
      </c>
      <c r="C72" s="238" t="inlineStr">
        <is>
          <t>Car</t>
        </is>
      </c>
      <c r="D72" s="237" t="n">
        <v>3</v>
      </c>
      <c r="E72" s="238" t="inlineStr">
        <is>
          <t>7 Years and Older</t>
        </is>
      </c>
      <c r="F72" s="315" t="n">
        <v>0.3570035032148893</v>
      </c>
      <c r="G72" s="315" t="n">
        <v>0.3974785255025912</v>
      </c>
      <c r="H72" s="238" t="inlineStr">
        <is>
          <t>G7</t>
        </is>
      </c>
      <c r="I72" s="238" t="inlineStr">
        <is>
          <t>Q17</t>
        </is>
      </c>
      <c r="J72" s="283">
        <f>G72/F72</f>
        <v/>
      </c>
      <c r="K72" s="283">
        <f>J72/SUMIFS($J$5:$J$100,$B$5:$B$100,B72)</f>
        <v/>
      </c>
    </row>
    <row r="73">
      <c r="B73" s="237" t="n">
        <v>2024</v>
      </c>
      <c r="C73" s="238" t="inlineStr">
        <is>
          <t>Pickup</t>
        </is>
      </c>
      <c r="D73" s="237" t="n">
        <v>0</v>
      </c>
      <c r="E73" s="238" t="inlineStr">
        <is>
          <t>Current Yr or Newer Group</t>
        </is>
      </c>
      <c r="F73" s="315" t="n">
        <v>0.07571517577114376</v>
      </c>
      <c r="G73" s="315" t="n">
        <v>0.002095286744520548</v>
      </c>
      <c r="H73" s="238" t="inlineStr">
        <is>
          <t>G9</t>
        </is>
      </c>
      <c r="I73" s="238" t="inlineStr">
        <is>
          <t>Q6</t>
        </is>
      </c>
      <c r="J73" s="283">
        <f>G73/F73</f>
        <v/>
      </c>
      <c r="K73" s="283">
        <f>J73/SUMIFS($J$5:$J$100,$B$5:$B$100,B73)</f>
        <v/>
      </c>
    </row>
    <row r="74">
      <c r="B74" s="237" t="n">
        <v>2024</v>
      </c>
      <c r="C74" s="238" t="inlineStr">
        <is>
          <t>Pickup</t>
        </is>
      </c>
      <c r="D74" s="237" t="n">
        <v>1</v>
      </c>
      <c r="E74" s="238" t="inlineStr">
        <is>
          <t>1 - 3 Years Old</t>
        </is>
      </c>
      <c r="F74" s="315" t="n">
        <v>0.07144499838236269</v>
      </c>
      <c r="G74" s="315" t="n">
        <v>0.01071255529715959</v>
      </c>
      <c r="H74" s="238" t="inlineStr">
        <is>
          <t>G10</t>
        </is>
      </c>
      <c r="I74" s="238" t="inlineStr">
        <is>
          <t>Q10</t>
        </is>
      </c>
      <c r="J74" s="283">
        <f>G74/F74</f>
        <v/>
      </c>
      <c r="K74" s="283">
        <f>J74/SUMIFS($J$5:$J$100,$B$5:$B$100,B74)</f>
        <v/>
      </c>
    </row>
    <row r="75">
      <c r="B75" s="237" t="n">
        <v>2024</v>
      </c>
      <c r="C75" s="238" t="inlineStr">
        <is>
          <t>Pickup</t>
        </is>
      </c>
      <c r="D75" s="237" t="n">
        <v>2</v>
      </c>
      <c r="E75" s="238" t="inlineStr">
        <is>
          <t>4 - 6 Years Old</t>
        </is>
      </c>
      <c r="F75" s="315" t="n">
        <v>0.09645439308135556</v>
      </c>
      <c r="G75" s="315" t="n">
        <v>0.01421025223511864</v>
      </c>
      <c r="H75" s="238" t="inlineStr">
        <is>
          <t>G11</t>
        </is>
      </c>
      <c r="I75" s="238" t="inlineStr">
        <is>
          <t>Q14</t>
        </is>
      </c>
      <c r="J75" s="283">
        <f>G75/F75</f>
        <v/>
      </c>
      <c r="K75" s="283">
        <f>J75/SUMIFS($J$5:$J$100,$B$5:$B$100,B75)</f>
        <v/>
      </c>
    </row>
    <row r="76">
      <c r="B76" s="237" t="n">
        <v>2024</v>
      </c>
      <c r="C76" s="238" t="inlineStr">
        <is>
          <t>Pickup</t>
        </is>
      </c>
      <c r="D76" s="237" t="n">
        <v>3</v>
      </c>
      <c r="E76" s="238" t="inlineStr">
        <is>
          <t>7 Years and Older</t>
        </is>
      </c>
      <c r="F76" s="315" t="n">
        <v>0.2465668989493661</v>
      </c>
      <c r="G76" s="315" t="n">
        <v>0.07995929825135609</v>
      </c>
      <c r="H76" s="238" t="inlineStr">
        <is>
          <t>G12</t>
        </is>
      </c>
      <c r="I76" s="238" t="inlineStr">
        <is>
          <t>Q18</t>
        </is>
      </c>
      <c r="J76" s="283">
        <f>G76/F76</f>
        <v/>
      </c>
      <c r="K76" s="283">
        <f>J76/SUMIFS($J$5:$J$100,$B$5:$B$100,B76)</f>
        <v/>
      </c>
    </row>
    <row r="77">
      <c r="B77" s="237" t="n">
        <v>2024</v>
      </c>
      <c r="C77" s="238" t="inlineStr">
        <is>
          <t>Utility Vehicle</t>
        </is>
      </c>
      <c r="D77" s="237" t="n">
        <v>0</v>
      </c>
      <c r="E77" s="238" t="inlineStr">
        <is>
          <t>Current Yr or Newer Group</t>
        </is>
      </c>
      <c r="F77" s="315" t="n">
        <v>0.08606985146527499</v>
      </c>
      <c r="G77" s="315" t="n">
        <v>0.01096445727397642</v>
      </c>
      <c r="H77" s="238" t="inlineStr">
        <is>
          <t>G14</t>
        </is>
      </c>
      <c r="I77" s="238" t="inlineStr">
        <is>
          <t>Q7</t>
        </is>
      </c>
      <c r="J77" s="283">
        <f>G77/F77</f>
        <v/>
      </c>
      <c r="K77" s="283">
        <f>J77/SUMIFS($J$5:$J$100,$B$5:$B$100,B77)</f>
        <v/>
      </c>
    </row>
    <row r="78">
      <c r="B78" s="237" t="n">
        <v>2024</v>
      </c>
      <c r="C78" s="238" t="inlineStr">
        <is>
          <t>Utility Vehicle</t>
        </is>
      </c>
      <c r="D78" s="237" t="n">
        <v>1</v>
      </c>
      <c r="E78" s="238" t="inlineStr">
        <is>
          <t>1 - 3 Years Old</t>
        </is>
      </c>
      <c r="F78" s="315" t="n">
        <v>0.09239796408663378</v>
      </c>
      <c r="G78" s="315" t="n">
        <v>0.04748527600800242</v>
      </c>
      <c r="H78" s="238" t="inlineStr">
        <is>
          <t>G15</t>
        </is>
      </c>
      <c r="I78" s="238" t="inlineStr">
        <is>
          <t>Q11</t>
        </is>
      </c>
      <c r="J78" s="283">
        <f>G78/F78</f>
        <v/>
      </c>
      <c r="K78" s="283">
        <f>J78/SUMIFS($J$5:$J$100,$B$5:$B$100,B78)</f>
        <v/>
      </c>
    </row>
    <row r="79">
      <c r="B79" s="237" t="n">
        <v>2024</v>
      </c>
      <c r="C79" s="238" t="inlineStr">
        <is>
          <t>Utility Vehicle</t>
        </is>
      </c>
      <c r="D79" s="237" t="n">
        <v>2</v>
      </c>
      <c r="E79" s="238" t="inlineStr">
        <is>
          <t>4 - 6 Years Old</t>
        </is>
      </c>
      <c r="F79" s="315" t="n">
        <v>0.1438949223083096</v>
      </c>
      <c r="G79" s="315" t="n">
        <v>0.06906848285459294</v>
      </c>
      <c r="H79" s="238" t="inlineStr">
        <is>
          <t>G16</t>
        </is>
      </c>
      <c r="I79" s="238" t="inlineStr">
        <is>
          <t>Q15</t>
        </is>
      </c>
      <c r="J79" s="283">
        <f>G79/F79</f>
        <v/>
      </c>
      <c r="K79" s="283">
        <f>J79/SUMIFS($J$5:$J$100,$B$5:$B$100,B79)</f>
        <v/>
      </c>
    </row>
    <row r="80">
      <c r="B80" s="237" t="n">
        <v>2024</v>
      </c>
      <c r="C80" s="238" t="inlineStr">
        <is>
          <t>Utility Vehicle</t>
        </is>
      </c>
      <c r="D80" s="237" t="n">
        <v>3</v>
      </c>
      <c r="E80" s="238" t="inlineStr">
        <is>
          <t>7 Years and Older</t>
        </is>
      </c>
      <c r="F80" s="315" t="n">
        <v>0.2903000143978833</v>
      </c>
      <c r="G80" s="315" t="n">
        <v>0.2127060876700704</v>
      </c>
      <c r="H80" s="238" t="inlineStr">
        <is>
          <t>G17</t>
        </is>
      </c>
      <c r="I80" s="238" t="inlineStr">
        <is>
          <t>Q19</t>
        </is>
      </c>
      <c r="J80" s="283">
        <f>G80/F80</f>
        <v/>
      </c>
      <c r="K80" s="283">
        <f>J80/SUMIFS($J$5:$J$100,$B$5:$B$100,B80)</f>
        <v/>
      </c>
    </row>
    <row r="81">
      <c r="B81" s="237" t="n">
        <v>2024</v>
      </c>
      <c r="C81" s="238" t="inlineStr">
        <is>
          <t>Van</t>
        </is>
      </c>
      <c r="D81" s="237" t="n">
        <v>0</v>
      </c>
      <c r="E81" s="238" t="inlineStr">
        <is>
          <t>Current Yr or Newer Group</t>
        </is>
      </c>
      <c r="F81" s="315" t="n">
        <v>0.07088044051315096</v>
      </c>
      <c r="G81" s="315" t="n">
        <v>0.00035359790249231</v>
      </c>
      <c r="H81" s="238" t="inlineStr">
        <is>
          <t>G19</t>
        </is>
      </c>
      <c r="I81" s="238" t="inlineStr">
        <is>
          <t>Q8</t>
        </is>
      </c>
      <c r="J81" s="283">
        <f>G81/F81</f>
        <v/>
      </c>
      <c r="K81" s="283">
        <f>J81/SUMIFS($J$5:$J$100,$B$5:$B$100,B81)</f>
        <v/>
      </c>
    </row>
    <row r="82">
      <c r="B82" s="237" t="n">
        <v>2024</v>
      </c>
      <c r="C82" s="238" t="inlineStr">
        <is>
          <t>Van</t>
        </is>
      </c>
      <c r="D82" s="237" t="n">
        <v>1</v>
      </c>
      <c r="E82" s="238" t="inlineStr">
        <is>
          <t>1 - 3 Years Old</t>
        </is>
      </c>
      <c r="F82" s="315" t="n">
        <v>0.07964534625348205</v>
      </c>
      <c r="G82" s="315" t="n">
        <v>0.00214730362604421</v>
      </c>
      <c r="H82" s="238" t="inlineStr">
        <is>
          <t>G20</t>
        </is>
      </c>
      <c r="I82" s="238" t="inlineStr">
        <is>
          <t>Q12</t>
        </is>
      </c>
      <c r="J82" s="283">
        <f>G82/F82</f>
        <v/>
      </c>
      <c r="K82" s="283">
        <f>J82/SUMIFS($J$5:$J$100,$B$5:$B$100,B82)</f>
        <v/>
      </c>
    </row>
    <row r="83">
      <c r="B83" s="237" t="n">
        <v>2024</v>
      </c>
      <c r="C83" s="238" t="inlineStr">
        <is>
          <t>Van</t>
        </is>
      </c>
      <c r="D83" s="237" t="n">
        <v>2</v>
      </c>
      <c r="E83" s="238" t="inlineStr">
        <is>
          <t>4 - 6 Years Old</t>
        </is>
      </c>
      <c r="F83" s="315" t="n">
        <v>0.1403993220619238</v>
      </c>
      <c r="G83" s="315" t="n">
        <v>0.004962644281094552</v>
      </c>
      <c r="H83" s="238" t="inlineStr">
        <is>
          <t>G21</t>
        </is>
      </c>
      <c r="I83" s="238" t="inlineStr">
        <is>
          <t>Q16</t>
        </is>
      </c>
      <c r="J83" s="283">
        <f>G83/F83</f>
        <v/>
      </c>
      <c r="K83" s="283">
        <f>J83/SUMIFS($J$5:$J$100,$B$5:$B$100,B83)</f>
        <v/>
      </c>
    </row>
    <row r="84">
      <c r="B84" s="237" t="n">
        <v>2024</v>
      </c>
      <c r="C84" s="238" t="inlineStr">
        <is>
          <t>Van</t>
        </is>
      </c>
      <c r="D84" s="237" t="n">
        <v>3</v>
      </c>
      <c r="E84" s="238" t="inlineStr">
        <is>
          <t>7 Years and Older</t>
        </is>
      </c>
      <c r="F84" s="315" t="n">
        <v>0.3492691043827939</v>
      </c>
      <c r="G84" s="315" t="n">
        <v>0.031650811258791</v>
      </c>
      <c r="H84" s="238" t="inlineStr">
        <is>
          <t>G22</t>
        </is>
      </c>
      <c r="I84" s="238" t="inlineStr">
        <is>
          <t>Q20</t>
        </is>
      </c>
      <c r="J84" s="283">
        <f>G84/F84</f>
        <v/>
      </c>
      <c r="K84" s="283">
        <f>J84/SUMIFS($J$5:$J$100,$B$5:$B$100,B84)</f>
        <v/>
      </c>
    </row>
    <row r="85">
      <c r="B85" s="237" t="n">
        <v>2025</v>
      </c>
      <c r="C85" s="238" t="inlineStr">
        <is>
          <t>Car</t>
        </is>
      </c>
      <c r="D85" s="237" t="n">
        <v>0</v>
      </c>
      <c r="E85" s="238" t="inlineStr">
        <is>
          <t>Current Yr or Newer Group</t>
        </is>
      </c>
      <c r="F85" s="315" t="n">
        <v>0.1183813516328002</v>
      </c>
      <c r="G85" s="315" t="n">
        <v>0.008156041846226276</v>
      </c>
      <c r="H85" s="238" t="inlineStr">
        <is>
          <t>H4</t>
        </is>
      </c>
      <c r="I85" s="238" t="inlineStr">
        <is>
          <t>R5</t>
        </is>
      </c>
      <c r="J85" s="283">
        <f>G85/F85</f>
        <v/>
      </c>
      <c r="K85" s="283">
        <f>J85/SUMIFS($J$5:$J$100,$B$5:$B$100,B85)</f>
        <v/>
      </c>
    </row>
    <row r="86">
      <c r="B86" s="237" t="n">
        <v>2025</v>
      </c>
      <c r="C86" s="238" t="inlineStr">
        <is>
          <t>Car</t>
        </is>
      </c>
      <c r="D86" s="237" t="n">
        <v>1</v>
      </c>
      <c r="E86" s="238" t="inlineStr">
        <is>
          <t>1 - 3 Years Old</t>
        </is>
      </c>
      <c r="F86" s="315" t="n">
        <v>0.1415623139327181</v>
      </c>
      <c r="G86" s="315" t="n">
        <v>0.0373105965404406</v>
      </c>
      <c r="H86" s="238" t="inlineStr">
        <is>
          <t>H5</t>
        </is>
      </c>
      <c r="I86" s="238" t="inlineStr">
        <is>
          <t>R9</t>
        </is>
      </c>
      <c r="J86" s="283">
        <f>G86/F86</f>
        <v/>
      </c>
      <c r="K86" s="283">
        <f>J86/SUMIFS($J$5:$J$100,$B$5:$B$100,B86)</f>
        <v/>
      </c>
    </row>
    <row r="87">
      <c r="B87" s="237" t="n">
        <v>2025</v>
      </c>
      <c r="C87" s="238" t="inlineStr">
        <is>
          <t>Car</t>
        </is>
      </c>
      <c r="D87" s="237" t="n">
        <v>2</v>
      </c>
      <c r="E87" s="238" t="inlineStr">
        <is>
          <t>4 - 6 Years Old</t>
        </is>
      </c>
      <c r="F87" s="315" t="n">
        <v>0.1977589061254522</v>
      </c>
      <c r="G87" s="315" t="n">
        <v>0.05931290634620359</v>
      </c>
      <c r="H87" s="238" t="inlineStr">
        <is>
          <t>H6</t>
        </is>
      </c>
      <c r="I87" s="238" t="inlineStr">
        <is>
          <t>R13</t>
        </is>
      </c>
      <c r="J87" s="283">
        <f>G87/F87</f>
        <v/>
      </c>
      <c r="K87" s="283">
        <f>J87/SUMIFS($J$5:$J$100,$B$5:$B$100,B87)</f>
        <v/>
      </c>
    </row>
    <row r="88">
      <c r="B88" s="237" t="n">
        <v>2025</v>
      </c>
      <c r="C88" s="238" t="inlineStr">
        <is>
          <t>Car</t>
        </is>
      </c>
      <c r="D88" s="237" t="n">
        <v>3</v>
      </c>
      <c r="E88" s="238" t="inlineStr">
        <is>
          <t>7 Years and Older</t>
        </is>
      </c>
      <c r="F88" s="315" t="n">
        <v>0.3725497056948419</v>
      </c>
      <c r="G88" s="315" t="n">
        <v>0.3850804202277194</v>
      </c>
      <c r="H88" s="238" t="inlineStr">
        <is>
          <t>H7</t>
        </is>
      </c>
      <c r="I88" s="238" t="inlineStr">
        <is>
          <t>R17</t>
        </is>
      </c>
      <c r="J88" s="283">
        <f>G88/F88</f>
        <v/>
      </c>
      <c r="K88" s="283">
        <f>J88/SUMIFS($J$5:$J$100,$B$5:$B$100,B88)</f>
        <v/>
      </c>
    </row>
    <row r="89">
      <c r="B89" s="237" t="n">
        <v>2025</v>
      </c>
      <c r="C89" s="238" t="inlineStr">
        <is>
          <t>Pickup</t>
        </is>
      </c>
      <c r="D89" s="237" t="n">
        <v>0</v>
      </c>
      <c r="E89" s="238" t="inlineStr">
        <is>
          <t>Current Yr or Newer Group</t>
        </is>
      </c>
      <c r="F89" s="315" t="n">
        <v>0.07939869462574642</v>
      </c>
      <c r="G89" s="315" t="n">
        <v>0.00210628784544408</v>
      </c>
      <c r="H89" s="238" t="inlineStr">
        <is>
          <t>H9</t>
        </is>
      </c>
      <c r="I89" s="238" t="inlineStr">
        <is>
          <t>R6</t>
        </is>
      </c>
      <c r="J89" s="283">
        <f>G89/F89</f>
        <v/>
      </c>
      <c r="K89" s="283">
        <f>J89/SUMIFS($J$5:$J$100,$B$5:$B$100,B89)</f>
        <v/>
      </c>
    </row>
    <row r="90">
      <c r="B90" s="237" t="n">
        <v>2025</v>
      </c>
      <c r="C90" s="238" t="inlineStr">
        <is>
          <t>Pickup</t>
        </is>
      </c>
      <c r="D90" s="237" t="n">
        <v>1</v>
      </c>
      <c r="E90" s="238" t="inlineStr">
        <is>
          <t>1 - 3 Years Old</t>
        </is>
      </c>
      <c r="F90" s="315" t="n">
        <v>0.07724710964719902</v>
      </c>
      <c r="G90" s="315" t="n">
        <v>0.01144359182152214</v>
      </c>
      <c r="H90" s="238" t="inlineStr">
        <is>
          <t>H10</t>
        </is>
      </c>
      <c r="I90" s="238" t="inlineStr">
        <is>
          <t>R10</t>
        </is>
      </c>
      <c r="J90" s="283">
        <f>G90/F90</f>
        <v/>
      </c>
      <c r="K90" s="283">
        <f>J90/SUMIFS($J$5:$J$100,$B$5:$B$100,B90)</f>
        <v/>
      </c>
    </row>
    <row r="91">
      <c r="B91" s="237" t="n">
        <v>2025</v>
      </c>
      <c r="C91" s="238" t="inlineStr">
        <is>
          <t>Pickup</t>
        </is>
      </c>
      <c r="D91" s="237" t="n">
        <v>2</v>
      </c>
      <c r="E91" s="238" t="inlineStr">
        <is>
          <t>4 - 6 Years Old</t>
        </is>
      </c>
      <c r="F91" s="315" t="n">
        <v>0.1016189230849166</v>
      </c>
      <c r="G91" s="315" t="n">
        <v>0.01438693905373976</v>
      </c>
      <c r="H91" s="238" t="inlineStr">
        <is>
          <t>H11</t>
        </is>
      </c>
      <c r="I91" s="238" t="inlineStr">
        <is>
          <t>R14</t>
        </is>
      </c>
      <c r="J91" s="283">
        <f>G91/F91</f>
        <v/>
      </c>
      <c r="K91" s="283">
        <f>J91/SUMIFS($J$5:$J$100,$B$5:$B$100,B91)</f>
        <v/>
      </c>
    </row>
    <row r="92">
      <c r="B92" s="237" t="n">
        <v>2025</v>
      </c>
      <c r="C92" s="238" t="inlineStr">
        <is>
          <t>Pickup</t>
        </is>
      </c>
      <c r="D92" s="237" t="n">
        <v>3</v>
      </c>
      <c r="E92" s="238" t="inlineStr">
        <is>
          <t>7 Years and Older</t>
        </is>
      </c>
      <c r="F92" s="315" t="n">
        <v>0.2549647815842466</v>
      </c>
      <c r="G92" s="315" t="n">
        <v>0.08122418479426913</v>
      </c>
      <c r="H92" s="238" t="inlineStr">
        <is>
          <t>H12</t>
        </is>
      </c>
      <c r="I92" s="238" t="inlineStr">
        <is>
          <t>R18</t>
        </is>
      </c>
      <c r="J92" s="283">
        <f>G92/F92</f>
        <v/>
      </c>
      <c r="K92" s="283">
        <f>J92/SUMIFS($J$5:$J$100,$B$5:$B$100,B92)</f>
        <v/>
      </c>
    </row>
    <row r="93">
      <c r="B93" s="237" t="n">
        <v>2025</v>
      </c>
      <c r="C93" s="238" t="inlineStr">
        <is>
          <t>Utility Vehicle</t>
        </is>
      </c>
      <c r="D93" s="237" t="n">
        <v>0</v>
      </c>
      <c r="E93" s="238" t="inlineStr">
        <is>
          <t>Current Yr or Newer Group</t>
        </is>
      </c>
      <c r="F93" s="315" t="n">
        <v>0.08619093438151845</v>
      </c>
      <c r="G93" s="315" t="n">
        <v>0.01163393011488954</v>
      </c>
      <c r="H93" s="238" t="inlineStr">
        <is>
          <t>H14</t>
        </is>
      </c>
      <c r="I93" s="238" t="inlineStr">
        <is>
          <t>R7</t>
        </is>
      </c>
      <c r="J93" s="283">
        <f>G93/F93</f>
        <v/>
      </c>
      <c r="K93" s="283">
        <f>J93/SUMIFS($J$5:$J$100,$B$5:$B$100,B93)</f>
        <v/>
      </c>
    </row>
    <row r="94">
      <c r="B94" s="237" t="n">
        <v>2025</v>
      </c>
      <c r="C94" s="238" t="inlineStr">
        <is>
          <t>Utility Vehicle</t>
        </is>
      </c>
      <c r="D94" s="237" t="n">
        <v>1</v>
      </c>
      <c r="E94" s="238" t="inlineStr">
        <is>
          <t>1 - 3 Years Old</t>
        </is>
      </c>
      <c r="F94" s="315" t="n">
        <v>0.09858732104120195</v>
      </c>
      <c r="G94" s="315" t="n">
        <v>0.05123349022194487</v>
      </c>
      <c r="H94" s="238" t="inlineStr">
        <is>
          <t>H15</t>
        </is>
      </c>
      <c r="I94" s="238" t="inlineStr">
        <is>
          <t>R11</t>
        </is>
      </c>
      <c r="J94" s="283">
        <f>G94/F94</f>
        <v/>
      </c>
      <c r="K94" s="283">
        <f>J94/SUMIFS($J$5:$J$100,$B$5:$B$100,B94)</f>
        <v/>
      </c>
    </row>
    <row r="95">
      <c r="B95" s="237" t="n">
        <v>2025</v>
      </c>
      <c r="C95" s="238" t="inlineStr">
        <is>
          <t>Utility Vehicle</t>
        </is>
      </c>
      <c r="D95" s="237" t="n">
        <v>2</v>
      </c>
      <c r="E95" s="238" t="inlineStr">
        <is>
          <t>4 - 6 Years Old</t>
        </is>
      </c>
      <c r="F95" s="315" t="n">
        <v>0.1484455351339005</v>
      </c>
      <c r="G95" s="315" t="n">
        <v>0.06852515714403061</v>
      </c>
      <c r="H95" s="238" t="inlineStr">
        <is>
          <t>H16</t>
        </is>
      </c>
      <c r="I95" s="238" t="inlineStr">
        <is>
          <t>R15</t>
        </is>
      </c>
      <c r="J95" s="283">
        <f>G95/F95</f>
        <v/>
      </c>
      <c r="K95" s="283">
        <f>J95/SUMIFS($J$5:$J$100,$B$5:$B$100,B95)</f>
        <v/>
      </c>
    </row>
    <row r="96">
      <c r="B96" s="237" t="n">
        <v>2025</v>
      </c>
      <c r="C96" s="238" t="inlineStr">
        <is>
          <t>Utility Vehicle</t>
        </is>
      </c>
      <c r="D96" s="237" t="n">
        <v>3</v>
      </c>
      <c r="E96" s="238" t="inlineStr">
        <is>
          <t>7 Years and Older</t>
        </is>
      </c>
      <c r="F96" s="315" t="n">
        <v>0.3043503197499355</v>
      </c>
      <c r="G96" s="315" t="n">
        <v>0.2309569755766239</v>
      </c>
      <c r="H96" s="238" t="inlineStr">
        <is>
          <t>H17</t>
        </is>
      </c>
      <c r="I96" s="238" t="inlineStr">
        <is>
          <t>R19</t>
        </is>
      </c>
      <c r="J96" s="283">
        <f>G96/F96</f>
        <v/>
      </c>
      <c r="K96" s="283">
        <f>J96/SUMIFS($J$5:$J$100,$B$5:$B$100,B96)</f>
        <v/>
      </c>
    </row>
    <row r="97">
      <c r="B97" s="237" t="n">
        <v>2025</v>
      </c>
      <c r="C97" s="238" t="inlineStr">
        <is>
          <t>Van</t>
        </is>
      </c>
      <c r="D97" s="237" t="n">
        <v>0</v>
      </c>
      <c r="E97" s="238" t="inlineStr">
        <is>
          <t>Current Yr or Newer Group</t>
        </is>
      </c>
      <c r="F97" s="315" t="n">
        <v>0.06411315802265105</v>
      </c>
      <c r="G97" s="315" t="n">
        <v>0.0004048903148765467</v>
      </c>
      <c r="H97" s="238" t="inlineStr">
        <is>
          <t>H19</t>
        </is>
      </c>
      <c r="I97" s="238" t="inlineStr">
        <is>
          <t>R8</t>
        </is>
      </c>
      <c r="J97" s="283">
        <f>G97/F97</f>
        <v/>
      </c>
      <c r="K97" s="283">
        <f>J97/SUMIFS($J$5:$J$100,$B$5:$B$100,B97)</f>
        <v/>
      </c>
    </row>
    <row r="98">
      <c r="B98" s="237" t="n">
        <v>2025</v>
      </c>
      <c r="C98" s="238" t="inlineStr">
        <is>
          <t>Van</t>
        </is>
      </c>
      <c r="D98" s="237" t="n">
        <v>1</v>
      </c>
      <c r="E98" s="238" t="inlineStr">
        <is>
          <t>1 - 3 Years Old</t>
        </is>
      </c>
      <c r="F98" s="315" t="n">
        <v>0.0879353362537799</v>
      </c>
      <c r="G98" s="315" t="n">
        <v>0.002344134086431362</v>
      </c>
      <c r="H98" s="238" t="inlineStr">
        <is>
          <t>H20</t>
        </is>
      </c>
      <c r="I98" s="238" t="inlineStr">
        <is>
          <t>R12</t>
        </is>
      </c>
      <c r="J98" s="283">
        <f>G98/F98</f>
        <v/>
      </c>
      <c r="K98" s="283">
        <f>J98/SUMIFS($J$5:$J$100,$B$5:$B$100,B98)</f>
        <v/>
      </c>
    </row>
    <row r="99">
      <c r="B99" s="237" t="n">
        <v>2025</v>
      </c>
      <c r="C99" s="238" t="inlineStr">
        <is>
          <t>Van</t>
        </is>
      </c>
      <c r="D99" s="237" t="n">
        <v>2</v>
      </c>
      <c r="E99" s="238" t="inlineStr">
        <is>
          <t>4 - 6 Years Old</t>
        </is>
      </c>
      <c r="F99" s="315" t="n">
        <v>0.1522345377290566</v>
      </c>
      <c r="G99" s="315" t="n">
        <v>0.004601221352707585</v>
      </c>
      <c r="H99" s="238" t="inlineStr">
        <is>
          <t>H21</t>
        </is>
      </c>
      <c r="I99" s="238" t="inlineStr">
        <is>
          <t>R16</t>
        </is>
      </c>
      <c r="J99" s="283">
        <f>G99/F99</f>
        <v/>
      </c>
      <c r="K99" s="283">
        <f>J99/SUMIFS($J$5:$J$100,$B$5:$B$100,B99)</f>
        <v/>
      </c>
    </row>
    <row r="100">
      <c r="B100" s="237" t="n">
        <v>2025</v>
      </c>
      <c r="C100" s="238" t="inlineStr">
        <is>
          <t>Van</t>
        </is>
      </c>
      <c r="D100" s="237" t="n">
        <v>3</v>
      </c>
      <c r="E100" s="238" t="inlineStr">
        <is>
          <t>7 Years and Older</t>
        </is>
      </c>
      <c r="F100" s="315" t="n">
        <v>0.3661439216994772</v>
      </c>
      <c r="G100" s="315" t="n">
        <v>0.03127923271293062</v>
      </c>
      <c r="H100" s="238" t="inlineStr">
        <is>
          <t>H22</t>
        </is>
      </c>
      <c r="I100" s="238" t="inlineStr">
        <is>
          <t>R20</t>
        </is>
      </c>
      <c r="J100" s="283">
        <f>G100/F100</f>
        <v/>
      </c>
      <c r="K100" s="283">
        <f>J100/SUMIFS($J$5:$J$100,$B$5:$B$100,B100)</f>
        <v/>
      </c>
    </row>
    <row r="102">
      <c r="B102" s="242" t="inlineStr">
        <is>
          <t>Annual all-loss total-loss frequency (CCC Crash Course; data/csv/ccc_tlf_annual.csv)</t>
        </is>
      </c>
    </row>
    <row r="103">
      <c r="B103" s="317" t="inlineStr">
        <is>
          <t>Year</t>
        </is>
      </c>
      <c r="C103" s="318" t="inlineStr">
        <is>
          <t>TLF all loss %</t>
        </is>
      </c>
      <c r="D103" s="318"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64"/>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17" t="inlineStr">
        <is>
          <t>Year</t>
        </is>
      </c>
      <c r="C4" s="318" t="inlineStr">
        <is>
          <t>Car</t>
        </is>
      </c>
      <c r="D4" s="318" t="inlineStr">
        <is>
          <t>SUV</t>
        </is>
      </c>
      <c r="E4" s="318" t="inlineStr">
        <is>
          <t>Pickup</t>
        </is>
      </c>
      <c r="F4" s="318" t="inlineStr">
        <is>
          <t>Van</t>
        </is>
      </c>
      <c r="G4" s="318" t="inlineStr">
        <is>
          <t>Total</t>
        </is>
      </c>
      <c r="I4" s="317" t="inlineStr">
        <is>
          <t>Age</t>
        </is>
      </c>
      <c r="J4" s="318" t="inlineStr">
        <is>
          <t>S cars</t>
        </is>
      </c>
      <c r="K4" s="318" t="inlineStr">
        <is>
          <t>S light trucks</t>
        </is>
      </c>
    </row>
    <row r="5">
      <c r="B5" s="237" t="n">
        <v>1970</v>
      </c>
      <c r="C5" s="309" t="n">
        <v>8321</v>
      </c>
      <c r="D5" s="309" t="n">
        <v>1054.713274336283</v>
      </c>
      <c r="E5" s="309" t="n">
        <v>281.0849557522124</v>
      </c>
      <c r="F5" s="309" t="n">
        <v>121.2017699115044</v>
      </c>
      <c r="G5" s="309" t="n">
        <v>9778</v>
      </c>
      <c r="I5" s="237" t="n">
        <v>0</v>
      </c>
      <c r="J5" s="280" t="n">
        <v>1</v>
      </c>
      <c r="K5" s="280" t="n">
        <v>1</v>
      </c>
    </row>
    <row r="6">
      <c r="B6" s="237" t="n">
        <v>1971</v>
      </c>
      <c r="C6" s="309" t="n">
        <v>10144</v>
      </c>
      <c r="D6" s="309" t="n">
        <v>1211.074336283186</v>
      </c>
      <c r="E6" s="309" t="n">
        <v>322.7557522123894</v>
      </c>
      <c r="F6" s="309" t="n">
        <v>139.1699115044248</v>
      </c>
      <c r="G6" s="309" t="n">
        <v>11817</v>
      </c>
      <c r="I6" s="237" t="n">
        <v>1</v>
      </c>
      <c r="J6" s="280" t="n">
        <v>0.997</v>
      </c>
      <c r="K6" s="280" t="n">
        <v>0.991</v>
      </c>
    </row>
    <row r="7">
      <c r="B7" s="237" t="n">
        <v>1972</v>
      </c>
      <c r="C7" s="309" t="n">
        <v>10800.6</v>
      </c>
      <c r="D7" s="309" t="n">
        <v>1518.005309734514</v>
      </c>
      <c r="E7" s="309" t="n">
        <v>404.553982300885</v>
      </c>
      <c r="F7" s="309" t="n">
        <v>174.4407079646018</v>
      </c>
      <c r="G7" s="309" t="n">
        <v>12897.6</v>
      </c>
      <c r="I7" s="237" t="n">
        <v>2</v>
      </c>
      <c r="J7" s="280" t="n">
        <v>0.994</v>
      </c>
      <c r="K7" s="280" t="n">
        <v>0.982</v>
      </c>
    </row>
    <row r="8">
      <c r="B8" s="237" t="n">
        <v>1973</v>
      </c>
      <c r="C8" s="309" t="n">
        <v>11276</v>
      </c>
      <c r="D8" s="309" t="n">
        <v>1818.421238938053</v>
      </c>
      <c r="E8" s="309" t="n">
        <v>484.6159292035398</v>
      </c>
      <c r="F8" s="309" t="n">
        <v>208.9628318584071</v>
      </c>
      <c r="G8" s="309" t="n">
        <v>13788</v>
      </c>
      <c r="I8" s="237" t="n">
        <v>3</v>
      </c>
      <c r="J8" s="280" t="n">
        <v>0.991</v>
      </c>
      <c r="K8" s="280" t="n">
        <v>0.973</v>
      </c>
    </row>
    <row r="9">
      <c r="B9" s="237" t="n">
        <v>1974</v>
      </c>
      <c r="C9" s="309" t="n">
        <v>8720.299999999999</v>
      </c>
      <c r="D9" s="309" t="n">
        <v>1565.782300884956</v>
      </c>
      <c r="E9" s="309" t="n">
        <v>417.2867256637168</v>
      </c>
      <c r="F9" s="309" t="n">
        <v>179.9309734513275</v>
      </c>
      <c r="G9" s="309" t="n">
        <v>10883.3</v>
      </c>
      <c r="I9" s="237" t="n">
        <v>4</v>
      </c>
      <c r="J9" s="280" t="n">
        <v>0.984</v>
      </c>
      <c r="K9" s="280" t="n">
        <v>0.96</v>
      </c>
    </row>
    <row r="10">
      <c r="B10" s="237" t="n">
        <v>1975</v>
      </c>
      <c r="C10" s="309" t="n">
        <v>8485.799999999999</v>
      </c>
      <c r="D10" s="309" t="n">
        <v>193.6445661010322</v>
      </c>
      <c r="E10" s="309" t="n">
        <v>1387.180433641706</v>
      </c>
      <c r="F10" s="309" t="n">
        <v>472.1750002572626</v>
      </c>
      <c r="G10" s="309" t="n">
        <v>10538.8</v>
      </c>
      <c r="I10" s="237" t="n">
        <v>5</v>
      </c>
      <c r="J10" s="280" t="n">
        <v>0.974</v>
      </c>
      <c r="K10" s="280" t="n">
        <v>0.9409999999999999</v>
      </c>
    </row>
    <row r="11">
      <c r="B11" s="237" t="n">
        <v>1976</v>
      </c>
      <c r="C11" s="309" t="n">
        <v>9956.799999999999</v>
      </c>
      <c r="D11" s="309" t="n">
        <v>253.4745891575368</v>
      </c>
      <c r="E11" s="309" t="n">
        <v>1942.731663203627</v>
      </c>
      <c r="F11" s="309" t="n">
        <v>522.7937476388364</v>
      </c>
      <c r="G11" s="309" t="n">
        <v>12675.8</v>
      </c>
      <c r="I11" s="237" t="n">
        <v>6</v>
      </c>
      <c r="J11" s="280" t="n">
        <v>0.961</v>
      </c>
      <c r="K11" s="280" t="n">
        <v>0.919</v>
      </c>
    </row>
    <row r="12">
      <c r="B12" s="237" t="n">
        <v>1977</v>
      </c>
      <c r="C12" s="309" t="n">
        <v>11003.6</v>
      </c>
      <c r="D12" s="309" t="n">
        <v>311.7009078858515</v>
      </c>
      <c r="E12" s="309" t="n">
        <v>2230.878373308656</v>
      </c>
      <c r="F12" s="309" t="n">
        <v>566.4207188054924</v>
      </c>
      <c r="G12" s="309" t="n">
        <v>14112.6</v>
      </c>
      <c r="I12" s="237" t="n">
        <v>7</v>
      </c>
      <c r="J12" s="280" t="n">
        <v>0.9419999999999999</v>
      </c>
      <c r="K12" s="280" t="n">
        <v>0.891</v>
      </c>
    </row>
    <row r="13">
      <c r="B13" s="237" t="n">
        <v>1978</v>
      </c>
      <c r="C13" s="309" t="n">
        <v>11107</v>
      </c>
      <c r="D13" s="309" t="n">
        <v>403.7084854397218</v>
      </c>
      <c r="E13" s="309" t="n">
        <v>2406.701250546259</v>
      </c>
      <c r="F13" s="309" t="n">
        <v>663.5902640140196</v>
      </c>
      <c r="G13" s="309" t="n">
        <v>14581</v>
      </c>
      <c r="I13" s="237" t="n">
        <v>8</v>
      </c>
      <c r="J13" s="280" t="n">
        <v>0.92</v>
      </c>
      <c r="K13" s="280" t="n">
        <v>0.859</v>
      </c>
    </row>
    <row r="14">
      <c r="B14" s="237" t="n">
        <v>1979</v>
      </c>
      <c r="C14" s="309" t="n">
        <v>10512</v>
      </c>
      <c r="D14" s="309" t="n">
        <v>368.9983276614683</v>
      </c>
      <c r="E14" s="309" t="n">
        <v>2033.28297586348</v>
      </c>
      <c r="F14" s="309" t="n">
        <v>442.718696475052</v>
      </c>
      <c r="G14" s="309" t="n">
        <v>13357</v>
      </c>
      <c r="I14" s="237" t="n">
        <v>9</v>
      </c>
      <c r="J14" s="280" t="n">
        <v>0.893</v>
      </c>
      <c r="K14" s="280" t="n">
        <v>0.823</v>
      </c>
    </row>
    <row r="15">
      <c r="B15" s="237" t="n">
        <v>1980</v>
      </c>
      <c r="C15" s="309" t="n">
        <v>8948.799999999999</v>
      </c>
      <c r="D15" s="309" t="n">
        <v>194.2300549830681</v>
      </c>
      <c r="E15" s="309" t="n">
        <v>1511.542560293243</v>
      </c>
      <c r="F15" s="309" t="n">
        <v>254.2273847236888</v>
      </c>
      <c r="G15" s="309" t="n">
        <v>10908.8</v>
      </c>
      <c r="I15" s="237" t="n">
        <v>10</v>
      </c>
      <c r="J15" s="280" t="n">
        <v>0.862</v>
      </c>
      <c r="K15" s="280" t="n">
        <v>0.784</v>
      </c>
    </row>
    <row r="16">
      <c r="B16" s="237" t="n">
        <v>1981</v>
      </c>
      <c r="C16" s="309" t="n">
        <v>8488.4</v>
      </c>
      <c r="D16" s="309" t="n">
        <v>130.4781149465264</v>
      </c>
      <c r="E16" s="309" t="n">
        <v>1380.677471524215</v>
      </c>
      <c r="F16" s="309" t="n">
        <v>234.8444135292583</v>
      </c>
      <c r="G16" s="309" t="n">
        <v>10234.4</v>
      </c>
      <c r="I16" s="237" t="n">
        <v>11</v>
      </c>
      <c r="J16" s="280" t="n">
        <v>0.826</v>
      </c>
      <c r="K16" s="280" t="n">
        <v>0.741</v>
      </c>
    </row>
    <row r="17">
      <c r="B17" s="237" t="n">
        <v>1982</v>
      </c>
      <c r="C17" s="309" t="n">
        <v>7956.5</v>
      </c>
      <c r="D17" s="309" t="n">
        <v>174.9525064084306</v>
      </c>
      <c r="E17" s="309" t="n">
        <v>1553.293699393742</v>
      </c>
      <c r="F17" s="309" t="n">
        <v>334.7537941978272</v>
      </c>
      <c r="G17" s="309" t="n">
        <v>10019.5</v>
      </c>
      <c r="I17" s="237" t="n">
        <v>12</v>
      </c>
      <c r="J17" s="280" t="n">
        <v>0.788</v>
      </c>
      <c r="K17" s="280" t="n">
        <v>0.697</v>
      </c>
    </row>
    <row r="18">
      <c r="B18" s="237" t="n">
        <v>1983</v>
      </c>
      <c r="C18" s="309" t="n">
        <v>9148</v>
      </c>
      <c r="D18" s="309" t="n">
        <v>317.1177113376207</v>
      </c>
      <c r="E18" s="309" t="n">
        <v>1784.554856421188</v>
      </c>
      <c r="F18" s="309" t="n">
        <v>419.3274322411909</v>
      </c>
      <c r="G18" s="309" t="n">
        <v>11669</v>
      </c>
      <c r="I18" s="237" t="n">
        <v>13</v>
      </c>
      <c r="J18" s="280" t="n">
        <v>0.718</v>
      </c>
      <c r="K18" s="280" t="n">
        <v>0.651</v>
      </c>
    </row>
    <row r="19">
      <c r="B19" s="237" t="n">
        <v>1984</v>
      </c>
      <c r="C19" s="309" t="n">
        <v>10323.7</v>
      </c>
      <c r="D19" s="309" t="n">
        <v>608.1635843868414</v>
      </c>
      <c r="E19" s="309" t="n">
        <v>1988.73612554911</v>
      </c>
      <c r="F19" s="309" t="n">
        <v>658.1002900640487</v>
      </c>
      <c r="G19" s="309" t="n">
        <v>13578.7</v>
      </c>
      <c r="I19" s="237" t="n">
        <v>14</v>
      </c>
      <c r="J19" s="280" t="n">
        <v>0.613</v>
      </c>
      <c r="K19" s="280" t="n">
        <v>0.605</v>
      </c>
    </row>
    <row r="20">
      <c r="B20" s="237" t="n">
        <v>1985</v>
      </c>
      <c r="C20" s="309" t="n">
        <v>10979.2</v>
      </c>
      <c r="D20" s="309" t="n">
        <v>739.4023923539266</v>
      </c>
      <c r="E20" s="309" t="n">
        <v>2088.696565178835</v>
      </c>
      <c r="F20" s="309" t="n">
        <v>859.9010424672383</v>
      </c>
      <c r="G20" s="309" t="n">
        <v>14667.2</v>
      </c>
      <c r="I20" s="237" t="n">
        <v>15</v>
      </c>
      <c r="J20" s="280" t="n">
        <v>0.51</v>
      </c>
      <c r="K20" s="280" t="n">
        <v>0.553</v>
      </c>
    </row>
    <row r="21">
      <c r="B21" s="237" t="n">
        <v>1986</v>
      </c>
      <c r="C21" s="309" t="n">
        <v>11404.1</v>
      </c>
      <c r="D21" s="309" t="n">
        <v>816.9555758050959</v>
      </c>
      <c r="E21" s="309" t="n">
        <v>2674.081381960485</v>
      </c>
      <c r="F21" s="309" t="n">
        <v>1102.963042234419</v>
      </c>
      <c r="G21" s="309" t="n">
        <v>15998.1</v>
      </c>
      <c r="I21" s="237" t="n">
        <v>16</v>
      </c>
      <c r="J21" s="280" t="n">
        <v>0.415</v>
      </c>
      <c r="K21" s="280" t="n">
        <v>0.502</v>
      </c>
    </row>
    <row r="22">
      <c r="B22" s="237" t="n">
        <v>1987</v>
      </c>
      <c r="C22" s="309" t="n">
        <v>10187.5</v>
      </c>
      <c r="D22" s="309" t="n">
        <v>973.9263843390521</v>
      </c>
      <c r="E22" s="309" t="n">
        <v>2393.762554253433</v>
      </c>
      <c r="F22" s="309" t="n">
        <v>1242.311061407515</v>
      </c>
      <c r="G22" s="309" t="n">
        <v>14797.5</v>
      </c>
      <c r="I22" s="237" t="n">
        <v>17</v>
      </c>
      <c r="J22" s="280" t="n">
        <v>0.332</v>
      </c>
      <c r="K22" s="280" t="n">
        <v>0.453</v>
      </c>
    </row>
    <row r="23">
      <c r="B23" s="237" t="n">
        <v>1988</v>
      </c>
      <c r="C23" s="309" t="n">
        <v>10543.6</v>
      </c>
      <c r="D23" s="309" t="n">
        <v>1018.922536557874</v>
      </c>
      <c r="E23" s="309" t="n">
        <v>2588.408159979067</v>
      </c>
      <c r="F23" s="309" t="n">
        <v>1192.66930346306</v>
      </c>
      <c r="G23" s="309" t="n">
        <v>15343.6</v>
      </c>
      <c r="I23" s="237" t="n">
        <v>18</v>
      </c>
      <c r="J23" s="280" t="n">
        <v>0.261</v>
      </c>
      <c r="K23" s="280" t="n">
        <v>0.407</v>
      </c>
    </row>
    <row r="24">
      <c r="B24" s="237" t="n">
        <v>1989</v>
      </c>
      <c r="C24" s="309" t="n">
        <v>9775.9</v>
      </c>
      <c r="D24" s="309" t="n">
        <v>962.4485592684564</v>
      </c>
      <c r="E24" s="309" t="n">
        <v>2319.527468731466</v>
      </c>
      <c r="F24" s="309" t="n">
        <v>1328.023972000078</v>
      </c>
      <c r="G24" s="309" t="n">
        <v>14385.9</v>
      </c>
      <c r="I24" s="237" t="n">
        <v>19</v>
      </c>
      <c r="J24" s="280" t="n">
        <v>0.203</v>
      </c>
      <c r="K24" s="280" t="n">
        <v>0.364</v>
      </c>
    </row>
    <row r="25">
      <c r="B25" s="237" t="n">
        <v>1990</v>
      </c>
      <c r="C25" s="309" t="n">
        <v>9301.200000000001</v>
      </c>
      <c r="D25" s="309" t="n">
        <v>846.5192743764172</v>
      </c>
      <c r="E25" s="309" t="n">
        <v>2192.672633965867</v>
      </c>
      <c r="F25" s="309" t="n">
        <v>1508.808091657716</v>
      </c>
      <c r="G25" s="309" t="n">
        <v>13849.2</v>
      </c>
      <c r="I25" s="237" t="n">
        <v>20</v>
      </c>
      <c r="J25" s="280" t="n">
        <v>0.157</v>
      </c>
      <c r="K25" s="280" t="n">
        <v>0.324</v>
      </c>
    </row>
    <row r="26">
      <c r="B26" s="237" t="n">
        <v>1991</v>
      </c>
      <c r="C26" s="309" t="n">
        <v>8185</v>
      </c>
      <c r="D26" s="309" t="n">
        <v>1114.821694401575</v>
      </c>
      <c r="E26" s="309" t="n">
        <v>1954.998692696802</v>
      </c>
      <c r="F26" s="309" t="n">
        <v>1052.179612901623</v>
      </c>
      <c r="G26" s="309" t="n">
        <v>12307</v>
      </c>
      <c r="I26" s="237" t="n">
        <v>21</v>
      </c>
      <c r="J26" s="280" t="n">
        <v>0.12</v>
      </c>
      <c r="K26" s="280" t="n">
        <v>0.288</v>
      </c>
    </row>
    <row r="27">
      <c r="B27" s="237" t="n">
        <v>1992</v>
      </c>
      <c r="C27" s="309" t="n">
        <v>8213.1</v>
      </c>
      <c r="D27" s="309" t="n">
        <v>1142.68707511515</v>
      </c>
      <c r="E27" s="309" t="n">
        <v>2095.480818414322</v>
      </c>
      <c r="F27" s="309" t="n">
        <v>1390.832106470529</v>
      </c>
      <c r="G27" s="309" t="n">
        <v>12842.1</v>
      </c>
      <c r="I27" s="237" t="n">
        <v>22</v>
      </c>
      <c r="J27" s="280" t="n">
        <v>0.092</v>
      </c>
      <c r="K27" s="280" t="n">
        <v>0.255</v>
      </c>
    </row>
    <row r="28">
      <c r="B28" s="237" t="n">
        <v>1993</v>
      </c>
      <c r="C28" s="309" t="n">
        <v>8517.9</v>
      </c>
      <c r="D28" s="309" t="n">
        <v>1475.25040986112</v>
      </c>
      <c r="E28" s="309" t="n">
        <v>2253.51982894203</v>
      </c>
      <c r="F28" s="309" t="n">
        <v>1622.22976119685</v>
      </c>
      <c r="G28" s="309" t="n">
        <v>13868.9</v>
      </c>
      <c r="I28" s="237" t="n">
        <v>23</v>
      </c>
      <c r="J28" s="280" t="n">
        <v>0.07000000000000001</v>
      </c>
      <c r="K28" s="280" t="n">
        <v>0.225</v>
      </c>
    </row>
    <row r="29">
      <c r="B29" s="237" t="n">
        <v>1994</v>
      </c>
      <c r="C29" s="309" t="n">
        <v>8990.5</v>
      </c>
      <c r="D29" s="309" t="n">
        <v>1714.973254571361</v>
      </c>
      <c r="E29" s="309" t="n">
        <v>2820.014411659939</v>
      </c>
      <c r="F29" s="309" t="n">
        <v>1498.012333768701</v>
      </c>
      <c r="G29" s="309" t="n">
        <v>15023.5</v>
      </c>
      <c r="I29" s="237" t="n">
        <v>24</v>
      </c>
      <c r="J29" s="280" t="n">
        <v>0.053</v>
      </c>
      <c r="K29" s="280" t="n">
        <v>0.198</v>
      </c>
    </row>
    <row r="30">
      <c r="B30" s="237" t="n">
        <v>1995</v>
      </c>
      <c r="C30" s="309" t="n">
        <v>8620.200000000001</v>
      </c>
      <c r="D30" s="309" t="n">
        <v>1912.401030004478</v>
      </c>
      <c r="E30" s="309" t="n">
        <v>2391.015523827085</v>
      </c>
      <c r="F30" s="309" t="n">
        <v>1749.583446168436</v>
      </c>
      <c r="G30" s="309" t="n">
        <v>14673.2</v>
      </c>
      <c r="I30" s="237" t="n">
        <v>25</v>
      </c>
      <c r="J30" s="280" t="n">
        <v>0.04</v>
      </c>
      <c r="K30" s="280" t="n">
        <v>0.174</v>
      </c>
    </row>
    <row r="31">
      <c r="B31" s="237" t="n">
        <v>1996</v>
      </c>
      <c r="C31" s="309" t="n">
        <v>8478.5</v>
      </c>
      <c r="D31" s="309" t="n">
        <v>2344.507854149728</v>
      </c>
      <c r="E31" s="309" t="n">
        <v>2426.067724060291</v>
      </c>
      <c r="F31" s="309" t="n">
        <v>1748.42442178998</v>
      </c>
      <c r="G31" s="309" t="n">
        <v>14997.5</v>
      </c>
      <c r="I31" s="237" t="n">
        <v>26</v>
      </c>
      <c r="J31" s="280" t="n">
        <v>0.03</v>
      </c>
      <c r="K31" s="280" t="n">
        <v>0.153</v>
      </c>
    </row>
    <row r="32">
      <c r="B32" s="237" t="n">
        <v>1997</v>
      </c>
      <c r="C32" s="309" t="n">
        <v>8217.5</v>
      </c>
      <c r="D32" s="309" t="n">
        <v>2719.596020032065</v>
      </c>
      <c r="E32" s="309" t="n">
        <v>2672.813794357305</v>
      </c>
      <c r="F32" s="309" t="n">
        <v>1404.590185610631</v>
      </c>
      <c r="G32" s="309" t="n">
        <v>15014.5</v>
      </c>
      <c r="I32" s="237" t="n">
        <v>27</v>
      </c>
      <c r="J32" s="280" t="n">
        <v>0.023</v>
      </c>
      <c r="K32" s="280" t="n">
        <v>0.133</v>
      </c>
    </row>
    <row r="33">
      <c r="B33" s="237" t="n">
        <v>1998</v>
      </c>
      <c r="C33" s="309" t="n">
        <v>8085</v>
      </c>
      <c r="D33" s="309" t="n">
        <v>2905.41517887993</v>
      </c>
      <c r="E33" s="309" t="n">
        <v>2717.781137635784</v>
      </c>
      <c r="F33" s="309" t="n">
        <v>1675.803683484286</v>
      </c>
      <c r="G33" s="309" t="n">
        <v>15384</v>
      </c>
      <c r="I33" s="237" t="n">
        <v>28</v>
      </c>
      <c r="J33" s="280" t="n">
        <v>0.013</v>
      </c>
      <c r="K33" s="280" t="n">
        <v>0.117</v>
      </c>
    </row>
    <row r="34">
      <c r="B34" s="237" t="n">
        <v>1999</v>
      </c>
      <c r="C34" s="309" t="n">
        <v>8637.700000000001</v>
      </c>
      <c r="D34" s="309" t="n">
        <v>3341.860463408774</v>
      </c>
      <c r="E34" s="309" t="n">
        <v>3003.871888433025</v>
      </c>
      <c r="F34" s="309" t="n">
        <v>1727.267648158202</v>
      </c>
      <c r="G34" s="309" t="n">
        <v>16710.7</v>
      </c>
      <c r="I34" s="237" t="n">
        <v>29</v>
      </c>
      <c r="J34" s="280" t="n">
        <v>0.01</v>
      </c>
      <c r="K34" s="280" t="n">
        <v>0.102</v>
      </c>
    </row>
    <row r="35">
      <c r="B35" s="237" t="n">
        <v>2000</v>
      </c>
      <c r="C35" s="309" t="n">
        <v>8777.700000000001</v>
      </c>
      <c r="D35" s="309" t="n">
        <v>3539.605079495077</v>
      </c>
      <c r="E35" s="309" t="n">
        <v>2941.919494543059</v>
      </c>
      <c r="F35" s="309" t="n">
        <v>1904.475425961863</v>
      </c>
      <c r="G35" s="309" t="n">
        <v>17163.7</v>
      </c>
      <c r="I35" s="237" t="n">
        <v>30</v>
      </c>
      <c r="J35" s="280" t="n">
        <v>0.007</v>
      </c>
      <c r="K35" s="280" t="n">
        <v>0.089</v>
      </c>
    </row>
    <row r="36">
      <c r="B36" s="237" t="n">
        <v>2001</v>
      </c>
      <c r="C36" s="309" t="n">
        <v>8352</v>
      </c>
      <c r="D36" s="309" t="n">
        <v>4119.038827124374</v>
      </c>
      <c r="E36" s="309" t="n">
        <v>3007.427345426175</v>
      </c>
      <c r="F36" s="309" t="n">
        <v>1471.533827449451</v>
      </c>
      <c r="G36" s="309" t="n">
        <v>16950</v>
      </c>
      <c r="I36" s="237" t="n">
        <v>31</v>
      </c>
      <c r="J36" s="280" t="n">
        <v>0.002</v>
      </c>
      <c r="K36" s="280" t="n">
        <v>0.027</v>
      </c>
    </row>
    <row r="37">
      <c r="B37" s="237" t="n">
        <v>2002</v>
      </c>
      <c r="C37" s="309" t="n">
        <v>8042.3</v>
      </c>
      <c r="D37" s="309" t="n">
        <v>4629.75120902962</v>
      </c>
      <c r="E37" s="309" t="n">
        <v>2629.72916705335</v>
      </c>
      <c r="F37" s="309" t="n">
        <v>1373.519623917029</v>
      </c>
      <c r="G37" s="309" t="n">
        <v>16675.3</v>
      </c>
    </row>
    <row r="38">
      <c r="B38" s="237" t="n">
        <v>2003</v>
      </c>
      <c r="C38" s="309" t="n">
        <v>7555.6</v>
      </c>
      <c r="D38" s="309" t="n">
        <v>4719.707116097345</v>
      </c>
      <c r="E38" s="309" t="n">
        <v>2815.941753462632</v>
      </c>
      <c r="F38" s="309" t="n">
        <v>1402.351130440023</v>
      </c>
      <c r="G38" s="309" t="n">
        <v>16493.6</v>
      </c>
    </row>
    <row r="39">
      <c r="B39" s="237" t="n">
        <v>2004</v>
      </c>
      <c r="C39" s="309" t="n">
        <v>7482.6</v>
      </c>
      <c r="D39" s="309" t="n">
        <v>5337.48665819568</v>
      </c>
      <c r="E39" s="309" t="n">
        <v>2837.196950444727</v>
      </c>
      <c r="F39" s="309" t="n">
        <v>1079.316391359593</v>
      </c>
      <c r="G39" s="309" t="n">
        <v>16736.6</v>
      </c>
    </row>
    <row r="40">
      <c r="B40" s="237" t="n">
        <v>2005</v>
      </c>
      <c r="C40" s="309" t="n">
        <v>7660</v>
      </c>
      <c r="D40" s="309" t="n">
        <v>4732.681782273038</v>
      </c>
      <c r="E40" s="309" t="n">
        <v>2665.453833891312</v>
      </c>
      <c r="F40" s="309" t="n">
        <v>1715.864383835649</v>
      </c>
      <c r="G40" s="309" t="n">
        <v>16774</v>
      </c>
    </row>
    <row r="41">
      <c r="B41" s="237" t="n">
        <v>2006</v>
      </c>
      <c r="C41" s="309" t="n">
        <v>7761.6</v>
      </c>
      <c r="D41" s="309" t="n">
        <v>4530.087129024104</v>
      </c>
      <c r="E41" s="309" t="n">
        <v>2638.055787893012</v>
      </c>
      <c r="F41" s="309" t="n">
        <v>1405.857083082883</v>
      </c>
      <c r="G41" s="309" t="n">
        <v>16335.6</v>
      </c>
    </row>
    <row r="42">
      <c r="B42" s="237" t="n">
        <v>2007</v>
      </c>
      <c r="C42" s="309" t="n">
        <v>7562.3</v>
      </c>
      <c r="D42" s="309" t="n">
        <v>4887.411352638027</v>
      </c>
      <c r="E42" s="309" t="n">
        <v>2439.517368491461</v>
      </c>
      <c r="F42" s="309" t="n">
        <v>978.0712788705118</v>
      </c>
      <c r="G42" s="309" t="n">
        <v>15867.3</v>
      </c>
    </row>
    <row r="43">
      <c r="B43" s="237" t="n">
        <v>2008</v>
      </c>
      <c r="C43" s="309" t="n">
        <v>6769.1</v>
      </c>
      <c r="D43" s="309" t="n">
        <v>3793.257516676736</v>
      </c>
      <c r="E43" s="309" t="n">
        <v>1702.90161676672</v>
      </c>
      <c r="F43" s="309" t="n">
        <v>749.8408665565446</v>
      </c>
      <c r="G43" s="309" t="n">
        <v>13015.1</v>
      </c>
    </row>
    <row r="44">
      <c r="B44" s="237" t="n">
        <v>2009</v>
      </c>
      <c r="C44" s="309" t="n">
        <v>5401.6</v>
      </c>
      <c r="D44" s="309" t="n">
        <v>3050.5502054498</v>
      </c>
      <c r="E44" s="309" t="n">
        <v>1299.899262507374</v>
      </c>
      <c r="F44" s="309" t="n">
        <v>483.5505320428267</v>
      </c>
      <c r="G44" s="309" t="n">
        <v>10235.6</v>
      </c>
    </row>
    <row r="45">
      <c r="B45" s="237" t="n">
        <v>2010</v>
      </c>
      <c r="C45" s="309" t="n">
        <v>5635.7</v>
      </c>
      <c r="D45" s="309" t="n">
        <v>3667.627771266993</v>
      </c>
      <c r="E45" s="309" t="n">
        <v>1453.575291171304</v>
      </c>
      <c r="F45" s="309" t="n">
        <v>636.7969375617029</v>
      </c>
      <c r="G45" s="309" t="n">
        <v>11393.7</v>
      </c>
    </row>
    <row r="46">
      <c r="B46" s="237" t="n">
        <v>2011</v>
      </c>
      <c r="C46" s="309" t="n">
        <v>6092.9</v>
      </c>
      <c r="D46" s="309" t="n">
        <v>4393.928678672927</v>
      </c>
      <c r="E46" s="309" t="n">
        <v>1519.721277663298</v>
      </c>
      <c r="F46" s="309" t="n">
        <v>535.3500436637735</v>
      </c>
      <c r="G46" s="309" t="n">
        <v>12541.9</v>
      </c>
    </row>
    <row r="47">
      <c r="B47" s="237" t="n">
        <v>2012</v>
      </c>
      <c r="C47" s="309" t="n">
        <v>7245.2</v>
      </c>
      <c r="D47" s="309" t="n">
        <v>4649.505221614923</v>
      </c>
      <c r="E47" s="309" t="n">
        <v>1562.480487181936</v>
      </c>
      <c r="F47" s="309" t="n">
        <v>762.8142912031414</v>
      </c>
      <c r="G47" s="309" t="n">
        <v>14220</v>
      </c>
    </row>
    <row r="48">
      <c r="B48" s="237" t="n">
        <v>2013</v>
      </c>
      <c r="C48" s="309" t="n">
        <v>7586.3</v>
      </c>
      <c r="D48" s="309" t="n">
        <v>5322.429076291914</v>
      </c>
      <c r="E48" s="309" t="n">
        <v>1740.040369448356</v>
      </c>
      <c r="F48" s="309" t="n">
        <v>630.13055425973</v>
      </c>
      <c r="G48" s="309" t="n">
        <v>15278.9</v>
      </c>
    </row>
    <row r="49">
      <c r="B49" s="237" t="n">
        <v>2014</v>
      </c>
      <c r="C49" s="309" t="n">
        <v>7708</v>
      </c>
      <c r="D49" s="309" t="n">
        <v>5681.569022620387</v>
      </c>
      <c r="E49" s="309" t="n">
        <v>2078.514368408298</v>
      </c>
      <c r="F49" s="309" t="n">
        <v>723.7166089713153</v>
      </c>
      <c r="G49" s="309" t="n">
        <v>16191.8</v>
      </c>
    </row>
    <row r="50">
      <c r="B50" s="237" t="n">
        <v>2015</v>
      </c>
      <c r="C50" s="309" t="n">
        <v>7528.5</v>
      </c>
      <c r="D50" s="309" t="n">
        <v>6933.327556266748</v>
      </c>
      <c r="E50" s="309" t="n">
        <v>1935.378602255404</v>
      </c>
      <c r="F50" s="309" t="n">
        <v>709.6938414778484</v>
      </c>
      <c r="G50" s="309" t="n">
        <v>17106.9</v>
      </c>
    </row>
    <row r="51">
      <c r="B51" s="237" t="n">
        <v>2016</v>
      </c>
      <c r="C51" s="309" t="n">
        <v>6883.3</v>
      </c>
      <c r="D51" s="309" t="n">
        <v>7440.786091289261</v>
      </c>
      <c r="E51" s="309" t="n">
        <v>2146.155807456179</v>
      </c>
      <c r="F51" s="309" t="n">
        <v>709.05810125456</v>
      </c>
      <c r="G51" s="309" t="n">
        <v>17179.3</v>
      </c>
    </row>
    <row r="52">
      <c r="B52" s="237" t="n">
        <v>2017</v>
      </c>
      <c r="C52" s="309" t="n">
        <v>6089.2</v>
      </c>
      <c r="D52" s="309" t="n">
        <v>7880.883452183555</v>
      </c>
      <c r="E52" s="309" t="n">
        <v>2197.399641923441</v>
      </c>
      <c r="F52" s="309" t="n">
        <v>659.7169058930043</v>
      </c>
      <c r="G52" s="309" t="n">
        <v>16827.2</v>
      </c>
    </row>
    <row r="53">
      <c r="B53" s="237" t="n">
        <v>2018</v>
      </c>
      <c r="C53" s="309" t="n">
        <v>5310.3</v>
      </c>
      <c r="D53" s="309" t="n">
        <v>8489.711548913259</v>
      </c>
      <c r="E53" s="309" t="n">
        <v>2547.034448260345</v>
      </c>
      <c r="F53" s="309" t="n">
        <v>572.4540028263976</v>
      </c>
      <c r="G53" s="309" t="n">
        <v>16919.5</v>
      </c>
    </row>
    <row r="54">
      <c r="B54" s="237" t="n">
        <v>2019</v>
      </c>
      <c r="C54" s="309" t="n">
        <v>4719.7</v>
      </c>
      <c r="D54" s="309" t="n">
        <v>8537.217167153631</v>
      </c>
      <c r="E54" s="309" t="n">
        <v>2764.710550055136</v>
      </c>
      <c r="F54" s="309" t="n">
        <v>608.5722827912341</v>
      </c>
      <c r="G54" s="309" t="n">
        <v>16630.2</v>
      </c>
    </row>
    <row r="55">
      <c r="B55" s="237" t="n">
        <v>2020</v>
      </c>
      <c r="C55" s="309" t="n">
        <v>3401.8</v>
      </c>
      <c r="D55" s="309" t="n">
        <v>8031.003407382953</v>
      </c>
      <c r="E55" s="309" t="n">
        <v>2235.589818973731</v>
      </c>
      <c r="F55" s="309" t="n">
        <v>454.6067736433167</v>
      </c>
      <c r="G55" s="309" t="n">
        <v>14123</v>
      </c>
    </row>
    <row r="56">
      <c r="B56" s="237" t="n">
        <v>2021</v>
      </c>
      <c r="C56" s="309" t="n">
        <v>3350.1</v>
      </c>
      <c r="D56" s="309" t="n">
        <v>8462.557273044124</v>
      </c>
      <c r="E56" s="309" t="n">
        <v>2431.768810682715</v>
      </c>
      <c r="F56" s="309" t="n">
        <v>325.7739162731612</v>
      </c>
      <c r="G56" s="309" t="n">
        <v>14570.2</v>
      </c>
    </row>
    <row r="57">
      <c r="B57" s="237" t="n">
        <v>2022</v>
      </c>
      <c r="C57" s="309" t="n">
        <v>2930.7</v>
      </c>
      <c r="D57" s="309" t="n">
        <v>7775.565933828065</v>
      </c>
      <c r="E57" s="309" t="n">
        <v>2348.80937728459</v>
      </c>
      <c r="F57" s="309" t="n">
        <v>417.324688887346</v>
      </c>
      <c r="G57" s="309" t="n">
        <v>13472.4</v>
      </c>
    </row>
    <row r="58">
      <c r="B58" s="237" t="n">
        <v>2023</v>
      </c>
      <c r="C58" s="309" t="n">
        <v>3184.6</v>
      </c>
      <c r="D58" s="309" t="n">
        <v>9243.923780416222</v>
      </c>
      <c r="E58" s="309" t="n">
        <v>2344.708237193169</v>
      </c>
      <c r="F58" s="309" t="n">
        <v>394.7679823906083</v>
      </c>
      <c r="G58" s="309" t="n">
        <v>15168</v>
      </c>
    </row>
    <row r="59">
      <c r="B59" s="237" t="n">
        <v>2024</v>
      </c>
      <c r="C59" s="309" t="n">
        <v>3040.5</v>
      </c>
      <c r="D59" s="309" t="n">
        <v>9830.596612079278</v>
      </c>
      <c r="E59" s="309" t="n">
        <v>2296.951184881315</v>
      </c>
      <c r="F59" s="309" t="n">
        <v>328.152203039407</v>
      </c>
      <c r="G59" s="309" t="n">
        <v>15496.2</v>
      </c>
    </row>
    <row r="60">
      <c r="B60" s="237" t="n">
        <v>2025</v>
      </c>
      <c r="C60" s="309" t="n">
        <v>2764.4</v>
      </c>
      <c r="D60" s="309" t="n">
        <v>10331.60921910642</v>
      </c>
      <c r="E60" s="309" t="n">
        <v>2414.014425980785</v>
      </c>
      <c r="F60" s="309" t="n">
        <v>344.8763549127995</v>
      </c>
      <c r="G60" s="309" t="n">
        <v>15854.9</v>
      </c>
    </row>
    <row r="61">
      <c r="B61" s="237" t="n">
        <v>2026</v>
      </c>
      <c r="C61" s="309" t="n">
        <v>2764.4</v>
      </c>
      <c r="D61" s="309" t="n">
        <v>10331.60921910642</v>
      </c>
      <c r="E61" s="309" t="n">
        <v>2414.014425980785</v>
      </c>
      <c r="F61" s="309" t="n">
        <v>344.8763549127995</v>
      </c>
      <c r="G61" s="309" t="n">
        <v>15854.9</v>
      </c>
    </row>
    <row r="62">
      <c r="B62" s="237" t="n">
        <v>2027</v>
      </c>
      <c r="C62" s="309" t="n">
        <v>2764.4</v>
      </c>
      <c r="D62" s="309" t="n">
        <v>10331.60921910642</v>
      </c>
      <c r="E62" s="309" t="n">
        <v>2414.014425980785</v>
      </c>
      <c r="F62" s="309" t="n">
        <v>344.8763549127995</v>
      </c>
      <c r="G62" s="309" t="n">
        <v>15854.9</v>
      </c>
    </row>
    <row r="64">
      <c r="B64" s="234" t="inlineStr">
        <is>
          <t>Births 2026–2028 hold the final model-year mix and the existing 2025 total (ASSUMED). Survival beyond the table is zero (age_curves.py convention).</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17" t="inlineStr">
        <is>
          <t>read_date</t>
        </is>
      </c>
      <c r="C4" s="318" t="inlineStr">
        <is>
          <t>page</t>
        </is>
      </c>
      <c r="D4" s="318" t="inlineStr">
        <is>
          <t>title_group</t>
        </is>
      </c>
      <c r="E4" s="318" t="inlineStr">
        <is>
          <t>vehicle_class</t>
        </is>
      </c>
      <c r="F4" s="318" t="inlineStr">
        <is>
          <t>fee_type</t>
        </is>
      </c>
      <c r="G4" s="318" t="inlineStr">
        <is>
          <t>payment_method</t>
        </is>
      </c>
      <c r="H4" s="318" t="inlineStr">
        <is>
          <t>band_low_usd</t>
        </is>
      </c>
      <c r="I4" s="318" t="inlineStr">
        <is>
          <t>band_high_usd</t>
        </is>
      </c>
      <c r="J4" s="318" t="inlineStr">
        <is>
          <t>fee_usd</t>
        </is>
      </c>
      <c r="K4" s="318"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17" t="inlineStr">
        <is>
          <t>read_date</t>
        </is>
      </c>
      <c r="C1003" s="318" t="inlineStr">
        <is>
          <t>page</t>
        </is>
      </c>
      <c r="D1003" s="318" t="inlineStr">
        <is>
          <t>fee</t>
        </is>
      </c>
      <c r="E1003" s="318" t="inlineStr">
        <is>
          <t>amount_usd</t>
        </is>
      </c>
      <c r="F1003" s="318" t="inlineStr">
        <is>
          <t>basis</t>
        </is>
      </c>
      <c r="G1003" s="318"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17" t="inlineStr">
        <is>
          <t>read_date</t>
        </is>
      </c>
      <c r="C1014" s="318" t="inlineStr">
        <is>
          <t>page</t>
        </is>
      </c>
      <c r="D1014" s="318" t="inlineStr">
        <is>
          <t>fee</t>
        </is>
      </c>
      <c r="E1014" s="318" t="inlineStr">
        <is>
          <t>amount_usd</t>
        </is>
      </c>
      <c r="F1014" s="318" t="inlineStr">
        <is>
          <t>effective</t>
        </is>
      </c>
      <c r="G1014" s="318"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17" t="inlineStr">
        <is>
          <t>Carrier weight</t>
        </is>
      </c>
      <c r="C4" s="318" t="inlineStr">
        <is>
          <t>Q1 FY26A</t>
        </is>
      </c>
      <c r="D4" s="318" t="inlineStr">
        <is>
          <t>Q2 FY26A</t>
        </is>
      </c>
      <c r="E4" s="318" t="inlineStr">
        <is>
          <t>Q3 FY26A</t>
        </is>
      </c>
      <c r="F4" s="318" t="inlineStr">
        <is>
          <t>Q4 FY26A</t>
        </is>
      </c>
      <c r="G4" s="318" t="inlineStr">
        <is>
          <t>Q1 FY27E</t>
        </is>
      </c>
      <c r="H4" s="318" t="inlineStr">
        <is>
          <t>Q2 FY27E</t>
        </is>
      </c>
      <c r="I4" s="318" t="inlineStr">
        <is>
          <t>Q3 FY27E</t>
        </is>
      </c>
      <c r="J4" s="318" t="inlineStr">
        <is>
          <t>Q4 FY27E</t>
        </is>
      </c>
    </row>
    <row r="5">
      <c r="B5" s="238" t="inlineStr">
        <is>
          <t>State Farm</t>
        </is>
      </c>
      <c r="C5" s="296" t="n">
        <v>0.18707</v>
      </c>
      <c r="D5" s="296" t="n">
        <v>0.186</v>
      </c>
      <c r="E5" s="296" t="n">
        <v>0.1852</v>
      </c>
      <c r="F5" s="296" t="n">
        <v>0.1844</v>
      </c>
      <c r="G5" s="296" t="n">
        <v>0.18354</v>
      </c>
      <c r="H5" s="296" t="n">
        <v>0.18269</v>
      </c>
      <c r="I5" s="296" t="n">
        <v>0.18183</v>
      </c>
      <c r="J5" s="296" t="n">
        <v>0.18097</v>
      </c>
    </row>
    <row r="6">
      <c r="B6" s="238" t="inlineStr">
        <is>
          <t>Progressive</t>
        </is>
      </c>
      <c r="C6" s="296" t="n">
        <v>0.18132</v>
      </c>
      <c r="D6" s="296" t="n">
        <v>0.186</v>
      </c>
      <c r="E6" s="296" t="n">
        <v>0.1895</v>
      </c>
      <c r="F6" s="296" t="n">
        <v>0.193</v>
      </c>
      <c r="G6" s="296" t="n">
        <v>0.19675</v>
      </c>
      <c r="H6" s="296" t="n">
        <v>0.2005</v>
      </c>
      <c r="I6" s="296" t="n">
        <v>0.20425</v>
      </c>
      <c r="J6" s="296" t="n">
        <v>0.208</v>
      </c>
    </row>
    <row r="7">
      <c r="B7" s="238" t="inlineStr">
        <is>
          <t>GEICO</t>
        </is>
      </c>
      <c r="C7" s="296" t="n">
        <v>0.11667</v>
      </c>
      <c r="D7" s="296" t="n">
        <v>0.116</v>
      </c>
      <c r="E7" s="296" t="n">
        <v>0.1155</v>
      </c>
      <c r="F7" s="296" t="n">
        <v>0.115</v>
      </c>
      <c r="G7" s="296" t="n">
        <v>0.11447</v>
      </c>
      <c r="H7" s="296" t="n">
        <v>0.11393</v>
      </c>
      <c r="I7" s="296" t="n">
        <v>0.1134</v>
      </c>
      <c r="J7" s="296" t="n">
        <v>0.11286</v>
      </c>
    </row>
    <row r="8">
      <c r="B8" s="238" t="inlineStr">
        <is>
          <t>Allstate</t>
        </is>
      </c>
      <c r="C8" s="296" t="n">
        <v>0.10259</v>
      </c>
      <c r="D8" s="296" t="n">
        <v>0.102</v>
      </c>
      <c r="E8" s="296" t="n">
        <v>0.10156</v>
      </c>
      <c r="F8" s="296" t="n">
        <v>0.10112</v>
      </c>
      <c r="G8" s="296" t="n">
        <v>0.10065</v>
      </c>
      <c r="H8" s="296" t="n">
        <v>0.10018</v>
      </c>
      <c r="I8" s="296" t="n">
        <v>0.09970999999999999</v>
      </c>
      <c r="J8" s="296" t="n">
        <v>0.09923999999999999</v>
      </c>
    </row>
    <row r="9">
      <c r="B9" s="238" t="inlineStr">
        <is>
          <t>USAA</t>
        </is>
      </c>
      <c r="C9" s="296" t="n">
        <v>0.06236</v>
      </c>
      <c r="D9" s="296" t="n">
        <v>0.062</v>
      </c>
      <c r="E9" s="296" t="n">
        <v>0.06173</v>
      </c>
      <c r="F9" s="296" t="n">
        <v>0.06147</v>
      </c>
      <c r="G9" s="296" t="n">
        <v>0.06118</v>
      </c>
      <c r="H9" s="296" t="n">
        <v>0.0609</v>
      </c>
      <c r="I9" s="296" t="n">
        <v>0.06061</v>
      </c>
      <c r="J9" s="296" t="n">
        <v>0.06032</v>
      </c>
    </row>
    <row r="10">
      <c r="B10" s="238" t="inlineStr">
        <is>
          <t>Farmers</t>
        </is>
      </c>
      <c r="C10" s="296" t="n">
        <v>0.03822</v>
      </c>
      <c r="D10" s="296" t="n">
        <v>0.038</v>
      </c>
      <c r="E10" s="296" t="n">
        <v>0.03784</v>
      </c>
      <c r="F10" s="296" t="n">
        <v>0.03767</v>
      </c>
      <c r="G10" s="296" t="n">
        <v>0.0375</v>
      </c>
      <c r="H10" s="296" t="n">
        <v>0.03732</v>
      </c>
      <c r="I10" s="296" t="n">
        <v>0.03715</v>
      </c>
      <c r="J10" s="296" t="n">
        <v>0.03697</v>
      </c>
    </row>
    <row r="11">
      <c r="B11" s="238" t="inlineStr">
        <is>
          <t>Liberty Mutual</t>
        </is>
      </c>
      <c r="C11" s="296" t="n">
        <v>0.03319</v>
      </c>
      <c r="D11" s="296" t="n">
        <v>0.033</v>
      </c>
      <c r="E11" s="296" t="n">
        <v>0.03286</v>
      </c>
      <c r="F11" s="296" t="n">
        <v>0.03272</v>
      </c>
      <c r="G11" s="296" t="n">
        <v>0.03256</v>
      </c>
      <c r="H11" s="296" t="n">
        <v>0.03241</v>
      </c>
      <c r="I11" s="296" t="n">
        <v>0.03226</v>
      </c>
      <c r="J11" s="296" t="n">
        <v>0.03211</v>
      </c>
    </row>
    <row r="12">
      <c r="B12" s="238" t="inlineStr">
        <is>
          <t>Travelers</t>
        </is>
      </c>
      <c r="C12" s="296" t="n">
        <v>0.02011</v>
      </c>
      <c r="D12" s="296" t="n">
        <v>0.02</v>
      </c>
      <c r="E12" s="296" t="n">
        <v>0.01991</v>
      </c>
      <c r="F12" s="296" t="n">
        <v>0.01983</v>
      </c>
      <c r="G12" s="296" t="n">
        <v>0.01974</v>
      </c>
      <c r="H12" s="296" t="n">
        <v>0.01964</v>
      </c>
      <c r="I12" s="296" t="n">
        <v>0.01955</v>
      </c>
      <c r="J12" s="296" t="n">
        <v>0.01946</v>
      </c>
    </row>
    <row r="13">
      <c r="B13" s="238" t="inlineStr">
        <is>
          <t>Nationwide</t>
        </is>
      </c>
      <c r="C13" s="296" t="n">
        <v>0.01509</v>
      </c>
      <c r="D13" s="296" t="n">
        <v>0.015</v>
      </c>
      <c r="E13" s="296" t="n">
        <v>0.01494</v>
      </c>
      <c r="F13" s="296" t="n">
        <v>0.01487</v>
      </c>
      <c r="G13" s="296" t="n">
        <v>0.0148</v>
      </c>
      <c r="H13" s="296" t="n">
        <v>0.01473</v>
      </c>
      <c r="I13" s="296" t="n">
        <v>0.01466</v>
      </c>
      <c r="J13" s="296" t="n">
        <v>0.01459</v>
      </c>
    </row>
    <row r="14">
      <c r="B14" s="238" t="inlineStr">
        <is>
          <t>Other (Erie, AAA, AmFam, regionals)</t>
        </is>
      </c>
      <c r="C14" s="296" t="n">
        <v>0.24339</v>
      </c>
      <c r="D14" s="296" t="n">
        <v>0.242</v>
      </c>
      <c r="E14" s="296" t="n">
        <v>0.24096</v>
      </c>
      <c r="F14" s="296" t="n">
        <v>0.23992</v>
      </c>
      <c r="G14" s="296" t="n">
        <v>0.2388</v>
      </c>
      <c r="H14" s="296" t="n">
        <v>0.23769</v>
      </c>
      <c r="I14" s="296" t="n">
        <v>0.23657</v>
      </c>
      <c r="J14" s="296" t="n">
        <v>0.23546</v>
      </c>
    </row>
    <row r="16">
      <c r="B16" s="242" t="inlineStr">
        <is>
          <t>Copart allocation by carrier (share of that carrier's total losses assigned to Copart)</t>
        </is>
      </c>
    </row>
    <row r="17">
      <c r="B17" s="317" t="inlineStr">
        <is>
          <t>Allocation</t>
        </is>
      </c>
      <c r="C17" s="318" t="inlineStr">
        <is>
          <t>Q1 FY26A</t>
        </is>
      </c>
      <c r="D17" s="318" t="inlineStr">
        <is>
          <t>Q2 FY26A</t>
        </is>
      </c>
      <c r="E17" s="318" t="inlineStr">
        <is>
          <t>Q3 FY26A</t>
        </is>
      </c>
      <c r="F17" s="318" t="inlineStr">
        <is>
          <t>Q4 FY26A</t>
        </is>
      </c>
      <c r="G17" s="318" t="inlineStr">
        <is>
          <t>Q1 FY27E</t>
        </is>
      </c>
      <c r="H17" s="318" t="inlineStr">
        <is>
          <t>Q2 FY27E</t>
        </is>
      </c>
      <c r="I17" s="318" t="inlineStr">
        <is>
          <t>Q3 FY27E</t>
        </is>
      </c>
      <c r="J17" s="318" t="inlineStr">
        <is>
          <t>Q4 FY27E</t>
        </is>
      </c>
    </row>
    <row r="18">
      <c r="B18" s="238" t="inlineStr">
        <is>
          <t>State Farm</t>
        </is>
      </c>
      <c r="C18" s="280" t="n">
        <v>0.5</v>
      </c>
      <c r="D18" s="280" t="n">
        <v>0.5</v>
      </c>
      <c r="E18" s="280" t="n">
        <v>0.5</v>
      </c>
      <c r="F18" s="280" t="n">
        <v>0.5</v>
      </c>
      <c r="G18" s="280" t="n">
        <v>0.5</v>
      </c>
      <c r="H18" s="280" t="n">
        <v>0.5</v>
      </c>
      <c r="I18" s="280" t="n">
        <v>0.48875</v>
      </c>
      <c r="J18" s="280" t="n">
        <v>0.4775</v>
      </c>
    </row>
    <row r="19">
      <c r="B19" s="238" t="inlineStr">
        <is>
          <t>Progressive</t>
        </is>
      </c>
      <c r="C19" s="280" t="n">
        <v>0.25</v>
      </c>
      <c r="D19" s="280" t="n">
        <v>0.25</v>
      </c>
      <c r="E19" s="280" t="n">
        <v>0.15909</v>
      </c>
      <c r="F19" s="280" t="n">
        <v>0.06818</v>
      </c>
      <c r="G19" s="280" t="n">
        <v>0.05</v>
      </c>
      <c r="H19" s="280" t="n">
        <v>0.05</v>
      </c>
      <c r="I19" s="280" t="n">
        <v>0.05</v>
      </c>
      <c r="J19" s="280" t="n">
        <v>0.05</v>
      </c>
    </row>
    <row r="20">
      <c r="B20" s="238" t="inlineStr">
        <is>
          <t>GEICO</t>
        </is>
      </c>
      <c r="C20" s="280" t="n">
        <v>0.83</v>
      </c>
      <c r="D20" s="280" t="n">
        <v>0.83</v>
      </c>
      <c r="E20" s="280" t="n">
        <v>0.83</v>
      </c>
      <c r="F20" s="280" t="n">
        <v>0.854</v>
      </c>
      <c r="G20" s="280" t="n">
        <v>0.878</v>
      </c>
      <c r="H20" s="280" t="n">
        <v>0.902</v>
      </c>
      <c r="I20" s="280" t="n">
        <v>0.902</v>
      </c>
      <c r="J20" s="280" t="n">
        <v>0.902</v>
      </c>
    </row>
    <row r="21">
      <c r="B21" s="238" t="inlineStr">
        <is>
          <t>Allstate</t>
        </is>
      </c>
      <c r="C21" s="280" t="n">
        <v>0.95</v>
      </c>
      <c r="D21" s="280" t="n">
        <v>0.95</v>
      </c>
      <c r="E21" s="280" t="n">
        <v>0.95</v>
      </c>
      <c r="F21" s="280" t="n">
        <v>0.95</v>
      </c>
      <c r="G21" s="280" t="n">
        <v>0.95</v>
      </c>
      <c r="H21" s="280" t="n">
        <v>0.95</v>
      </c>
      <c r="I21" s="280" t="n">
        <v>0.95</v>
      </c>
      <c r="J21" s="280" t="n">
        <v>0.95</v>
      </c>
    </row>
    <row r="22">
      <c r="B22" s="238" t="inlineStr">
        <is>
          <t>USAA</t>
        </is>
      </c>
      <c r="C22" s="280" t="n">
        <v>0.95</v>
      </c>
      <c r="D22" s="280" t="n">
        <v>0.95</v>
      </c>
      <c r="E22" s="280" t="n">
        <v>0.95</v>
      </c>
      <c r="F22" s="280" t="n">
        <v>0.95</v>
      </c>
      <c r="G22" s="280" t="n">
        <v>0.95</v>
      </c>
      <c r="H22" s="280" t="n">
        <v>0.95</v>
      </c>
      <c r="I22" s="280" t="n">
        <v>0.95</v>
      </c>
      <c r="J22" s="280" t="n">
        <v>0.95</v>
      </c>
    </row>
    <row r="23">
      <c r="B23" s="238" t="inlineStr">
        <is>
          <t>Farmers</t>
        </is>
      </c>
      <c r="C23" s="280" t="n">
        <v>0.9</v>
      </c>
      <c r="D23" s="280" t="n">
        <v>0.9</v>
      </c>
      <c r="E23" s="280" t="n">
        <v>0.9</v>
      </c>
      <c r="F23" s="280" t="n">
        <v>0.9</v>
      </c>
      <c r="G23" s="280" t="n">
        <v>0.9</v>
      </c>
      <c r="H23" s="280" t="n">
        <v>0.9</v>
      </c>
      <c r="I23" s="280" t="n">
        <v>0.9</v>
      </c>
      <c r="J23" s="280" t="n">
        <v>0.9</v>
      </c>
    </row>
    <row r="24">
      <c r="B24" s="238" t="inlineStr">
        <is>
          <t>Liberty Mutual</t>
        </is>
      </c>
      <c r="C24" s="280" t="n">
        <v>0.7</v>
      </c>
      <c r="D24" s="280" t="n">
        <v>0.7</v>
      </c>
      <c r="E24" s="280" t="n">
        <v>0.7</v>
      </c>
      <c r="F24" s="280" t="n">
        <v>0.7</v>
      </c>
      <c r="G24" s="280" t="n">
        <v>0.7</v>
      </c>
      <c r="H24" s="280" t="n">
        <v>0.7</v>
      </c>
      <c r="I24" s="280" t="n">
        <v>0.7</v>
      </c>
      <c r="J24" s="280" t="n">
        <v>0.7</v>
      </c>
    </row>
    <row r="25">
      <c r="B25" s="238" t="inlineStr">
        <is>
          <t>Travelers</t>
        </is>
      </c>
      <c r="C25" s="280" t="n">
        <v>0.85</v>
      </c>
      <c r="D25" s="280" t="n">
        <v>0.85</v>
      </c>
      <c r="E25" s="280" t="n">
        <v>0.85</v>
      </c>
      <c r="F25" s="280" t="n">
        <v>0.85</v>
      </c>
      <c r="G25" s="280" t="n">
        <v>0.85</v>
      </c>
      <c r="H25" s="280" t="n">
        <v>0.85</v>
      </c>
      <c r="I25" s="280" t="n">
        <v>0.85</v>
      </c>
      <c r="J25" s="280" t="n">
        <v>0.85</v>
      </c>
    </row>
    <row r="26">
      <c r="B26" s="238" t="inlineStr">
        <is>
          <t>Nationwide</t>
        </is>
      </c>
      <c r="C26" s="280" t="n">
        <v>0.95</v>
      </c>
      <c r="D26" s="280" t="n">
        <v>0.95</v>
      </c>
      <c r="E26" s="280" t="n">
        <v>0.95</v>
      </c>
      <c r="F26" s="280" t="n">
        <v>0.95</v>
      </c>
      <c r="G26" s="280" t="n">
        <v>0.95</v>
      </c>
      <c r="H26" s="280" t="n">
        <v>0.95</v>
      </c>
      <c r="I26" s="280" t="n">
        <v>0.95</v>
      </c>
      <c r="J26" s="280" t="n">
        <v>0.95</v>
      </c>
    </row>
    <row r="27">
      <c r="B27" s="238" t="inlineStr">
        <is>
          <t>Other (Erie, AAA, AmFam, regionals)</t>
        </is>
      </c>
      <c r="C27" s="280" t="n">
        <v>0.5</v>
      </c>
      <c r="D27" s="280" t="n">
        <v>0.5</v>
      </c>
      <c r="E27" s="280" t="n">
        <v>0.5</v>
      </c>
      <c r="F27" s="280" t="n">
        <v>0.5</v>
      </c>
      <c r="G27" s="280" t="n">
        <v>0.49438</v>
      </c>
      <c r="H27" s="280" t="n">
        <v>0.48875</v>
      </c>
      <c r="I27" s="280" t="n">
        <v>0.48313</v>
      </c>
      <c r="J27" s="280"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17" t="inlineStr">
        <is>
          <t>mask</t>
        </is>
      </c>
      <c r="C4" s="318" t="inlineStr">
        <is>
          <t>scenario</t>
        </is>
      </c>
      <c r="D4" s="318" t="inlineStr">
        <is>
          <t>service_musd</t>
        </is>
      </c>
      <c r="E4" s="318" t="inlineStr">
        <is>
          <t>insurance_musd</t>
        </is>
      </c>
      <c r="F4" s="318" t="inlineStr">
        <is>
          <t>modeled_insurance_units</t>
        </is>
      </c>
      <c r="G4" s="318" t="inlineStr">
        <is>
          <t>insurance_allin_RPU</t>
        </is>
      </c>
    </row>
    <row r="5">
      <c r="B5" s="241" t="n">
        <v>0</v>
      </c>
      <c r="C5" s="238" t="inlineStr">
        <is>
          <t>recovery_comparator</t>
        </is>
      </c>
      <c r="D5" s="262" t="n">
        <v>4132.662422084255</v>
      </c>
      <c r="E5" s="262" t="n">
        <v>3122.688228872894</v>
      </c>
      <c r="F5" s="320" t="n">
        <v>3404057.163231479</v>
      </c>
      <c r="G5" s="321" t="n">
        <v>917.3430642123882</v>
      </c>
    </row>
    <row r="6">
      <c r="B6" s="241" t="n">
        <v>1</v>
      </c>
      <c r="C6" s="238" t="inlineStr">
        <is>
          <t>market_allocation</t>
        </is>
      </c>
      <c r="D6" s="262" t="n">
        <v>3997.324308689885</v>
      </c>
      <c r="E6" s="262" t="n">
        <v>2987.350115478524</v>
      </c>
      <c r="F6" s="320" t="n">
        <v>3256568.487807756</v>
      </c>
      <c r="G6" s="321" t="n">
        <v>917.330658533006</v>
      </c>
    </row>
    <row r="7">
      <c r="B7" s="241" t="n">
        <v>2</v>
      </c>
      <c r="C7" s="238" t="inlineStr">
        <is>
          <t>premium_recovery</t>
        </is>
      </c>
      <c r="D7" s="262" t="n">
        <v>4108.93568578827</v>
      </c>
      <c r="E7" s="262" t="n">
        <v>3098.961492576909</v>
      </c>
      <c r="F7" s="320" t="n">
        <v>3378189.645851638</v>
      </c>
      <c r="G7" s="321" t="n">
        <v>917.3438490590319</v>
      </c>
    </row>
    <row r="8">
      <c r="B8" s="241" t="n">
        <v>3</v>
      </c>
      <c r="C8" s="238" t="inlineStr">
        <is>
          <t>market_allocation+premium_recovery</t>
        </is>
      </c>
      <c r="D8" s="262" t="n">
        <v>3974.520103544469</v>
      </c>
      <c r="E8" s="262" t="n">
        <v>2964.545910333108</v>
      </c>
      <c r="F8" s="320" t="n">
        <v>3231706.417616765</v>
      </c>
      <c r="G8" s="321" t="n">
        <v>917.3314426622096</v>
      </c>
    </row>
    <row r="9">
      <c r="B9" s="241" t="n">
        <v>4</v>
      </c>
      <c r="C9" s="238" t="inlineStr">
        <is>
          <t>aftermarket</t>
        </is>
      </c>
      <c r="D9" s="262" t="n">
        <v>4075.42762064511</v>
      </c>
      <c r="E9" s="262" t="n">
        <v>3065.453427433749</v>
      </c>
      <c r="F9" s="320" t="n">
        <v>3360587.950171777</v>
      </c>
      <c r="G9" s="321" t="n">
        <v>912.177712021213</v>
      </c>
    </row>
    <row r="10">
      <c r="B10" s="241" t="n">
        <v>5</v>
      </c>
      <c r="C10" s="238" t="inlineStr">
        <is>
          <t>market_allocation+aftermarket</t>
        </is>
      </c>
      <c r="D10" s="262" t="n">
        <v>3941.963239662224</v>
      </c>
      <c r="E10" s="262" t="n">
        <v>2931.989046450863</v>
      </c>
      <c r="F10" s="320" t="n">
        <v>3214522.640183739</v>
      </c>
      <c r="G10" s="321" t="n">
        <v>912.1071383349389</v>
      </c>
    </row>
    <row r="11">
      <c r="B11" s="241" t="n">
        <v>6</v>
      </c>
      <c r="C11" s="238" t="inlineStr">
        <is>
          <t>premium_recovery+aftermarket</t>
        </is>
      </c>
      <c r="D11" s="262" t="n">
        <v>4052.175472723391</v>
      </c>
      <c r="E11" s="262" t="n">
        <v>3042.20127951203</v>
      </c>
      <c r="F11" s="320" t="n">
        <v>3335080.853031643</v>
      </c>
      <c r="G11" s="321" t="n">
        <v>912.1821669620451</v>
      </c>
    </row>
    <row r="12">
      <c r="B12" s="241" t="n">
        <v>7</v>
      </c>
      <c r="C12" s="238" t="inlineStr">
        <is>
          <t>market_allocation+premium_recovery+aftermarket</t>
        </is>
      </c>
      <c r="D12" s="262" t="n">
        <v>3919.619593811704</v>
      </c>
      <c r="E12" s="262" t="n">
        <v>2909.645400600343</v>
      </c>
      <c r="F12" s="320" t="n">
        <v>3190010.334434816</v>
      </c>
      <c r="G12" s="321" t="n">
        <v>912.1115907343461</v>
      </c>
    </row>
    <row r="13">
      <c r="B13" s="241" t="n">
        <v>8</v>
      </c>
      <c r="C13" s="238" t="inlineStr">
        <is>
          <t>fleet_mix</t>
        </is>
      </c>
      <c r="D13" s="262" t="n">
        <v>4116.682023074879</v>
      </c>
      <c r="E13" s="262" t="n">
        <v>3106.707829863518</v>
      </c>
      <c r="F13" s="320" t="n">
        <v>3392942.331491993</v>
      </c>
      <c r="G13" s="321" t="n">
        <v>915.6382650622274</v>
      </c>
    </row>
    <row r="14">
      <c r="B14" s="241" t="n">
        <v>9</v>
      </c>
      <c r="C14" s="238" t="inlineStr">
        <is>
          <t>market_allocation+fleet_mix</t>
        </is>
      </c>
      <c r="D14" s="262" t="n">
        <v>3982.01631007477</v>
      </c>
      <c r="E14" s="262" t="n">
        <v>2972.042116863409</v>
      </c>
      <c r="F14" s="320" t="n">
        <v>3245904.819907098</v>
      </c>
      <c r="G14" s="321" t="n">
        <v>915.6282398164938</v>
      </c>
    </row>
    <row r="15">
      <c r="B15" s="241" t="n">
        <v>10</v>
      </c>
      <c r="C15" s="238" t="inlineStr">
        <is>
          <t>premium_recovery+fleet_mix</t>
        </is>
      </c>
      <c r="D15" s="262" t="n">
        <v>4093.077730243895</v>
      </c>
      <c r="E15" s="262" t="n">
        <v>3083.103537032534</v>
      </c>
      <c r="F15" s="320" t="n">
        <v>3367160.848567258</v>
      </c>
      <c r="G15" s="321" t="n">
        <v>915.6389242124887</v>
      </c>
    </row>
    <row r="16">
      <c r="B16" s="241" t="n">
        <v>11</v>
      </c>
      <c r="C16" s="238" t="inlineStr">
        <is>
          <t>market_allocation+premium_recovery+fleet_mix</t>
        </is>
      </c>
      <c r="D16" s="262" t="n">
        <v>3959.329945361116</v>
      </c>
      <c r="E16" s="262" t="n">
        <v>2949.355752149755</v>
      </c>
      <c r="F16" s="320" t="n">
        <v>3221125.676442777</v>
      </c>
      <c r="G16" s="321" t="n">
        <v>915.6288975991931</v>
      </c>
    </row>
    <row r="17">
      <c r="B17" s="241" t="n">
        <v>12</v>
      </c>
      <c r="C17" s="238" t="inlineStr">
        <is>
          <t>aftermarket+fleet_mix</t>
        </is>
      </c>
      <c r="D17" s="262" t="n">
        <v>4059.648453516342</v>
      </c>
      <c r="E17" s="262" t="n">
        <v>3049.674260304981</v>
      </c>
      <c r="F17" s="320" t="n">
        <v>3349607.998633471</v>
      </c>
      <c r="G17" s="321" t="n">
        <v>910.4570629008368</v>
      </c>
    </row>
    <row r="18">
      <c r="B18" s="241" t="n">
        <v>13</v>
      </c>
      <c r="C18" s="238" t="inlineStr">
        <is>
          <t>market_allocation+aftermarket+fleet_mix</t>
        </is>
      </c>
      <c r="D18" s="262" t="n">
        <v>3926.851387305016</v>
      </c>
      <c r="E18" s="262" t="n">
        <v>2916.877194093655</v>
      </c>
      <c r="F18" s="320" t="n">
        <v>3203990.469606517</v>
      </c>
      <c r="G18" s="321" t="n">
        <v>910.3888484574293</v>
      </c>
    </row>
    <row r="19">
      <c r="B19" s="241" t="n">
        <v>14</v>
      </c>
      <c r="C19" s="238" t="inlineStr">
        <is>
          <t>premium_recovery+aftermarket+fleet_mix</t>
        </is>
      </c>
      <c r="D19" s="262" t="n">
        <v>4036.517015793495</v>
      </c>
      <c r="E19" s="262" t="n">
        <v>3026.542822582135</v>
      </c>
      <c r="F19" s="320" t="n">
        <v>3324185.772365574</v>
      </c>
      <c r="G19" s="321" t="n">
        <v>910.4613971163143</v>
      </c>
    </row>
    <row r="20">
      <c r="B20" s="241" t="n">
        <v>15</v>
      </c>
      <c r="C20" s="238" t="inlineStr">
        <is>
          <t>market_allocation+premium_recovery+aftermarket+fleet_mix</t>
        </is>
      </c>
      <c r="D20" s="262" t="n">
        <v>3904.623888263005</v>
      </c>
      <c r="E20" s="262" t="n">
        <v>2894.649695051643</v>
      </c>
      <c r="F20" s="320" t="n">
        <v>3179559.953460027</v>
      </c>
      <c r="G20" s="321" t="n">
        <v>910.3931793774352</v>
      </c>
    </row>
    <row r="22">
      <c r="B22" s="242" t="inlineStr">
        <is>
          <t>Four-driver attribution (Shapley, diagnostic)</t>
        </is>
      </c>
    </row>
    <row r="23">
      <c r="B23" s="317" t="inlineStr">
        <is>
          <t>factor</t>
        </is>
      </c>
      <c r="C23" s="318" t="inlineStr">
        <is>
          <t>service_contribution_musd</t>
        </is>
      </c>
      <c r="D23" s="318" t="inlineStr">
        <is>
          <t>share_of_net_shortfall</t>
        </is>
      </c>
      <c r="E23" s="318" t="inlineStr">
        <is>
          <t>modeled_unit_contribution</t>
        </is>
      </c>
      <c r="F23" s="318" t="inlineStr">
        <is>
          <t>allin_RPU_contribution_usd</t>
        </is>
      </c>
      <c r="G23" s="318"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17" t="inlineStr">
        <is>
          <t>mask</t>
        </is>
      </c>
      <c r="C30" s="318" t="inlineStr">
        <is>
          <t>scenario</t>
        </is>
      </c>
      <c r="D30" s="318" t="inlineStr">
        <is>
          <t>period</t>
        </is>
      </c>
      <c r="E30" s="318" t="inlineStr">
        <is>
          <t>service_musd</t>
        </is>
      </c>
      <c r="F30" s="318" t="inlineStr">
        <is>
          <t>insurance_units</t>
        </is>
      </c>
      <c r="G30" s="318" t="inlineStr">
        <is>
          <t>TLF</t>
        </is>
      </c>
      <c r="H30" s="318" t="inlineStr">
        <is>
          <t>insurance_ASP</t>
        </is>
      </c>
    </row>
    <row r="31">
      <c r="B31" s="241" t="n">
        <v>0</v>
      </c>
      <c r="C31" s="238" t="inlineStr">
        <is>
          <t>recovery_comparator</t>
        </is>
      </c>
      <c r="D31" s="238" t="inlineStr">
        <is>
          <t>FY2027Q1</t>
        </is>
      </c>
      <c r="E31" s="262" t="n">
        <v>1029.364134959785</v>
      </c>
      <c r="F31" s="320" t="n">
        <v>856641.6743440034</v>
      </c>
      <c r="G31" s="294" t="n">
        <v>0.2309684149019287</v>
      </c>
      <c r="H31" s="321" t="n">
        <v>3117.098260634563</v>
      </c>
    </row>
    <row r="32">
      <c r="B32" s="241" t="n">
        <v>0</v>
      </c>
      <c r="C32" s="238" t="inlineStr">
        <is>
          <t>recovery_comparator</t>
        </is>
      </c>
      <c r="D32" s="238" t="inlineStr">
        <is>
          <t>FY2027Q2</t>
        </is>
      </c>
      <c r="E32" s="262" t="n">
        <v>990.1625914130836</v>
      </c>
      <c r="F32" s="320" t="n">
        <v>822965.1098413144</v>
      </c>
      <c r="G32" s="294" t="n">
        <v>0.2308874862433383</v>
      </c>
      <c r="H32" s="321" t="n">
        <v>3114.64263949011</v>
      </c>
    </row>
    <row r="33">
      <c r="B33" s="241" t="n">
        <v>0</v>
      </c>
      <c r="C33" s="238" t="inlineStr">
        <is>
          <t>recovery_comparator</t>
        </is>
      </c>
      <c r="D33" s="238" t="inlineStr">
        <is>
          <t>FY2027Q3</t>
        </is>
      </c>
      <c r="E33" s="262" t="n">
        <v>1101.169954876998</v>
      </c>
      <c r="F33" s="320" t="n">
        <v>900826.3217013609</v>
      </c>
      <c r="G33" s="294" t="n">
        <v>0.2308139360994703</v>
      </c>
      <c r="H33" s="321" t="n">
        <v>3112.820776046185</v>
      </c>
    </row>
    <row r="34">
      <c r="B34" s="241" t="n">
        <v>0</v>
      </c>
      <c r="C34" s="238" t="inlineStr">
        <is>
          <t>recovery_comparator</t>
        </is>
      </c>
      <c r="D34" s="238" t="inlineStr">
        <is>
          <t>FY2027Q4</t>
        </is>
      </c>
      <c r="E34" s="262" t="n">
        <v>1011.96574083439</v>
      </c>
      <c r="F34" s="320" t="n">
        <v>823624.0573447999</v>
      </c>
      <c r="G34" s="294" t="n">
        <v>0.2307532535590583</v>
      </c>
      <c r="H34" s="321" t="n">
        <v>3111.192549815287</v>
      </c>
    </row>
    <row r="35">
      <c r="B35" s="241" t="n">
        <v>1</v>
      </c>
      <c r="C35" s="238" t="inlineStr">
        <is>
          <t>market_allocation</t>
        </is>
      </c>
      <c r="D35" s="238" t="inlineStr">
        <is>
          <t>FY2027Q1</t>
        </is>
      </c>
      <c r="E35" s="262" t="n">
        <v>976.0677700048616</v>
      </c>
      <c r="F35" s="320" t="n">
        <v>798585.8399364803</v>
      </c>
      <c r="G35" s="294" t="n">
        <v>0.2309684149019288</v>
      </c>
      <c r="H35" s="321" t="n">
        <v>3117.098260634565</v>
      </c>
    </row>
    <row r="36">
      <c r="B36" s="241" t="n">
        <v>1</v>
      </c>
      <c r="C36" s="238" t="inlineStr">
        <is>
          <t>market_allocation</t>
        </is>
      </c>
      <c r="D36" s="238" t="inlineStr">
        <is>
          <t>FY2027Q2</t>
        </is>
      </c>
      <c r="E36" s="262" t="n">
        <v>941.3484286164836</v>
      </c>
      <c r="F36" s="320" t="n">
        <v>769765.3002082428</v>
      </c>
      <c r="G36" s="294" t="n">
        <v>0.2308874862433384</v>
      </c>
      <c r="H36" s="321" t="n">
        <v>3114.642639490111</v>
      </c>
    </row>
    <row r="37">
      <c r="B37" s="241" t="n">
        <v>1</v>
      </c>
      <c r="C37" s="238" t="inlineStr">
        <is>
          <t>market_allocation</t>
        </is>
      </c>
      <c r="D37" s="238" t="inlineStr">
        <is>
          <t>FY2027Q3</t>
        </is>
      </c>
      <c r="E37" s="262" t="n">
        <v>1072.624992886211</v>
      </c>
      <c r="F37" s="320" t="n">
        <v>869701.5898566847</v>
      </c>
      <c r="G37" s="294" t="n">
        <v>0.2308139360994702</v>
      </c>
      <c r="H37" s="321" t="n">
        <v>3112.820776046185</v>
      </c>
    </row>
    <row r="38">
      <c r="B38" s="241" t="n">
        <v>1</v>
      </c>
      <c r="C38" s="238" t="inlineStr">
        <is>
          <t>market_allocation</t>
        </is>
      </c>
      <c r="D38" s="238" t="inlineStr">
        <is>
          <t>FY2027Q4</t>
        </is>
      </c>
      <c r="E38" s="262" t="n">
        <v>1007.28311718233</v>
      </c>
      <c r="F38" s="320" t="n">
        <v>818515.7578063485</v>
      </c>
      <c r="G38" s="294" t="n">
        <v>0.2307532535590583</v>
      </c>
      <c r="H38" s="321" t="n">
        <v>3111.192549815287</v>
      </c>
    </row>
    <row r="39">
      <c r="B39" s="241" t="n">
        <v>2</v>
      </c>
      <c r="C39" s="238" t="inlineStr">
        <is>
          <t>premium_recovery</t>
        </is>
      </c>
      <c r="D39" s="238" t="inlineStr">
        <is>
          <t>FY2027Q1</t>
        </is>
      </c>
      <c r="E39" s="262" t="n">
        <v>1025.412308726546</v>
      </c>
      <c r="F39" s="320" t="n">
        <v>852336.9423121235</v>
      </c>
      <c r="G39" s="294" t="n">
        <v>0.2311949263789927</v>
      </c>
      <c r="H39" s="321" t="n">
        <v>3117.098260634562</v>
      </c>
    </row>
    <row r="40">
      <c r="B40" s="241" t="n">
        <v>2</v>
      </c>
      <c r="C40" s="238" t="inlineStr">
        <is>
          <t>premium_recovery</t>
        </is>
      </c>
      <c r="D40" s="238" t="inlineStr">
        <is>
          <t>FY2027Q2</t>
        </is>
      </c>
      <c r="E40" s="262" t="n">
        <v>984.5288491051532</v>
      </c>
      <c r="F40" s="320" t="n">
        <v>816825.2110674168</v>
      </c>
      <c r="G40" s="294" t="n">
        <v>0.2312262010477369</v>
      </c>
      <c r="H40" s="321" t="n">
        <v>3114.642639490114</v>
      </c>
    </row>
    <row r="41">
      <c r="B41" s="241" t="n">
        <v>2</v>
      </c>
      <c r="C41" s="238" t="inlineStr">
        <is>
          <t>premium_recovery</t>
        </is>
      </c>
      <c r="D41" s="238" t="inlineStr">
        <is>
          <t>FY2027Q3</t>
        </is>
      </c>
      <c r="E41" s="262" t="n">
        <v>1094.015737527335</v>
      </c>
      <c r="F41" s="320" t="n">
        <v>893025.5372183173</v>
      </c>
      <c r="G41" s="294" t="n">
        <v>0.2312084431026211</v>
      </c>
      <c r="H41" s="321" t="n">
        <v>3112.820776046185</v>
      </c>
    </row>
    <row r="42">
      <c r="B42" s="241" t="n">
        <v>2</v>
      </c>
      <c r="C42" s="238" t="inlineStr">
        <is>
          <t>premium_recovery</t>
        </is>
      </c>
      <c r="D42" s="238" t="inlineStr">
        <is>
          <t>FY2027Q4</t>
        </is>
      </c>
      <c r="E42" s="262" t="n">
        <v>1004.978790429237</v>
      </c>
      <c r="F42" s="320" t="n">
        <v>816001.9552537798</v>
      </c>
      <c r="G42" s="294" t="n">
        <v>0.2311755535758398</v>
      </c>
      <c r="H42" s="321" t="n">
        <v>3111.192549815288</v>
      </c>
    </row>
    <row r="43">
      <c r="B43" s="241" t="n">
        <v>3</v>
      </c>
      <c r="C43" s="238" t="inlineStr">
        <is>
          <t>market_allocation+premium_recovery</t>
        </is>
      </c>
      <c r="D43" s="238" t="inlineStr">
        <is>
          <t>FY2027Q1</t>
        </is>
      </c>
      <c r="E43" s="262" t="n">
        <v>972.3837647010447</v>
      </c>
      <c r="F43" s="320" t="n">
        <v>794572.8457659445</v>
      </c>
      <c r="G43" s="294" t="n">
        <v>0.2311949263789928</v>
      </c>
      <c r="H43" s="321" t="n">
        <v>3117.098260634565</v>
      </c>
    </row>
    <row r="44">
      <c r="B44" s="241" t="n">
        <v>3</v>
      </c>
      <c r="C44" s="238" t="inlineStr">
        <is>
          <t>market_allocation+premium_recovery</t>
        </is>
      </c>
      <c r="D44" s="238" t="inlineStr">
        <is>
          <t>FY2027Q2</t>
        </is>
      </c>
      <c r="E44" s="262" t="n">
        <v>936.0788743096234</v>
      </c>
      <c r="F44" s="320" t="n">
        <v>764022.3094466435</v>
      </c>
      <c r="G44" s="294" t="n">
        <v>0.2312262010477366</v>
      </c>
      <c r="H44" s="321" t="n">
        <v>3114.642639490108</v>
      </c>
    </row>
    <row r="45">
      <c r="B45" s="241" t="n">
        <v>3</v>
      </c>
      <c r="C45" s="238" t="inlineStr">
        <is>
          <t>market_allocation+premium_recovery</t>
        </is>
      </c>
      <c r="D45" s="238" t="inlineStr">
        <is>
          <t>FY2027Q3</t>
        </is>
      </c>
      <c r="E45" s="262" t="n">
        <v>1065.717963136645</v>
      </c>
      <c r="F45" s="320" t="n">
        <v>862170.3327168867</v>
      </c>
      <c r="G45" s="294" t="n">
        <v>0.2312084431026214</v>
      </c>
      <c r="H45" s="321" t="n">
        <v>3112.820776046183</v>
      </c>
    </row>
    <row r="46">
      <c r="B46" s="241" t="n">
        <v>3</v>
      </c>
      <c r="C46" s="238" t="inlineStr">
        <is>
          <t>market_allocation+premium_recovery</t>
        </is>
      </c>
      <c r="D46" s="238" t="inlineStr">
        <is>
          <t>FY2027Q4</t>
        </is>
      </c>
      <c r="E46" s="262" t="n">
        <v>1000.339501397155</v>
      </c>
      <c r="F46" s="320" t="n">
        <v>810940.9296872901</v>
      </c>
      <c r="G46" s="294" t="n">
        <v>0.2311755535758398</v>
      </c>
      <c r="H46" s="321" t="n">
        <v>3111.192549815286</v>
      </c>
    </row>
    <row r="47">
      <c r="B47" s="241" t="n">
        <v>4</v>
      </c>
      <c r="C47" s="238" t="inlineStr">
        <is>
          <t>aftermarket</t>
        </is>
      </c>
      <c r="D47" s="238" t="inlineStr">
        <is>
          <t>FY2027Q1</t>
        </is>
      </c>
      <c r="E47" s="262" t="n">
        <v>1023.601230562588</v>
      </c>
      <c r="F47" s="320" t="n">
        <v>852258.8798105858</v>
      </c>
      <c r="G47" s="294" t="n">
        <v>0.229786375948788</v>
      </c>
      <c r="H47" s="321" t="n">
        <v>3102.012654856643</v>
      </c>
    </row>
    <row r="48">
      <c r="B48" s="241" t="n">
        <v>4</v>
      </c>
      <c r="C48" s="238" t="inlineStr">
        <is>
          <t>aftermarket</t>
        </is>
      </c>
      <c r="D48" s="238" t="inlineStr">
        <is>
          <t>FY2027Q2</t>
        </is>
      </c>
      <c r="E48" s="262" t="n">
        <v>979.0786458114052</v>
      </c>
      <c r="F48" s="320" t="n">
        <v>814545.0698317797</v>
      </c>
      <c r="G48" s="294" t="n">
        <v>0.2285241665519835</v>
      </c>
      <c r="H48" s="321" t="n">
        <v>3084.457226681674</v>
      </c>
    </row>
    <row r="49">
      <c r="B49" s="241" t="n">
        <v>4</v>
      </c>
      <c r="C49" s="238" t="inlineStr">
        <is>
          <t>aftermarket</t>
        </is>
      </c>
      <c r="D49" s="238" t="inlineStr">
        <is>
          <t>FY2027Q3</t>
        </is>
      </c>
      <c r="E49" s="262" t="n">
        <v>1082.962465171545</v>
      </c>
      <c r="F49" s="320" t="n">
        <v>887004.6485715101</v>
      </c>
      <c r="G49" s="294" t="n">
        <v>0.2272706929165285</v>
      </c>
      <c r="H49" s="321" t="n">
        <v>3067.509596547071</v>
      </c>
    </row>
    <row r="50">
      <c r="B50" s="241" t="n">
        <v>4</v>
      </c>
      <c r="C50" s="238" t="inlineStr">
        <is>
          <t>aftermarket</t>
        </is>
      </c>
      <c r="D50" s="238" t="inlineStr">
        <is>
          <t>FY2027Q4</t>
        </is>
      </c>
      <c r="E50" s="262" t="n">
        <v>989.7852790995721</v>
      </c>
      <c r="F50" s="320" t="n">
        <v>806779.3519579009</v>
      </c>
      <c r="G50" s="294" t="n">
        <v>0.226031363899194</v>
      </c>
      <c r="H50" s="321" t="n">
        <v>3050.729139659054</v>
      </c>
    </row>
    <row r="51">
      <c r="B51" s="241" t="n">
        <v>5</v>
      </c>
      <c r="C51" s="238" t="inlineStr">
        <is>
          <t>market_allocation+aftermarket</t>
        </is>
      </c>
      <c r="D51" s="238" t="inlineStr">
        <is>
          <t>FY2027Q1</t>
        </is>
      </c>
      <c r="E51" s="262" t="n">
        <v>970.6954259007376</v>
      </c>
      <c r="F51" s="320" t="n">
        <v>794500.0736720526</v>
      </c>
      <c r="G51" s="294" t="n">
        <v>0.2297863759487881</v>
      </c>
      <c r="H51" s="321" t="n">
        <v>3102.012654856643</v>
      </c>
    </row>
    <row r="52">
      <c r="B52" s="241" t="n">
        <v>5</v>
      </c>
      <c r="C52" s="238" t="inlineStr">
        <is>
          <t>market_allocation+aftermarket</t>
        </is>
      </c>
      <c r="D52" s="238" t="inlineStr">
        <is>
          <t>FY2027Q2</t>
        </is>
      </c>
      <c r="E52" s="262" t="n">
        <v>930.9809943090761</v>
      </c>
      <c r="F52" s="320" t="n">
        <v>761889.5658080879</v>
      </c>
      <c r="G52" s="294" t="n">
        <v>0.2285241665519839</v>
      </c>
      <c r="H52" s="321" t="n">
        <v>3084.45722668167</v>
      </c>
    </row>
    <row r="53">
      <c r="B53" s="241" t="n">
        <v>5</v>
      </c>
      <c r="C53" s="238" t="inlineStr">
        <is>
          <t>market_allocation+aftermarket</t>
        </is>
      </c>
      <c r="D53" s="238" t="inlineStr">
        <is>
          <t>FY2027Q3</t>
        </is>
      </c>
      <c r="E53" s="262" t="n">
        <v>1055.046595849339</v>
      </c>
      <c r="F53" s="320" t="n">
        <v>856357.4736758787</v>
      </c>
      <c r="G53" s="294" t="n">
        <v>0.2272706929165283</v>
      </c>
      <c r="H53" s="321" t="n">
        <v>3067.509596547074</v>
      </c>
    </row>
    <row r="54">
      <c r="B54" s="241" t="n">
        <v>5</v>
      </c>
      <c r="C54" s="238" t="inlineStr">
        <is>
          <t>market_allocation+aftermarket</t>
        </is>
      </c>
      <c r="D54" s="238" t="inlineStr">
        <is>
          <t>FY2027Q4</t>
        </is>
      </c>
      <c r="E54" s="262" t="n">
        <v>985.2402236030709</v>
      </c>
      <c r="F54" s="320" t="n">
        <v>801775.52702772</v>
      </c>
      <c r="G54" s="294" t="n">
        <v>0.226031363899194</v>
      </c>
      <c r="H54" s="321" t="n">
        <v>3050.729139659052</v>
      </c>
    </row>
    <row r="55">
      <c r="B55" s="241" t="n">
        <v>6</v>
      </c>
      <c r="C55" s="238" t="inlineStr">
        <is>
          <t>premium_recovery+aftermarket</t>
        </is>
      </c>
      <c r="D55" s="238" t="inlineStr">
        <is>
          <t>FY2027Q1</t>
        </is>
      </c>
      <c r="E55" s="262" t="n">
        <v>1019.678363647928</v>
      </c>
      <c r="F55" s="320" t="n">
        <v>847976.1718718394</v>
      </c>
      <c r="G55" s="294" t="n">
        <v>0.2300120749139815</v>
      </c>
      <c r="H55" s="321" t="n">
        <v>3102.012654856643</v>
      </c>
    </row>
    <row r="56">
      <c r="B56" s="241" t="n">
        <v>6</v>
      </c>
      <c r="C56" s="238" t="inlineStr">
        <is>
          <t>premium_recovery+aftermarket</t>
        </is>
      </c>
      <c r="D56" s="238" t="inlineStr">
        <is>
          <t>FY2027Q2</t>
        </is>
      </c>
      <c r="E56" s="262" t="n">
        <v>973.5275975365463</v>
      </c>
      <c r="F56" s="320" t="n">
        <v>808467.9904808606</v>
      </c>
      <c r="G56" s="294" t="n">
        <v>0.2288604459983519</v>
      </c>
      <c r="H56" s="321" t="n">
        <v>3084.457226681672</v>
      </c>
    </row>
    <row r="57">
      <c r="B57" s="241" t="n">
        <v>6</v>
      </c>
      <c r="C57" s="238" t="inlineStr">
        <is>
          <t>premium_recovery+aftermarket</t>
        </is>
      </c>
      <c r="D57" s="238" t="inlineStr">
        <is>
          <t>FY2027Q3</t>
        </is>
      </c>
      <c r="E57" s="262" t="n">
        <v>1075.965917174729</v>
      </c>
      <c r="F57" s="320" t="n">
        <v>879323.5540782944</v>
      </c>
      <c r="G57" s="294" t="n">
        <v>0.2276609362764543</v>
      </c>
      <c r="H57" s="321" t="n">
        <v>3067.509596547069</v>
      </c>
    </row>
    <row r="58">
      <c r="B58" s="241" t="n">
        <v>6</v>
      </c>
      <c r="C58" s="238" t="inlineStr">
        <is>
          <t>premium_recovery+aftermarket</t>
        </is>
      </c>
      <c r="D58" s="238" t="inlineStr">
        <is>
          <t>FY2027Q4</t>
        </is>
      </c>
      <c r="E58" s="262" t="n">
        <v>983.0035943641881</v>
      </c>
      <c r="F58" s="320" t="n">
        <v>799313.1366006486</v>
      </c>
      <c r="G58" s="294" t="n">
        <v>0.2264475662642594</v>
      </c>
      <c r="H58" s="321" t="n">
        <v>3050.729139659057</v>
      </c>
    </row>
    <row r="59">
      <c r="B59" s="241" t="n">
        <v>7</v>
      </c>
      <c r="C59" s="238" t="inlineStr">
        <is>
          <t>market_allocation+premium_recovery+aftermarket</t>
        </is>
      </c>
      <c r="D59" s="238" t="inlineStr">
        <is>
          <t>FY2027Q1</t>
        </is>
      </c>
      <c r="E59" s="262" t="n">
        <v>967.0384173009616</v>
      </c>
      <c r="F59" s="320" t="n">
        <v>790507.6109902831</v>
      </c>
      <c r="G59" s="294" t="n">
        <v>0.2300120749139814</v>
      </c>
      <c r="H59" s="321" t="n">
        <v>3102.012654856646</v>
      </c>
    </row>
    <row r="60">
      <c r="B60" s="241" t="n">
        <v>7</v>
      </c>
      <c r="C60" s="238" t="inlineStr">
        <is>
          <t>market_allocation+premium_recovery+aftermarket</t>
        </is>
      </c>
      <c r="D60" s="238" t="inlineStr">
        <is>
          <t>FY2027Q2</t>
        </is>
      </c>
      <c r="E60" s="262" t="n">
        <v>925.7887883568802</v>
      </c>
      <c r="F60" s="320" t="n">
        <v>756205.3335666348</v>
      </c>
      <c r="G60" s="294" t="n">
        <v>0.2288604459983519</v>
      </c>
      <c r="H60" s="321" t="n">
        <v>3084.457226681676</v>
      </c>
    </row>
    <row r="61">
      <c r="B61" s="241" t="n">
        <v>7</v>
      </c>
      <c r="C61" s="238" t="inlineStr">
        <is>
          <t>market_allocation+premium_recovery+aftermarket</t>
        </is>
      </c>
      <c r="D61" s="238" t="inlineStr">
        <is>
          <t>FY2027Q3</t>
        </is>
      </c>
      <c r="E61" s="262" t="n">
        <v>1048.291787769522</v>
      </c>
      <c r="F61" s="320" t="n">
        <v>848941.7710796534</v>
      </c>
      <c r="G61" s="294" t="n">
        <v>0.2276609362764544</v>
      </c>
      <c r="H61" s="321" t="n">
        <v>3067.509596547073</v>
      </c>
    </row>
    <row r="62">
      <c r="B62" s="241" t="n">
        <v>7</v>
      </c>
      <c r="C62" s="238" t="inlineStr">
        <is>
          <t>market_allocation+premium_recovery+aftermarket</t>
        </is>
      </c>
      <c r="D62" s="238" t="inlineStr">
        <is>
          <t>FY2027Q4</t>
        </is>
      </c>
      <c r="E62" s="262" t="n">
        <v>978.5006003843397</v>
      </c>
      <c r="F62" s="320" t="n">
        <v>794355.6187982442</v>
      </c>
      <c r="G62" s="294" t="n">
        <v>0.2264475662642594</v>
      </c>
      <c r="H62" s="321" t="n">
        <v>3050.729139659056</v>
      </c>
    </row>
    <row r="63">
      <c r="B63" s="241" t="n">
        <v>8</v>
      </c>
      <c r="C63" s="238" t="inlineStr">
        <is>
          <t>fleet_mix</t>
        </is>
      </c>
      <c r="D63" s="238" t="inlineStr">
        <is>
          <t>FY2027Q1</t>
        </is>
      </c>
      <c r="E63" s="262" t="n">
        <v>1025.507486459717</v>
      </c>
      <c r="F63" s="320" t="n">
        <v>854111.0012595253</v>
      </c>
      <c r="G63" s="294" t="n">
        <v>0.2309161499901453</v>
      </c>
      <c r="H63" s="321" t="n">
        <v>3109.561956774737</v>
      </c>
    </row>
    <row r="64">
      <c r="B64" s="241" t="n">
        <v>8</v>
      </c>
      <c r="C64" s="238" t="inlineStr">
        <is>
          <t>fleet_mix</t>
        </is>
      </c>
      <c r="D64" s="238" t="inlineStr">
        <is>
          <t>FY2027Q2</t>
        </is>
      </c>
      <c r="E64" s="262" t="n">
        <v>986.4830605061766</v>
      </c>
      <c r="F64" s="320" t="n">
        <v>820545.7130904585</v>
      </c>
      <c r="G64" s="294" t="n">
        <v>0.2307648990700315</v>
      </c>
      <c r="H64" s="321" t="n">
        <v>3107.981665915742</v>
      </c>
    </row>
    <row r="65">
      <c r="B65" s="241" t="n">
        <v>8</v>
      </c>
      <c r="C65" s="238" t="inlineStr">
        <is>
          <t>fleet_mix</t>
        </is>
      </c>
      <c r="D65" s="238" t="inlineStr">
        <is>
          <t>FY2027Q3</t>
        </is>
      </c>
      <c r="E65" s="262" t="n">
        <v>1096.908899781877</v>
      </c>
      <c r="F65" s="320" t="n">
        <v>897827.2260926729</v>
      </c>
      <c r="G65" s="294" t="n">
        <v>0.2305897916177987</v>
      </c>
      <c r="H65" s="321" t="n">
        <v>3107.083953240975</v>
      </c>
    </row>
    <row r="66">
      <c r="B66" s="241" t="n">
        <v>8</v>
      </c>
      <c r="C66" s="238" t="inlineStr">
        <is>
          <t>fleet_mix</t>
        </is>
      </c>
      <c r="D66" s="238" t="inlineStr">
        <is>
          <t>FY2027Q4</t>
        </is>
      </c>
      <c r="E66" s="262" t="n">
        <v>1007.782576327108</v>
      </c>
      <c r="F66" s="320" t="n">
        <v>820458.3910493366</v>
      </c>
      <c r="G66" s="294" t="n">
        <v>0.2304178404853408</v>
      </c>
      <c r="H66" s="321" t="n">
        <v>3106.395211293683</v>
      </c>
    </row>
    <row r="67">
      <c r="B67" s="241" t="n">
        <v>9</v>
      </c>
      <c r="C67" s="238" t="inlineStr">
        <is>
          <t>market_allocation+fleet_mix</t>
        </is>
      </c>
      <c r="D67" s="238" t="inlineStr">
        <is>
          <t>FY2027Q1</t>
        </is>
      </c>
      <c r="E67" s="262" t="n">
        <v>972.4724921027863</v>
      </c>
      <c r="F67" s="320" t="n">
        <v>796226.6741950752</v>
      </c>
      <c r="G67" s="294" t="n">
        <v>0.2309161499901456</v>
      </c>
      <c r="H67" s="321" t="n">
        <v>3109.561956774737</v>
      </c>
    </row>
    <row r="68">
      <c r="B68" s="241" t="n">
        <v>9</v>
      </c>
      <c r="C68" s="238" t="inlineStr">
        <is>
          <t>market_allocation+fleet_mix</t>
        </is>
      </c>
      <c r="D68" s="238" t="inlineStr">
        <is>
          <t>FY2027Q2</t>
        </is>
      </c>
      <c r="E68" s="262" t="n">
        <v>937.9067575428124</v>
      </c>
      <c r="F68" s="320" t="n">
        <v>767502.3030969732</v>
      </c>
      <c r="G68" s="294" t="n">
        <v>0.2307648990700318</v>
      </c>
      <c r="H68" s="321" t="n">
        <v>3107.981665915748</v>
      </c>
    </row>
    <row r="69">
      <c r="B69" s="241" t="n">
        <v>9</v>
      </c>
      <c r="C69" s="238" t="inlineStr">
        <is>
          <t>market_allocation+fleet_mix</t>
        </is>
      </c>
      <c r="D69" s="238" t="inlineStr">
        <is>
          <t>FY2027Q3</t>
        </is>
      </c>
      <c r="E69" s="262" t="n">
        <v>1068.511162837713</v>
      </c>
      <c r="F69" s="320" t="n">
        <v>866806.1169379065</v>
      </c>
      <c r="G69" s="294" t="n">
        <v>0.2305897916177984</v>
      </c>
      <c r="H69" s="321" t="n">
        <v>3107.083953240977</v>
      </c>
    </row>
    <row r="70">
      <c r="B70" s="241" t="n">
        <v>9</v>
      </c>
      <c r="C70" s="238" t="inlineStr">
        <is>
          <t>market_allocation+fleet_mix</t>
        </is>
      </c>
      <c r="D70" s="238" t="inlineStr">
        <is>
          <t>FY2027Q4</t>
        </is>
      </c>
      <c r="E70" s="262" t="n">
        <v>1003.125897591459</v>
      </c>
      <c r="F70" s="320" t="n">
        <v>815369.7256771432</v>
      </c>
      <c r="G70" s="294" t="n">
        <v>0.2304178404853408</v>
      </c>
      <c r="H70" s="321" t="n">
        <v>3106.395211293683</v>
      </c>
    </row>
    <row r="71">
      <c r="B71" s="241" t="n">
        <v>10</v>
      </c>
      <c r="C71" s="238" t="inlineStr">
        <is>
          <t>premium_recovery+fleet_mix</t>
        </is>
      </c>
      <c r="D71" s="238" t="inlineStr">
        <is>
          <t>FY2027Q1</t>
        </is>
      </c>
      <c r="E71" s="262" t="n">
        <v>1021.575040369695</v>
      </c>
      <c r="F71" s="320" t="n">
        <v>849818.986177818</v>
      </c>
      <c r="G71" s="294" t="n">
        <v>0.231142625616621</v>
      </c>
      <c r="H71" s="321" t="n">
        <v>3109.561956774742</v>
      </c>
    </row>
    <row r="72">
      <c r="B72" s="241" t="n">
        <v>10</v>
      </c>
      <c r="C72" s="238" t="inlineStr">
        <is>
          <t>premium_recovery+fleet_mix</t>
        </is>
      </c>
      <c r="D72" s="238" t="inlineStr">
        <is>
          <t>FY2027Q2</t>
        </is>
      </c>
      <c r="E72" s="262" t="n">
        <v>980.8767700878014</v>
      </c>
      <c r="F72" s="320" t="n">
        <v>814423.8647186563</v>
      </c>
      <c r="G72" s="294" t="n">
        <v>0.2311034880750509</v>
      </c>
      <c r="H72" s="321" t="n">
        <v>3107.981665915745</v>
      </c>
    </row>
    <row r="73">
      <c r="B73" s="241" t="n">
        <v>10</v>
      </c>
      <c r="C73" s="238" t="inlineStr">
        <is>
          <t>premium_recovery+fleet_mix</t>
        </is>
      </c>
      <c r="D73" s="238" t="inlineStr">
        <is>
          <t>FY2027Q3</t>
        </is>
      </c>
      <c r="E73" s="262" t="n">
        <v>1089.791581412258</v>
      </c>
      <c r="F73" s="320" t="n">
        <v>890052.4125409003</v>
      </c>
      <c r="G73" s="294" t="n">
        <v>0.2309840305593108</v>
      </c>
      <c r="H73" s="321" t="n">
        <v>3107.083953240974</v>
      </c>
    </row>
    <row r="74">
      <c r="B74" s="241" t="n">
        <v>10</v>
      </c>
      <c r="C74" s="238" t="inlineStr">
        <is>
          <t>premium_recovery+fleet_mix</t>
        </is>
      </c>
      <c r="D74" s="238" t="inlineStr">
        <is>
          <t>FY2027Q4</t>
        </is>
      </c>
      <c r="E74" s="262" t="n">
        <v>1000.83433837414</v>
      </c>
      <c r="F74" s="320" t="n">
        <v>812865.5851298833</v>
      </c>
      <c r="G74" s="294" t="n">
        <v>0.2308397108684518</v>
      </c>
      <c r="H74" s="321" t="n">
        <v>3106.395211293685</v>
      </c>
    </row>
    <row r="75">
      <c r="B75" s="241" t="n">
        <v>11</v>
      </c>
      <c r="C75" s="238" t="inlineStr">
        <is>
          <t>market_allocation+premium_recovery+fleet_mix</t>
        </is>
      </c>
      <c r="D75" s="238" t="inlineStr">
        <is>
          <t>FY2027Q1</t>
        </is>
      </c>
      <c r="E75" s="262" t="n">
        <v>968.8065535220962</v>
      </c>
      <c r="F75" s="320" t="n">
        <v>792225.5351287683</v>
      </c>
      <c r="G75" s="294" t="n">
        <v>0.2311426256166211</v>
      </c>
      <c r="H75" s="321" t="n">
        <v>3109.561956774739</v>
      </c>
    </row>
    <row r="76">
      <c r="B76" s="241" t="n">
        <v>11</v>
      </c>
      <c r="C76" s="238" t="inlineStr">
        <is>
          <t>market_allocation+premium_recovery+fleet_mix</t>
        </is>
      </c>
      <c r="D76" s="238" t="inlineStr">
        <is>
          <t>FY2027Q2</t>
        </is>
      </c>
      <c r="E76" s="262" t="n">
        <v>932.6628805237893</v>
      </c>
      <c r="F76" s="320" t="n">
        <v>761776.1958861137</v>
      </c>
      <c r="G76" s="294" t="n">
        <v>0.2311034880750509</v>
      </c>
      <c r="H76" s="321" t="n">
        <v>3107.981665915745</v>
      </c>
    </row>
    <row r="77">
      <c r="B77" s="241" t="n">
        <v>11</v>
      </c>
      <c r="C77" s="238" t="inlineStr">
        <is>
          <t>market_allocation+premium_recovery+fleet_mix</t>
        </is>
      </c>
      <c r="D77" s="238" t="inlineStr">
        <is>
          <t>FY2027Q3</t>
        </is>
      </c>
      <c r="E77" s="262" t="n">
        <v>1061.639757159997</v>
      </c>
      <c r="F77" s="320" t="n">
        <v>859299.9333996139</v>
      </c>
      <c r="G77" s="294" t="n">
        <v>0.2309840305593108</v>
      </c>
      <c r="H77" s="321" t="n">
        <v>3107.083953240976</v>
      </c>
    </row>
    <row r="78">
      <c r="B78" s="241" t="n">
        <v>11</v>
      </c>
      <c r="C78" s="238" t="inlineStr">
        <is>
          <t>market_allocation+premium_recovery+fleet_mix</t>
        </is>
      </c>
      <c r="D78" s="238" t="inlineStr">
        <is>
          <t>FY2027Q4</t>
        </is>
      </c>
      <c r="E78" s="262" t="n">
        <v>996.2207541552331</v>
      </c>
      <c r="F78" s="320" t="n">
        <v>807824.0120282808</v>
      </c>
      <c r="G78" s="294" t="n">
        <v>0.2308397108684518</v>
      </c>
      <c r="H78" s="321" t="n">
        <v>3106.395211293685</v>
      </c>
    </row>
    <row r="79">
      <c r="B79" s="241" t="n">
        <v>12</v>
      </c>
      <c r="C79" s="238" t="inlineStr">
        <is>
          <t>aftermarket+fleet_mix</t>
        </is>
      </c>
      <c r="D79" s="238" t="inlineStr">
        <is>
          <t>FY2027Q1</t>
        </is>
      </c>
      <c r="E79" s="262" t="n">
        <v>1019.756447743504</v>
      </c>
      <c r="F79" s="320" t="n">
        <v>849735.7418255534</v>
      </c>
      <c r="G79" s="294" t="n">
        <v>0.2297329148627688</v>
      </c>
      <c r="H79" s="321" t="n">
        <v>3094.494833579958</v>
      </c>
    </row>
    <row r="80">
      <c r="B80" s="241" t="n">
        <v>12</v>
      </c>
      <c r="C80" s="238" t="inlineStr">
        <is>
          <t>aftermarket+fleet_mix</t>
        </is>
      </c>
      <c r="D80" s="238" t="inlineStr">
        <is>
          <t>FY2027Q2</t>
        </is>
      </c>
      <c r="E80" s="262" t="n">
        <v>975.4231429609433</v>
      </c>
      <c r="F80" s="320" t="n">
        <v>812141.6884811353</v>
      </c>
      <c r="G80" s="294" t="n">
        <v>0.2284003761465528</v>
      </c>
      <c r="H80" s="321" t="n">
        <v>3077.82238369579</v>
      </c>
    </row>
    <row r="81">
      <c r="B81" s="241" t="n">
        <v>12</v>
      </c>
      <c r="C81" s="238" t="inlineStr">
        <is>
          <t>aftermarket+fleet_mix</t>
        </is>
      </c>
      <c r="D81" s="238" t="inlineStr">
        <is>
          <t>FY2027Q3</t>
        </is>
      </c>
      <c r="E81" s="262" t="n">
        <v>1078.761473144321</v>
      </c>
      <c r="F81" s="320" t="n">
        <v>884045.99239547</v>
      </c>
      <c r="G81" s="294" t="n">
        <v>0.2270485580569535</v>
      </c>
      <c r="H81" s="321" t="n">
        <v>3061.798511058403</v>
      </c>
    </row>
    <row r="82">
      <c r="B82" s="241" t="n">
        <v>12</v>
      </c>
      <c r="C82" s="238" t="inlineStr">
        <is>
          <t>aftermarket+fleet_mix</t>
        </is>
      </c>
      <c r="D82" s="238" t="inlineStr">
        <is>
          <t>FY2027Q4</t>
        </is>
      </c>
      <c r="E82" s="262" t="n">
        <v>985.7073896675735</v>
      </c>
      <c r="F82" s="320" t="n">
        <v>803684.5759313126</v>
      </c>
      <c r="G82" s="294" t="n">
        <v>0.2257045450764831</v>
      </c>
      <c r="H82" s="321" t="n">
        <v>3045.949453154524</v>
      </c>
    </row>
    <row r="83">
      <c r="B83" s="241" t="n">
        <v>13</v>
      </c>
      <c r="C83" s="238" t="inlineStr">
        <is>
          <t>market_allocation+aftermarket+fleet_mix</t>
        </is>
      </c>
      <c r="D83" s="238" t="inlineStr">
        <is>
          <t>FY2027Q1</t>
        </is>
      </c>
      <c r="E83" s="262" t="n">
        <v>967.1112095254349</v>
      </c>
      <c r="F83" s="320" t="n">
        <v>792147.9323656006</v>
      </c>
      <c r="G83" s="294" t="n">
        <v>0.2297329148627689</v>
      </c>
      <c r="H83" s="321" t="n">
        <v>3094.494833579958</v>
      </c>
    </row>
    <row r="84">
      <c r="B84" s="241" t="n">
        <v>13</v>
      </c>
      <c r="C84" s="238" t="inlineStr">
        <is>
          <t>market_allocation+aftermarket+fleet_mix</t>
        </is>
      </c>
      <c r="D84" s="238" t="inlineStr">
        <is>
          <t>FY2027Q2</t>
        </is>
      </c>
      <c r="E84" s="262" t="n">
        <v>927.5617980206206</v>
      </c>
      <c r="F84" s="320" t="n">
        <v>759641.5487964673</v>
      </c>
      <c r="G84" s="294" t="n">
        <v>0.2284003761465531</v>
      </c>
      <c r="H84" s="321" t="n">
        <v>3077.822383695789</v>
      </c>
    </row>
    <row r="85">
      <c r="B85" s="241" t="n">
        <v>13</v>
      </c>
      <c r="C85" s="238" t="inlineStr">
        <is>
          <t>market_allocation+aftermarket+fleet_mix</t>
        </is>
      </c>
      <c r="D85" s="238" t="inlineStr">
        <is>
          <t>FY2027Q3</t>
        </is>
      </c>
      <c r="E85" s="262" t="n">
        <v>1050.990753610902</v>
      </c>
      <c r="F85" s="320" t="n">
        <v>853501.0429542696</v>
      </c>
      <c r="G85" s="294" t="n">
        <v>0.2270485580569532</v>
      </c>
      <c r="H85" s="321" t="n">
        <v>3061.798511058405</v>
      </c>
    </row>
    <row r="86">
      <c r="B86" s="241" t="n">
        <v>13</v>
      </c>
      <c r="C86" s="238" t="inlineStr">
        <is>
          <t>market_allocation+aftermarket+fleet_mix</t>
        </is>
      </c>
      <c r="D86" s="238" t="inlineStr">
        <is>
          <t>FY2027Q4</t>
        </is>
      </c>
      <c r="E86" s="262" t="n">
        <v>981.1876261480581</v>
      </c>
      <c r="F86" s="320" t="n">
        <v>798699.9454901796</v>
      </c>
      <c r="G86" s="294" t="n">
        <v>0.2257045450764831</v>
      </c>
      <c r="H86" s="321" t="n">
        <v>3045.949453154524</v>
      </c>
    </row>
    <row r="87">
      <c r="B87" s="241" t="n">
        <v>14</v>
      </c>
      <c r="C87" s="238" t="inlineStr">
        <is>
          <t>premium_recovery+aftermarket+fleet_mix</t>
        </is>
      </c>
      <c r="D87" s="238" t="inlineStr">
        <is>
          <t>FY2027Q1</t>
        </is>
      </c>
      <c r="E87" s="262" t="n">
        <v>1015.852901345523</v>
      </c>
      <c r="F87" s="320" t="n">
        <v>845465.7129721582</v>
      </c>
      <c r="G87" s="294" t="n">
        <v>0.2299585769955041</v>
      </c>
      <c r="H87" s="321" t="n">
        <v>3094.49483357996</v>
      </c>
    </row>
    <row r="88">
      <c r="B88" s="241" t="n">
        <v>14</v>
      </c>
      <c r="C88" s="238" t="inlineStr">
        <is>
          <t>premium_recovery+aftermarket+fleet_mix</t>
        </is>
      </c>
      <c r="D88" s="238" t="inlineStr">
        <is>
          <t>FY2027Q2</t>
        </is>
      </c>
      <c r="E88" s="262" t="n">
        <v>969.8993673094324</v>
      </c>
      <c r="F88" s="320" t="n">
        <v>806082.5400461577</v>
      </c>
      <c r="G88" s="294" t="n">
        <v>0.2287365274412941</v>
      </c>
      <c r="H88" s="321" t="n">
        <v>3077.82238369579</v>
      </c>
    </row>
    <row r="89">
      <c r="B89" s="241" t="n">
        <v>14</v>
      </c>
      <c r="C89" s="238" t="inlineStr">
        <is>
          <t>premium_recovery+aftermarket+fleet_mix</t>
        </is>
      </c>
      <c r="D89" s="238" t="inlineStr">
        <is>
          <t>FY2027Q3</t>
        </is>
      </c>
      <c r="E89" s="262" t="n">
        <v>1071.801304006148</v>
      </c>
      <c r="F89" s="320" t="n">
        <v>876390.5186447143</v>
      </c>
      <c r="G89" s="294" t="n">
        <v>0.2274385322574677</v>
      </c>
      <c r="H89" s="321" t="n">
        <v>3061.798511058397</v>
      </c>
    </row>
    <row r="90">
      <c r="B90" s="241" t="n">
        <v>14</v>
      </c>
      <c r="C90" s="238" t="inlineStr">
        <is>
          <t>premium_recovery+aftermarket+fleet_mix</t>
        </is>
      </c>
      <c r="D90" s="238" t="inlineStr">
        <is>
          <t>FY2027Q4</t>
        </is>
      </c>
      <c r="E90" s="262" t="n">
        <v>978.9634431323916</v>
      </c>
      <c r="F90" s="320" t="n">
        <v>796247.0007025434</v>
      </c>
      <c r="G90" s="294" t="n">
        <v>0.2261203214707115</v>
      </c>
      <c r="H90" s="321" t="n">
        <v>3045.949453154521</v>
      </c>
    </row>
    <row r="91">
      <c r="B91" s="241" t="n">
        <v>15</v>
      </c>
      <c r="C91" s="238" t="inlineStr">
        <is>
          <t>market_allocation+premium_recovery+aftermarket+fleet_mix</t>
        </is>
      </c>
      <c r="D91" s="238" t="inlineStr">
        <is>
          <t>FY2027Q1</t>
        </is>
      </c>
      <c r="E91" s="262" t="n">
        <v>963.4722120632231</v>
      </c>
      <c r="F91" s="320" t="n">
        <v>788167.2894893914</v>
      </c>
      <c r="G91" s="294" t="n">
        <v>0.2299585769955042</v>
      </c>
      <c r="H91" s="321" t="n">
        <v>3094.494833579958</v>
      </c>
    </row>
    <row r="92">
      <c r="B92" s="241" t="n">
        <v>15</v>
      </c>
      <c r="C92" s="238" t="inlineStr">
        <is>
          <t>market_allocation+premium_recovery+aftermarket+fleet_mix</t>
        </is>
      </c>
      <c r="D92" s="238" t="inlineStr">
        <is>
          <t>FY2027Q2</t>
        </is>
      </c>
      <c r="E92" s="262" t="n">
        <v>922.39510167855</v>
      </c>
      <c r="F92" s="320" t="n">
        <v>753974.0883436708</v>
      </c>
      <c r="G92" s="294" t="n">
        <v>0.2287365274412941</v>
      </c>
      <c r="H92" s="321" t="n">
        <v>3077.82238369579</v>
      </c>
    </row>
    <row r="93">
      <c r="B93" s="241" t="n">
        <v>15</v>
      </c>
      <c r="C93" s="238" t="inlineStr">
        <is>
          <t>market_allocation+premium_recovery+aftermarket+fleet_mix</t>
        </is>
      </c>
      <c r="D93" s="238" t="inlineStr">
        <is>
          <t>FY2027Q3</t>
        </is>
      </c>
      <c r="E93" s="262" t="n">
        <v>1044.271067452411</v>
      </c>
      <c r="F93" s="320" t="n">
        <v>846110.0758702225</v>
      </c>
      <c r="G93" s="294" t="n">
        <v>0.2274385322574679</v>
      </c>
      <c r="H93" s="321" t="n">
        <v>3061.7985110584</v>
      </c>
    </row>
    <row r="94">
      <c r="B94" s="241" t="n">
        <v>15</v>
      </c>
      <c r="C94" s="238" t="inlineStr">
        <is>
          <t>market_allocation+premium_recovery+aftermarket+fleet_mix</t>
        </is>
      </c>
      <c r="D94" s="238" t="inlineStr">
        <is>
          <t>FY2027Q4</t>
        </is>
      </c>
      <c r="E94" s="262" t="n">
        <v>974.4855070688204</v>
      </c>
      <c r="F94" s="320" t="n">
        <v>791308.4997567419</v>
      </c>
      <c r="G94" s="294" t="n">
        <v>0.2261203214707115</v>
      </c>
      <c r="H94" s="321" t="n">
        <v>3045.94945315452</v>
      </c>
    </row>
    <row r="96">
      <c r="B96" s="242" t="inlineStr">
        <is>
          <t>CCC family scenario summary (29 Sep): reference $4,093.08m; larger shift $4,002.41m</t>
        </is>
      </c>
    </row>
    <row r="97">
      <c r="B97" s="317" t="inlineStr">
        <is>
          <t>scenario</t>
        </is>
      </c>
      <c r="C97" s="318" t="inlineStr">
        <is>
          <t>repair_change</t>
        </is>
      </c>
      <c r="D97" s="318" t="inlineStr">
        <is>
          <t>auction_price_change_at_fixed_selection</t>
        </is>
      </c>
      <c r="E97" s="318" t="inlineStr">
        <is>
          <t>expected_salvage_change</t>
        </is>
      </c>
      <c r="F97" s="318" t="inlineStr">
        <is>
          <t>FY_insurance_unit_delta</t>
        </is>
      </c>
      <c r="G97" s="318" t="inlineStr">
        <is>
          <t>FY_insurance_allin_RPU_delta</t>
        </is>
      </c>
      <c r="H97" s="318" t="inlineStr">
        <is>
          <t>FY_legacy_service_musd</t>
        </is>
      </c>
      <c r="I97" s="318" t="inlineStr">
        <is>
          <t>FY_delta_vs_reference_musd</t>
        </is>
      </c>
      <c r="J97" s="318" t="inlineStr">
        <is>
          <t>FY_delta_vs_reference_pct</t>
        </is>
      </c>
      <c r="K97" s="318" t="inlineStr">
        <is>
          <t>FY_gap_to_dated_JPM_service_musd</t>
        </is>
      </c>
      <c r="L97" s="318" t="inlineStr">
        <is>
          <t>FY_gap_to_dated_JPM_service_pct</t>
        </is>
      </c>
      <c r="M97" s="318" t="inlineStr">
        <is>
          <t>H1_delta_vs_reference_musd</t>
        </is>
      </c>
      <c r="N97" s="318" t="inlineStr">
        <is>
          <t>threshold_responsive_fraction</t>
        </is>
      </c>
      <c r="O97" s="318"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17" t="inlineStr">
        <is>
          <t>scenario</t>
        </is>
      </c>
      <c r="C105" s="318" t="inlineStr">
        <is>
          <t>period</t>
        </is>
      </c>
      <c r="D105" s="318" t="inlineStr">
        <is>
          <t>legacy_service_musd</t>
        </is>
      </c>
      <c r="E105" s="318" t="inlineStr">
        <is>
          <t>legacy_total_musd</t>
        </is>
      </c>
      <c r="F105" s="318" t="inlineStr">
        <is>
          <t>insurance_units</t>
        </is>
      </c>
      <c r="G105" s="318" t="inlineStr">
        <is>
          <t>insurance_unit_delta_vs_reference</t>
        </is>
      </c>
      <c r="H105" s="318" t="inlineStr">
        <is>
          <t>insurance_units_yoy</t>
        </is>
      </c>
      <c r="I105" s="318" t="inlineStr">
        <is>
          <t>insurance_allin_RPU</t>
        </is>
      </c>
      <c r="J105" s="318" t="inlineStr">
        <is>
          <t>insurance_RPU_delta_vs_reference</t>
        </is>
      </c>
      <c r="K105" s="318" t="inlineStr">
        <is>
          <t>insurance_RPU_yoy</t>
        </is>
      </c>
      <c r="L105" s="318" t="inlineStr">
        <is>
          <t>selected_ASP_delta_vs_reference</t>
        </is>
      </c>
      <c r="M105" s="318"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17" t="inlineStr">
        <is>
          <t>source_body</t>
        </is>
      </c>
      <c r="C128" s="318" t="inlineStr">
        <is>
          <t>age_group</t>
        </is>
      </c>
      <c r="D128" s="318" t="inlineStr">
        <is>
          <t>observed_tlf</t>
        </is>
      </c>
      <c r="E128" s="318" t="inlineStr">
        <is>
          <t>previous_shape_tlf</t>
        </is>
      </c>
      <c r="F128" s="318" t="inlineStr">
        <is>
          <t>calibrated_tlf</t>
        </is>
      </c>
      <c r="G128" s="318" t="inlineStr">
        <is>
          <t>repair_multiplier</t>
        </is>
      </c>
      <c r="H128" s="318" t="inlineStr">
        <is>
          <t>derived_claim_weight</t>
        </is>
      </c>
      <c r="I128" s="318" t="inlineStr">
        <is>
          <t>observed_tl_mix</t>
        </is>
      </c>
    </row>
    <row r="129">
      <c r="B129" s="238" t="inlineStr">
        <is>
          <t>Car</t>
        </is>
      </c>
      <c r="C129" s="241" t="n">
        <v>0</v>
      </c>
      <c r="D129" s="294" t="n">
        <v>0.1183813516328002</v>
      </c>
      <c r="E129" s="294" t="n">
        <v>0.1091230123939371</v>
      </c>
      <c r="F129" s="294" t="n">
        <v>0.118381351632816</v>
      </c>
      <c r="G129" s="297" t="n">
        <v>1.059633582008694</v>
      </c>
      <c r="H129" s="322" t="n">
        <v>0.01593130178343029</v>
      </c>
      <c r="I129" s="322" t="n">
        <v>0.008156041846226276</v>
      </c>
    </row>
    <row r="130">
      <c r="B130" s="238" t="inlineStr">
        <is>
          <t>Car</t>
        </is>
      </c>
      <c r="C130" s="241" t="n">
        <v>1</v>
      </c>
      <c r="D130" s="294" t="n">
        <v>0.1415623139327181</v>
      </c>
      <c r="E130" s="294" t="n">
        <v>0.1205647558195921</v>
      </c>
      <c r="F130" s="294" t="n">
        <v>0.1415623139327016</v>
      </c>
      <c r="G130" s="297" t="n">
        <v>1.12586789939437</v>
      </c>
      <c r="H130" s="322" t="n">
        <v>0.06094522059338143</v>
      </c>
      <c r="I130" s="322" t="n">
        <v>0.0373105965404406</v>
      </c>
    </row>
    <row r="131">
      <c r="B131" s="238" t="inlineStr">
        <is>
          <t>Car</t>
        </is>
      </c>
      <c r="C131" s="241" t="n">
        <v>2</v>
      </c>
      <c r="D131" s="294" t="n">
        <v>0.1977589061254522</v>
      </c>
      <c r="E131" s="294" t="n">
        <v>0.1735868709385493</v>
      </c>
      <c r="F131" s="294" t="n">
        <v>0.1977589061255647</v>
      </c>
      <c r="G131" s="297" t="n">
        <v>1.113123588957844</v>
      </c>
      <c r="H131" s="322" t="n">
        <v>0.06935348150426961</v>
      </c>
      <c r="I131" s="322" t="n">
        <v>0.05931290634620359</v>
      </c>
    </row>
    <row r="132">
      <c r="B132" s="238" t="inlineStr">
        <is>
          <t>Car</t>
        </is>
      </c>
      <c r="C132" s="241" t="n">
        <v>3</v>
      </c>
      <c r="D132" s="294" t="n">
        <v>0.3725497056948419</v>
      </c>
      <c r="E132" s="294" t="n">
        <v>0.3657485697409447</v>
      </c>
      <c r="F132" s="294" t="n">
        <v>0.3725497056951755</v>
      </c>
      <c r="G132" s="297" t="n">
        <v>1.015330596299799</v>
      </c>
      <c r="H132" s="322" t="n">
        <v>0.2390134418122138</v>
      </c>
      <c r="I132" s="322" t="n">
        <v>0.3850804202277194</v>
      </c>
    </row>
    <row r="133">
      <c r="B133" s="238" t="inlineStr">
        <is>
          <t>Pickup</t>
        </is>
      </c>
      <c r="C133" s="241" t="n">
        <v>0</v>
      </c>
      <c r="D133" s="294" t="n">
        <v>0.07939869462574642</v>
      </c>
      <c r="E133" s="294" t="n">
        <v>0.09021245195389849</v>
      </c>
      <c r="F133" s="294" t="n">
        <v>0.07939869462582583</v>
      </c>
      <c r="G133" s="297" t="n">
        <v>0.9188939735447921</v>
      </c>
      <c r="H133" s="322" t="n">
        <v>0.006134221765749301</v>
      </c>
      <c r="I133" s="322" t="n">
        <v>0.00210628784544408</v>
      </c>
    </row>
    <row r="134">
      <c r="B134" s="238" t="inlineStr">
        <is>
          <t>Pickup</t>
        </is>
      </c>
      <c r="C134" s="241" t="n">
        <v>1</v>
      </c>
      <c r="D134" s="294" t="n">
        <v>0.07724710964719902</v>
      </c>
      <c r="E134" s="294" t="n">
        <v>0.1001470462555045</v>
      </c>
      <c r="F134" s="294" t="n">
        <v>0.07724710964711079</v>
      </c>
      <c r="G134" s="297" t="n">
        <v>0.8406645976928742</v>
      </c>
      <c r="H134" s="322" t="n">
        <v>0.03425588828501813</v>
      </c>
      <c r="I134" s="322" t="n">
        <v>0.01144359182152214</v>
      </c>
    </row>
    <row r="135">
      <c r="B135" s="238" t="inlineStr">
        <is>
          <t>Pickup</t>
        </is>
      </c>
      <c r="C135" s="241" t="n">
        <v>2</v>
      </c>
      <c r="D135" s="294" t="n">
        <v>0.1016189230849166</v>
      </c>
      <c r="E135" s="294" t="n">
        <v>0.1468769091148332</v>
      </c>
      <c r="F135" s="294" t="n">
        <v>0.1016189230849431</v>
      </c>
      <c r="G135" s="297" t="n">
        <v>0.7654177531488167</v>
      </c>
      <c r="H135" s="322" t="n">
        <v>0.03273775762728166</v>
      </c>
      <c r="I135" s="322" t="n">
        <v>0.01438693905373976</v>
      </c>
    </row>
    <row r="136">
      <c r="B136" s="238" t="inlineStr">
        <is>
          <t>Pickup</t>
        </is>
      </c>
      <c r="C136" s="241" t="n">
        <v>3</v>
      </c>
      <c r="D136" s="294" t="n">
        <v>0.2549647815842466</v>
      </c>
      <c r="E136" s="294" t="n">
        <v>0.2878543326055265</v>
      </c>
      <c r="F136" s="294" t="n">
        <v>0.2549647815845643</v>
      </c>
      <c r="G136" s="297" t="n">
        <v>0.918421599541726</v>
      </c>
      <c r="H136" s="322" t="n">
        <v>0.07366484499823636</v>
      </c>
      <c r="I136" s="322" t="n">
        <v>0.08122418479426913</v>
      </c>
    </row>
    <row r="137">
      <c r="B137" s="238" t="inlineStr">
        <is>
          <t>Utility Vehicle</t>
        </is>
      </c>
      <c r="C137" s="241" t="n">
        <v>0</v>
      </c>
      <c r="D137" s="294" t="n">
        <v>0.08619093438151845</v>
      </c>
      <c r="E137" s="294" t="n">
        <v>0.09254120816188083</v>
      </c>
      <c r="F137" s="294" t="n">
        <v>0.08619093438148084</v>
      </c>
      <c r="G137" s="297" t="n">
        <v>0.9534463782637166</v>
      </c>
      <c r="H137" s="322" t="n">
        <v>0.03121188335400751</v>
      </c>
      <c r="I137" s="322" t="n">
        <v>0.01163393011488954</v>
      </c>
    </row>
    <row r="138">
      <c r="B138" s="238" t="inlineStr">
        <is>
          <t>Utility Vehicle</t>
        </is>
      </c>
      <c r="C138" s="241" t="n">
        <v>1</v>
      </c>
      <c r="D138" s="294" t="n">
        <v>0.09858732104120195</v>
      </c>
      <c r="E138" s="294" t="n">
        <v>0.102667897984104</v>
      </c>
      <c r="F138" s="294" t="n">
        <v>0.0985873210410444</v>
      </c>
      <c r="G138" s="297" t="n">
        <v>0.9724109665656389</v>
      </c>
      <c r="H138" s="322" t="n">
        <v>0.1201677668745806</v>
      </c>
      <c r="I138" s="322" t="n">
        <v>0.05123349022194487</v>
      </c>
    </row>
    <row r="139">
      <c r="B139" s="238" t="inlineStr">
        <is>
          <t>Utility Vehicle</t>
        </is>
      </c>
      <c r="C139" s="241" t="n">
        <v>2</v>
      </c>
      <c r="D139" s="294" t="n">
        <v>0.1484455351339005</v>
      </c>
      <c r="E139" s="294" t="n">
        <v>0.1502088112584266</v>
      </c>
      <c r="F139" s="294" t="n">
        <v>0.148445535134037</v>
      </c>
      <c r="G139" s="297" t="n">
        <v>0.9909819917198179</v>
      </c>
      <c r="H139" s="322" t="n">
        <v>0.1067426582228952</v>
      </c>
      <c r="I139" s="322" t="n">
        <v>0.06852515714403061</v>
      </c>
    </row>
    <row r="140">
      <c r="B140" s="238" t="inlineStr">
        <is>
          <t>Utility Vehicle</t>
        </is>
      </c>
      <c r="C140" s="241" t="n">
        <v>3</v>
      </c>
      <c r="D140" s="294" t="n">
        <v>0.3043503197499355</v>
      </c>
      <c r="E140" s="294" t="n">
        <v>0.2947541402853784</v>
      </c>
      <c r="F140" s="294" t="n">
        <v>0.3043503197495744</v>
      </c>
      <c r="G140" s="297" t="n">
        <v>1.023839697436235</v>
      </c>
      <c r="H140" s="322" t="n">
        <v>0.1754738620812766</v>
      </c>
      <c r="I140" s="322" t="n">
        <v>0.2309569755766239</v>
      </c>
    </row>
    <row r="141">
      <c r="B141" s="238" t="inlineStr">
        <is>
          <t>Van</t>
        </is>
      </c>
      <c r="C141" s="241" t="n">
        <v>0</v>
      </c>
      <c r="D141" s="294" t="n">
        <v>0.06411315802265105</v>
      </c>
      <c r="E141" s="294" t="n">
        <v>0.1062068808501724</v>
      </c>
      <c r="F141" s="294" t="n">
        <v>0.06411315802266926</v>
      </c>
      <c r="G141" s="297" t="n">
        <v>0.7168168612368286</v>
      </c>
      <c r="H141" s="322" t="n">
        <v>0.001460310918372159</v>
      </c>
      <c r="I141" s="322" t="n">
        <v>0.0004048903148765467</v>
      </c>
    </row>
    <row r="142">
      <c r="B142" s="238" t="inlineStr">
        <is>
          <t>Van</t>
        </is>
      </c>
      <c r="C142" s="241" t="n">
        <v>1</v>
      </c>
      <c r="D142" s="294" t="n">
        <v>0.0879353362537799</v>
      </c>
      <c r="E142" s="294" t="n">
        <v>0.1174238114088531</v>
      </c>
      <c r="F142" s="294" t="n">
        <v>0.08793533625373584</v>
      </c>
      <c r="G142" s="297" t="n">
        <v>0.8186560039688775</v>
      </c>
      <c r="H142" s="322" t="n">
        <v>0.006164163291097801</v>
      </c>
      <c r="I142" s="322" t="n">
        <v>0.002344134086431362</v>
      </c>
    </row>
    <row r="143">
      <c r="B143" s="238" t="inlineStr">
        <is>
          <t>Van</t>
        </is>
      </c>
      <c r="C143" s="241" t="n">
        <v>2</v>
      </c>
      <c r="D143" s="294" t="n">
        <v>0.1522345377290566</v>
      </c>
      <c r="E143" s="294" t="n">
        <v>0.16951772407095</v>
      </c>
      <c r="F143" s="294" t="n">
        <v>0.1522345377290855</v>
      </c>
      <c r="G143" s="297" t="n">
        <v>0.9190923149676858</v>
      </c>
      <c r="H143" s="322" t="n">
        <v>0.00698900010691186</v>
      </c>
      <c r="I143" s="322" t="n">
        <v>0.004601221352707585</v>
      </c>
    </row>
    <row r="144">
      <c r="B144" s="238" t="inlineStr">
        <is>
          <t>Van</t>
        </is>
      </c>
      <c r="C144" s="241" t="n">
        <v>3</v>
      </c>
      <c r="D144" s="294" t="n">
        <v>0.3661439216994772</v>
      </c>
      <c r="E144" s="294" t="n">
        <v>0.3342167040699808</v>
      </c>
      <c r="F144" s="294" t="n">
        <v>0.3661439216993546</v>
      </c>
      <c r="G144" s="297" t="n">
        <v>1.075743672968322</v>
      </c>
      <c r="H144" s="322" t="n">
        <v>0.01975419678127776</v>
      </c>
      <c r="I144" s="322" t="n">
        <v>0.03127923271293062</v>
      </c>
    </row>
  </sheetData>
  <pageMargins left="0.75" right="0.75" top="1" bottom="1" header="0.5" footer="0.5"/>
</worksheet>
</file>

<file path=xl/worksheets/sheet25.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2026-10-02T05:47:52Z</dcterms:modified>
  <cp:lastModifiedBy>Biblin, Daniella Bar</cp:lastModifiedBy>
  <cp:revision>0</cp:revision>
</cp:coreProperties>
</file>