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 numFmtId="180" formatCode="&quot;$&quot;#,##0_);\(&quot;$&quot;#,##0\);\-_)0"/>
  </numFmts>
  <fonts count="86">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
      <name val="Garamond"/>
      <b val="1"/>
      <color rgb="000E2841"/>
      <sz val="18"/>
      <u val="single"/>
    </font>
    <font>
      <name val="Garamond"/>
      <i val="1"/>
      <color rgb="00595959"/>
      <sz val="12"/>
    </font>
    <font>
      <name val="Garamond"/>
      <b val="1"/>
      <color rgb="000000FF"/>
      <sz val="11"/>
    </font>
    <font>
      <name val="Garamond"/>
      <b val="1"/>
      <color rgb="000E2841"/>
      <sz val="14"/>
    </font>
    <font>
      <name val="Garamond"/>
      <b val="1"/>
      <color rgb="00FF0000"/>
      <sz val="11"/>
    </font>
    <font>
      <name val="Garamond"/>
      <i val="1"/>
      <color rgb="00008000"/>
      <sz val="11"/>
    </font>
    <font>
      <name val="Calibri"/>
      <color rgb="00000000"/>
      <sz val="11"/>
    </font>
    <font>
      <name val="Calibri"/>
      <color rgb="00008000"/>
      <sz val="11"/>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62">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xf numFmtId="0" fontId="78" fillId="0" borderId="0" pivotButton="0" quotePrefix="0" xfId="0"/>
    <xf numFmtId="0" fontId="79" fillId="0" borderId="0" pivotButton="0" quotePrefix="0" xfId="0"/>
    <xf numFmtId="0" fontId="72" fillId="16" borderId="18" pivotButton="0" quotePrefix="0" xfId="0"/>
    <xf numFmtId="179" fontId="80" fillId="0" borderId="0" pivotButton="0" quotePrefix="0" xfId="0"/>
    <xf numFmtId="179" fontId="75" fillId="0" borderId="0" pivotButton="0" quotePrefix="0" xfId="0"/>
    <xf numFmtId="0" fontId="81" fillId="0" borderId="0" pivotButton="0" quotePrefix="0" xfId="0"/>
    <xf numFmtId="178" fontId="72" fillId="0" borderId="0" pivotButton="0" quotePrefix="0" xfId="0"/>
    <xf numFmtId="178" fontId="68" fillId="0" borderId="0" pivotButton="0" quotePrefix="0" xfId="0"/>
    <xf numFmtId="180" fontId="72" fillId="0" borderId="0" pivotButton="0" quotePrefix="0" xfId="0"/>
    <xf numFmtId="180" fontId="69" fillId="0" borderId="0" pivotButton="0" quotePrefix="0" xfId="0"/>
    <xf numFmtId="180" fontId="68" fillId="0" borderId="0" pivotButton="0" quotePrefix="0" xfId="0"/>
    <xf numFmtId="2" fontId="69" fillId="0" borderId="0" pivotButton="0" quotePrefix="0" xfId="0"/>
    <xf numFmtId="1" fontId="82" fillId="0" borderId="0" pivotButton="0" quotePrefix="0" xfId="0"/>
    <xf numFmtId="49" fontId="69" fillId="0" borderId="0" pivotButton="0" quotePrefix="0" xfId="0"/>
    <xf numFmtId="164" fontId="69" fillId="0" borderId="7" applyAlignment="1" pivotButton="0" quotePrefix="0" xfId="0">
      <alignment horizontal="right" vertical="center"/>
    </xf>
    <xf numFmtId="164" fontId="69" fillId="0" borderId="0" applyAlignment="1" pivotButton="0" quotePrefix="0" xfId="0">
      <alignment horizontal="right" vertical="center"/>
    </xf>
    <xf numFmtId="165" fontId="68" fillId="4" borderId="7" applyAlignment="1" pivotButton="0" quotePrefix="0" xfId="0">
      <alignment horizontal="right" vertical="center"/>
    </xf>
    <xf numFmtId="165" fontId="68" fillId="4" borderId="0" applyAlignment="1" pivotButton="0" quotePrefix="0" xfId="0">
      <alignment horizontal="right" vertical="center"/>
    </xf>
    <xf numFmtId="180" fontId="75" fillId="0" borderId="0" pivotButton="0" quotePrefix="0" xfId="0"/>
    <xf numFmtId="0" fontId="72" fillId="0" borderId="0" applyAlignment="1" pivotButton="0" quotePrefix="0" xfId="0">
      <alignment indent="1"/>
    </xf>
    <xf numFmtId="175" fontId="75" fillId="0" borderId="0" pivotButton="0" quotePrefix="0" xfId="0"/>
    <xf numFmtId="165" fontId="83" fillId="0" borderId="0" pivotButton="0" quotePrefix="0" xfId="0"/>
    <xf numFmtId="0" fontId="84" fillId="0" borderId="0" pivotButton="0" quotePrefix="0" xfId="0"/>
    <xf numFmtId="0" fontId="80" fillId="0" borderId="0" pivotButton="0" quotePrefix="0" xfId="0"/>
    <xf numFmtId="176" fontId="80" fillId="0" borderId="0" pivotButton="0" quotePrefix="0" xfId="0"/>
    <xf numFmtId="0" fontId="85" fillId="0" borderId="0" pivotButton="0" quotePrefix="0" xfId="0"/>
    <xf numFmtId="177" fontId="75" fillId="0" borderId="0" pivotButton="0" quotePrefix="0" xfId="0"/>
    <xf numFmtId="0" fontId="75"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A1:S26"/>
  <sheetViews>
    <sheetView showGridLines="0" zoomScale="90" workbookViewId="0">
      <selection activeCell="A1" sqref="A1"/>
    </sheetView>
  </sheetViews>
  <sheetFormatPr baseColWidth="8" defaultRowHeight="15"/>
  <cols>
    <col width="2.5" customWidth="1" min="1" max="1"/>
    <col width="48" customWidth="1" min="2" max="2"/>
    <col width="8" customWidth="1" min="3" max="3"/>
    <col width="16" customWidth="1" min="4" max="4"/>
    <col width="3" customWidth="1" min="5" max="5"/>
    <col width="40" customWidth="1" min="6" max="6"/>
    <col width="70" customWidth="1" min="7" max="7"/>
    <col width="48" customWidth="1" min="8" max="8"/>
  </cols>
  <sheetData>
    <row r="1"/>
    <row r="2">
      <c r="B2" s="434" t="inlineStr">
        <is>
          <t>Copart, Inc. (NASDAQ: CPRT)</t>
        </is>
      </c>
    </row>
    <row r="3">
      <c r="B3" s="435" t="inlineStr">
        <is>
          <t>Revenue architecture, three-statement model, DCF and reverse DCF — Harvard pitch team, October 2026</t>
        </is>
      </c>
    </row>
    <row r="4"/>
    <row r="5">
      <c r="B5" s="336" t="inlineStr">
        <is>
          <t>Ticker</t>
        </is>
      </c>
      <c r="C5" s="337" t="n"/>
      <c r="D5" s="376" t="inlineStr">
        <is>
          <t>NASDAQ: $CPRT</t>
        </is>
      </c>
      <c r="E5" s="337" t="n"/>
      <c r="F5" s="436" t="inlineStr">
        <is>
          <t>Colour and label legend</t>
        </is>
      </c>
      <c r="G5" s="337" t="n"/>
      <c r="H5" s="337" t="n"/>
      <c r="I5" s="337" t="n"/>
      <c r="J5" s="337" t="n"/>
      <c r="K5" s="337" t="n"/>
      <c r="L5" s="337" t="n"/>
      <c r="M5" s="337" t="n"/>
      <c r="N5" s="337" t="n"/>
      <c r="O5" s="337" t="n"/>
      <c r="P5" s="337" t="n"/>
      <c r="Q5" s="337" t="n"/>
      <c r="R5" s="337" t="n"/>
      <c r="S5" s="337" t="n"/>
    </row>
    <row r="6">
      <c r="B6" s="343" t="inlineStr">
        <is>
          <t>Current price (26 Sep 2026)</t>
        </is>
      </c>
      <c r="D6" s="438">
        <f>DCF!H118</f>
        <v/>
      </c>
      <c r="F6" s="338" t="inlineStr">
        <is>
          <t>Blue: typed input, with label and source</t>
        </is>
      </c>
      <c r="H6" s="335" t="inlineStr">
        <is>
          <t>DCF tab; price as of 26 Sep 2026</t>
        </is>
      </c>
    </row>
    <row r="7">
      <c r="B7" s="343" t="inlineStr">
        <is>
          <t>Price target (DCF implied share price, selected case)</t>
        </is>
      </c>
      <c r="D7" s="438">
        <f>DCF!H113</f>
        <v/>
      </c>
      <c r="F7" s="339" t="inlineStr">
        <is>
          <t>Black: formula</t>
        </is>
      </c>
    </row>
    <row r="8">
      <c r="B8" s="343" t="inlineStr">
        <is>
          <t>Implied upside / (downside)</t>
        </is>
      </c>
      <c r="D8" s="368">
        <f>D7/D6-1</f>
        <v/>
      </c>
      <c r="F8" s="340" t="inlineStr">
        <is>
          <t>Green: link from another tab</t>
        </is>
      </c>
    </row>
    <row r="9">
      <c r="B9" s="439" t="inlineStr">
        <is>
          <t>Key statistics</t>
        </is>
      </c>
      <c r="F9" s="341" t="inlineStr">
        <is>
          <t>Red: toggle, probability or scenario selector</t>
        </is>
      </c>
    </row>
    <row r="10">
      <c r="B10" s="339" t="inlineStr">
        <is>
          <t>Market capitalisation ($m)</t>
        </is>
      </c>
      <c r="D10" s="380">
        <f>D6*D15</f>
        <v/>
      </c>
      <c r="F10" s="335" t="inlineStr">
        <is>
          <t>Grey italic: notes and sources</t>
        </is>
      </c>
    </row>
    <row r="11">
      <c r="B11" s="339" t="inlineStr">
        <is>
          <t>Enterprise value ($m)</t>
        </is>
      </c>
      <c r="D11" s="350">
        <f>D10-DCF!H107-DCF!H108-DCF!H109</f>
        <v/>
      </c>
    </row>
    <row r="12">
      <c r="B12" s="339" t="inlineStr">
        <is>
          <t>Cash &amp; held-to-maturity securities, 31 Jul 2026 ($m)</t>
        </is>
      </c>
      <c r="D12" s="350">
        <f>DCF!H107</f>
        <v/>
      </c>
      <c r="F12" s="335" t="inlineStr">
        <is>
          <t>Labels: VERIFIED · MEASURED · FITTED · CALIBRATED · ASSUMED · UNVERIFIED · ENGINE</t>
        </is>
      </c>
    </row>
    <row r="13">
      <c r="B13" s="339" t="inlineStr">
        <is>
          <t>Total debt (finance leases), 31 Jul 2026 ($m)</t>
        </is>
      </c>
      <c r="D13" s="350">
        <f>-DCF!H108</f>
        <v/>
      </c>
    </row>
    <row r="14">
      <c r="F14" s="343" t="inlineStr">
        <is>
          <t>Tab map</t>
        </is>
      </c>
    </row>
    <row r="15">
      <c r="B15" s="343" t="inlineStr">
        <is>
          <t>Fully diluted shares (mn) = basic + treasury-method options + RSUs</t>
        </is>
      </c>
      <c r="D15" s="440">
        <f>D16+D17+D18</f>
        <v/>
      </c>
      <c r="F15" s="343" t="inlineStr">
        <is>
          <t>Key Drivers</t>
        </is>
      </c>
      <c r="G15" s="335" t="inlineStr">
        <is>
          <t>the numbers the theses turn on</t>
        </is>
      </c>
    </row>
    <row r="16">
      <c r="B16" s="339" t="inlineStr">
        <is>
          <t>Basic shares outstanding, 31 Jul 2026 (mn)</t>
        </is>
      </c>
      <c r="D16" s="431">
        <f>'D 10-K FY26'!C5</f>
        <v/>
      </c>
      <c r="F16" s="343" t="inlineStr">
        <is>
          <t>Summary</t>
        </is>
      </c>
      <c r="G16" s="335" t="inlineStr">
        <is>
          <t>headline financials, Street Δ, component delta to Street</t>
        </is>
      </c>
      <c r="H16" s="335" t="inlineStr">
        <is>
          <t>10-K Note 12: 926,298,293 shares at 31 Jul 2026</t>
        </is>
      </c>
    </row>
    <row r="17">
      <c r="B17" s="339" t="inlineStr">
        <is>
          <t>Net shares from options, treasury method (mn): N × max(0, 1 − K/P)</t>
        </is>
      </c>
      <c r="D17" s="445">
        <f>'D 10-K FY26'!C6/1000*MAX(0,1-'D 10-K FY26'!D6/D6)</f>
        <v/>
      </c>
      <c r="F17" s="343" t="inlineStr">
        <is>
          <t>RPM</t>
        </is>
      </c>
      <c r="G17" s="335" t="inlineStr">
        <is>
          <t>one-page revenue build; scenario selector in D3</t>
        </is>
      </c>
      <c r="H17" s="335" t="inlineStr">
        <is>
          <t>10-K Note 12: 12.759m options at a $24.19 weighted-average exercise price</t>
        </is>
      </c>
    </row>
    <row r="18">
      <c r="B18" s="339" t="inlineStr">
        <is>
          <t>Unvested RSUs (mn)</t>
        </is>
      </c>
      <c r="D18" s="445">
        <f>IF(ISNUMBER('D 10-K FY26'!C8),'D 10-K FY26'!C8/1000,0)</f>
        <v/>
      </c>
      <c r="F18" s="343" t="inlineStr">
        <is>
          <t>3SM</t>
        </is>
      </c>
      <c r="G18" s="335" t="inlineStr">
        <is>
          <t>three statements FY22A–FY31E with schedules; feeds the DCF</t>
        </is>
      </c>
      <c r="H18" s="335" t="inlineStr">
        <is>
          <t>RSU count not parsed from the filing text; enter from Note 12 on D 10-K FY26</t>
        </is>
      </c>
    </row>
    <row r="19">
      <c r="F19" s="343" t="inlineStr">
        <is>
          <t>DCF / Reverse DCF</t>
        </is>
      </c>
      <c r="G19" s="335" t="inlineStr">
        <is>
          <t>valuation; WACC and tax build in Reverse DCF columns R–X</t>
        </is>
      </c>
    </row>
    <row r="20">
      <c r="B20" s="339" t="inlineStr">
        <is>
          <t>FY2026A revenue ($m)</t>
        </is>
      </c>
      <c r="D20" s="350">
        <f>RPM!H6</f>
        <v/>
      </c>
      <c r="F20" s="343" t="inlineStr">
        <is>
          <t>E1–E6</t>
        </is>
      </c>
      <c r="G20" s="335" t="inlineStr">
        <is>
          <t>engines: fleet, claims, carriers, aftermarket, fees, branches</t>
        </is>
      </c>
    </row>
    <row r="21">
      <c r="B21" s="339" t="inlineStr">
        <is>
          <t>FY2026A adjusted EBITDA ($m)</t>
        </is>
      </c>
      <c r="D21" s="350">
        <f>DCF!H31</f>
        <v/>
      </c>
      <c r="F21" s="343" t="inlineStr">
        <is>
          <t>Scenarios / Street</t>
        </is>
      </c>
      <c r="G21" s="335" t="inlineStr">
        <is>
          <t>seven cases on one base; broker assumptions</t>
        </is>
      </c>
    </row>
    <row r="22">
      <c r="B22" s="339" t="inlineStr">
        <is>
          <t>FY2027E legacy service revenue, selected case ($m)</t>
        </is>
      </c>
      <c r="D22" s="350">
        <f>RPM!I10</f>
        <v/>
      </c>
      <c r="F22" s="343" t="inlineStr">
        <is>
          <t>Sources / Checks</t>
        </is>
      </c>
      <c r="G22" s="335" t="inlineStr">
        <is>
          <t>every input with its source; live checks</t>
        </is>
      </c>
    </row>
    <row r="23">
      <c r="B23" s="339" t="inlineStr">
        <is>
          <t>Δ to JPMorgan FY27E service revenue ($m)</t>
        </is>
      </c>
      <c r="D23" s="350">
        <f>RPM!D50</f>
        <v/>
      </c>
      <c r="F23" s="343" t="inlineStr">
        <is>
          <t>D …</t>
        </is>
      </c>
      <c r="G23" s="335" t="inlineStr">
        <is>
          <t>data tabs with sources and dates</t>
        </is>
      </c>
    </row>
    <row r="24"/>
    <row r="25">
      <c r="B25" s="339" t="inlineStr">
        <is>
          <t>WACC (bottom-up build, Reverse DCF R–X)</t>
        </is>
      </c>
      <c r="D25" s="416">
        <f>'Reverse DCF'!S25</f>
        <v/>
      </c>
    </row>
    <row r="26">
      <c r="B26" s="339" t="inlineStr">
        <is>
          <t>Structural effective tax rate</t>
        </is>
      </c>
      <c r="D26" s="416">
        <f>'Reverse DCF'!S33</f>
        <v/>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A1:S68"/>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3"/>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19"/>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2"/>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4"/>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1"/>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row r="61"/>
    <row r="62">
      <c r="B62" s="344" t="inlineStr">
        <is>
          <t>Three-statement model (3SM) vs Barclays, FY2027E</t>
        </is>
      </c>
      <c r="C62" s="345" t="n"/>
      <c r="D62" s="345" t="n"/>
      <c r="E62" s="345" t="n"/>
      <c r="F62" s="345" t="n"/>
      <c r="G62" s="345" t="n"/>
      <c r="H62" s="345" t="n"/>
      <c r="I62" s="345" t="n"/>
      <c r="J62" s="345" t="n"/>
      <c r="K62" s="345" t="n"/>
      <c r="L62" s="345" t="n"/>
      <c r="M62" s="345" t="n"/>
      <c r="N62" s="345" t="n"/>
      <c r="O62" s="345" t="n"/>
      <c r="P62" s="345" t="n"/>
      <c r="Q62" s="345" t="n"/>
      <c r="R62" s="345" t="n"/>
      <c r="S62" s="345" t="n"/>
    </row>
    <row r="63">
      <c r="B63" s="339" t="inlineStr">
        <is>
          <t>3SM revenue FY27E</t>
        </is>
      </c>
      <c r="D63" s="351">
        <f>'3SM'!I8</f>
        <v/>
      </c>
      <c r="E63" s="347" t="inlineStr">
        <is>
          <t>$M</t>
        </is>
      </c>
      <c r="F63" s="335" t="inlineStr">
        <is>
          <t>model</t>
        </is>
      </c>
      <c r="H63" s="335" t="inlineStr">
        <is>
          <t>3SM row 8; Δ to Barclays in row 33</t>
        </is>
      </c>
    </row>
    <row r="64">
      <c r="B64" s="339" t="inlineStr">
        <is>
          <t>3SM adjusted EBITDA FY27E</t>
        </is>
      </c>
      <c r="D64" s="351">
        <f>'3SM'!I18</f>
        <v/>
      </c>
      <c r="E64" s="347" t="inlineStr">
        <is>
          <t>$M</t>
        </is>
      </c>
      <c r="F64" s="335" t="inlineStr">
        <is>
          <t>model</t>
        </is>
      </c>
      <c r="H64" s="335" t="inlineStr">
        <is>
          <t>3SM row 18; Barclays 1,916; Δ in row 35</t>
        </is>
      </c>
    </row>
    <row r="65">
      <c r="B65" s="339" t="inlineStr">
        <is>
          <t>3SM diluted EPS FY27E</t>
        </is>
      </c>
      <c r="D65" s="349">
        <f>'3SM'!I28</f>
        <v/>
      </c>
      <c r="E65" s="347" t="inlineStr">
        <is>
          <t>$</t>
        </is>
      </c>
      <c r="F65" s="335" t="inlineStr">
        <is>
          <t>model</t>
        </is>
      </c>
      <c r="H65" s="335" t="inlineStr">
        <is>
          <t>3SM row 28; Barclays $1.56 in row 42</t>
        </is>
      </c>
    </row>
    <row r="66">
      <c r="B66" s="339" t="inlineStr">
        <is>
          <t>3SM free cash flow FY27E (CFO + capex)</t>
        </is>
      </c>
      <c r="D66" s="351">
        <f>'3SM'!I116</f>
        <v/>
      </c>
      <c r="E66" s="347" t="inlineStr">
        <is>
          <t>$M</t>
        </is>
      </c>
      <c r="F66" s="335" t="inlineStr">
        <is>
          <t>model</t>
        </is>
      </c>
      <c r="H66" s="335" t="inlineStr">
        <is>
          <t>3SM row 116</t>
        </is>
      </c>
    </row>
    <row r="67">
      <c r="B67" s="339" t="inlineStr">
        <is>
          <t>3SM cash &amp; HTM FY27E</t>
        </is>
      </c>
      <c r="D67" s="351">
        <f>'3SM'!I49</f>
        <v/>
      </c>
      <c r="E67" s="347" t="inlineStr">
        <is>
          <t>$M</t>
        </is>
      </c>
      <c r="F67" s="335" t="inlineStr">
        <is>
          <t>model</t>
        </is>
      </c>
      <c r="H67" s="335" t="inlineStr">
        <is>
          <t>3SM row 49; Barclays 5,656; Δ in row 82</t>
        </is>
      </c>
    </row>
    <row r="68">
      <c r="B68" s="339" t="inlineStr">
        <is>
          <t>ΔNWC method on the 3SM (1 = days schedule, 2 = Barclays)</t>
        </is>
      </c>
      <c r="D68" s="349">
        <f>'3SM'!D175</f>
        <v/>
      </c>
      <c r="E68" s="347" t="inlineStr">
        <is>
          <t>case</t>
        </is>
      </c>
      <c r="F68" s="335" t="inlineStr">
        <is>
          <t>selector</t>
        </is>
      </c>
      <c r="H68" s="335" t="inlineStr">
        <is>
          <t>3SM D175</t>
        </is>
      </c>
    </row>
  </sheetData>
  <pageMargins left="0.75" right="0.75" top="1" bottom="1" header="0.5" footer="0.5"/>
</worksheet>
</file>

<file path=xl/worksheets/sheet3.xml><?xml version="1.0" encoding="utf-8"?>
<worksheet xmlns="http://schemas.openxmlformats.org/spreadsheetml/2006/main">
  <sheetPr>
    <tabColor rgb="000E2841"/>
    <outlinePr summaryBelow="1" summaryRight="1"/>
    <pageSetUpPr/>
  </sheetPr>
  <dimension ref="A1:S6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13" customWidth="1" min="8" max="8"/>
    <col width="13" customWidth="1" min="9" max="9"/>
    <col width="48" customWidth="1" min="12" max="12"/>
  </cols>
  <sheetData>
    <row r="1">
      <c r="B1" s="333" t="inlineStr">
        <is>
          <t>Copart, Inc. — Summary: headline financials, Street comparison and the component delta to Street</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Every cell links to the 3SM, DCF, Scenarios, Street or D Barclays tab (green). Fiscal years end 31 July. $M except per share. Barclays = 11 Sep 2026 model (Underweight, $25).</t>
        </is>
      </c>
    </row>
    <row r="3"/>
    <row r="4">
      <c r="C4" s="372" t="inlineStr">
        <is>
          <t>Units</t>
        </is>
      </c>
      <c r="D4" s="373" t="inlineStr">
        <is>
          <t>Historicals</t>
        </is>
      </c>
      <c r="E4" s="374" t="n"/>
      <c r="F4" s="374" t="n"/>
      <c r="G4" s="373" t="inlineStr">
        <is>
          <t>Projected</t>
        </is>
      </c>
      <c r="H4" s="374" t="n"/>
      <c r="I4" s="374" t="n"/>
      <c r="L4" s="375" t="inlineStr">
        <is>
          <t>Notes / sources</t>
        </is>
      </c>
    </row>
    <row r="5">
      <c r="B5" s="336" t="inlineStr">
        <is>
          <t>Headline financials — 3SM, selected case (RPM D3)</t>
        </is>
      </c>
      <c r="C5" s="337" t="n"/>
      <c r="D5" s="376" t="inlineStr">
        <is>
          <t>FY2024A</t>
        </is>
      </c>
      <c r="E5" s="376" t="inlineStr">
        <is>
          <t>FY2025A</t>
        </is>
      </c>
      <c r="F5" s="376" t="inlineStr">
        <is>
          <t>FY2026A</t>
        </is>
      </c>
      <c r="G5" s="376" t="inlineStr">
        <is>
          <t>FY2027E</t>
        </is>
      </c>
      <c r="H5" s="376" t="inlineStr">
        <is>
          <t>FY2028E</t>
        </is>
      </c>
      <c r="I5" s="376" t="inlineStr">
        <is>
          <t>FY2029E</t>
        </is>
      </c>
      <c r="J5" s="337" t="n"/>
      <c r="K5" s="337" t="n"/>
      <c r="L5" s="337" t="n"/>
      <c r="M5" s="337" t="n"/>
      <c r="N5" s="337" t="n"/>
      <c r="O5" s="337" t="n"/>
      <c r="P5" s="337" t="n"/>
      <c r="Q5" s="337" t="n"/>
      <c r="R5" s="337" t="n"/>
      <c r="S5" s="337" t="n"/>
    </row>
    <row r="6">
      <c r="B6" s="343" t="inlineStr">
        <is>
          <t>Revenue</t>
        </is>
      </c>
      <c r="C6" s="364" t="inlineStr">
        <is>
          <t>$M</t>
        </is>
      </c>
      <c r="D6" s="406">
        <f>'3SM'!F8</f>
        <v/>
      </c>
      <c r="E6" s="406">
        <f>'3SM'!G8</f>
        <v/>
      </c>
      <c r="F6" s="406">
        <f>'3SM'!H8</f>
        <v/>
      </c>
      <c r="G6" s="406">
        <f>'3SM'!I8</f>
        <v/>
      </c>
      <c r="H6" s="406">
        <f>'3SM'!J8</f>
        <v/>
      </c>
      <c r="I6" s="406">
        <f>'3SM'!K8</f>
        <v/>
      </c>
      <c r="L6" s="335" t="inlineStr">
        <is>
          <t>3SM row 8 (RPM)</t>
        </is>
      </c>
    </row>
    <row r="7">
      <c r="B7" s="408" t="inlineStr">
        <is>
          <t>y/y growth</t>
        </is>
      </c>
      <c r="C7" s="364" t="inlineStr">
        <is>
          <t>%</t>
        </is>
      </c>
      <c r="E7" s="382">
        <f>IF(D6=0,0,E6/D6-1)</f>
        <v/>
      </c>
      <c r="F7" s="382">
        <f>IF(E6=0,0,F6/E6-1)</f>
        <v/>
      </c>
      <c r="G7" s="382">
        <f>IF(F6=0,0,G6/F6-1)</f>
        <v/>
      </c>
      <c r="H7" s="382">
        <f>IF(G6=0,0,H6/G6-1)</f>
        <v/>
      </c>
      <c r="I7" s="382">
        <f>IF(H6=0,0,I6/H6-1)</f>
        <v/>
      </c>
    </row>
    <row r="8">
      <c r="B8" s="343" t="inlineStr">
        <is>
          <t>Adjusted EBITDA</t>
        </is>
      </c>
      <c r="C8" s="364" t="inlineStr">
        <is>
          <t>$M</t>
        </is>
      </c>
      <c r="D8" s="406">
        <f>'3SM'!F18</f>
        <v/>
      </c>
      <c r="E8" s="406">
        <f>'3SM'!G18</f>
        <v/>
      </c>
      <c r="F8" s="406">
        <f>'3SM'!H18</f>
        <v/>
      </c>
      <c r="G8" s="406">
        <f>'3SM'!I18</f>
        <v/>
      </c>
      <c r="H8" s="406">
        <f>'3SM'!J18</f>
        <v/>
      </c>
      <c r="I8" s="406">
        <f>'3SM'!K18</f>
        <v/>
      </c>
      <c r="L8" s="335" t="inlineStr">
        <is>
          <t>3SM row 18 (EBIT + D&amp;A, Barclays definition)</t>
        </is>
      </c>
    </row>
    <row r="9">
      <c r="B9" s="408" t="inlineStr">
        <is>
          <t>margin</t>
        </is>
      </c>
      <c r="C9" s="364" t="inlineStr">
        <is>
          <t>%</t>
        </is>
      </c>
      <c r="D9" s="382">
        <f>IF(D6=0,0,D8/D6)</f>
        <v/>
      </c>
      <c r="E9" s="382">
        <f>IF(E6=0,0,E8/E6)</f>
        <v/>
      </c>
      <c r="F9" s="382">
        <f>IF(F6=0,0,F8/F6)</f>
        <v/>
      </c>
      <c r="G9" s="382">
        <f>IF(G6=0,0,G8/G6)</f>
        <v/>
      </c>
      <c r="H9" s="382">
        <f>IF(H6=0,0,H8/H6)</f>
        <v/>
      </c>
      <c r="I9" s="382">
        <f>IF(I6=0,0,I8/I6)</f>
        <v/>
      </c>
    </row>
    <row r="10">
      <c r="B10" s="343" t="inlineStr">
        <is>
          <t>GAAP diluted EPS</t>
        </is>
      </c>
      <c r="C10" s="364" t="inlineStr">
        <is>
          <t>$</t>
        </is>
      </c>
      <c r="D10" s="452">
        <f>'3SM'!F28</f>
        <v/>
      </c>
      <c r="E10" s="452">
        <f>'3SM'!G28</f>
        <v/>
      </c>
      <c r="F10" s="452">
        <f>'3SM'!H28</f>
        <v/>
      </c>
      <c r="G10" s="452">
        <f>'3SM'!I28</f>
        <v/>
      </c>
      <c r="H10" s="452">
        <f>'3SM'!J28</f>
        <v/>
      </c>
      <c r="I10" s="452">
        <f>'3SM'!K28</f>
        <v/>
      </c>
      <c r="L10" s="335" t="inlineStr">
        <is>
          <t>3SM row 28</t>
        </is>
      </c>
    </row>
    <row r="11">
      <c r="B11" s="408" t="inlineStr">
        <is>
          <t>y/y growth</t>
        </is>
      </c>
      <c r="C11" s="364" t="inlineStr">
        <is>
          <t>%</t>
        </is>
      </c>
      <c r="E11" s="382">
        <f>IF(D10=0,0,E10/D10-1)</f>
        <v/>
      </c>
      <c r="F11" s="382">
        <f>IF(E10=0,0,F10/E10-1)</f>
        <v/>
      </c>
      <c r="G11" s="382">
        <f>IF(F10=0,0,G10/F10-1)</f>
        <v/>
      </c>
      <c r="H11" s="382">
        <f>IF(G10=0,0,H10/G10-1)</f>
        <v/>
      </c>
      <c r="I11" s="382">
        <f>IF(H10=0,0,I10/H10-1)</f>
        <v/>
      </c>
    </row>
    <row r="12">
      <c r="B12" s="343" t="inlineStr">
        <is>
          <t>Free cash flow (CFO + capex)</t>
        </is>
      </c>
      <c r="C12" s="364" t="inlineStr">
        <is>
          <t>$M</t>
        </is>
      </c>
      <c r="D12" s="406">
        <f>'3SM'!F116</f>
        <v/>
      </c>
      <c r="E12" s="406">
        <f>'3SM'!G116</f>
        <v/>
      </c>
      <c r="F12" s="406">
        <f>'3SM'!H116</f>
        <v/>
      </c>
      <c r="G12" s="406">
        <f>'3SM'!I116</f>
        <v/>
      </c>
      <c r="H12" s="406">
        <f>'3SM'!J116</f>
        <v/>
      </c>
      <c r="I12" s="406">
        <f>'3SM'!K116</f>
        <v/>
      </c>
      <c r="L12" s="335" t="inlineStr">
        <is>
          <t>3SM row 116</t>
        </is>
      </c>
    </row>
    <row r="13">
      <c r="B13" s="408" t="inlineStr">
        <is>
          <t>margin</t>
        </is>
      </c>
      <c r="C13" s="364" t="inlineStr">
        <is>
          <t>%</t>
        </is>
      </c>
      <c r="D13" s="382">
        <f>IF(D6=0,0,D12/D6)</f>
        <v/>
      </c>
      <c r="E13" s="382">
        <f>IF(E6=0,0,E12/E6)</f>
        <v/>
      </c>
      <c r="F13" s="382">
        <f>IF(F6=0,0,F12/F6)</f>
        <v/>
      </c>
      <c r="G13" s="382">
        <f>IF(G6=0,0,G12/G6)</f>
        <v/>
      </c>
      <c r="H13" s="382">
        <f>IF(H6=0,0,H12/H6)</f>
        <v/>
      </c>
      <c r="I13" s="382">
        <f>IF(I6=0,0,I12/I6)</f>
        <v/>
      </c>
    </row>
    <row r="14">
      <c r="B14" s="339" t="inlineStr">
        <is>
          <t>Unlevered free cash flow (DCF)</t>
        </is>
      </c>
      <c r="C14" s="364" t="inlineStr">
        <is>
          <t>$M</t>
        </is>
      </c>
      <c r="D14" s="351">
        <f>DCF!F63</f>
        <v/>
      </c>
      <c r="E14" s="351">
        <f>DCF!G63</f>
        <v/>
      </c>
      <c r="F14" s="351">
        <f>DCF!H63</f>
        <v/>
      </c>
      <c r="G14" s="351">
        <f>DCF!I63</f>
        <v/>
      </c>
      <c r="H14" s="351">
        <f>DCF!J63</f>
        <v/>
      </c>
      <c r="I14" s="351">
        <f>DCF!K63</f>
        <v/>
      </c>
      <c r="L14" s="335" t="inlineStr">
        <is>
          <t>DCF row 63: NOPAT + D&amp;A + SBC − capex − ΔNWC; D&amp;A, SBC, capex and ΔNWC read the 3SM</t>
        </is>
      </c>
    </row>
    <row r="15">
      <c r="B15" s="408" t="inlineStr">
        <is>
          <t>margin</t>
        </is>
      </c>
      <c r="C15" s="364" t="inlineStr">
        <is>
          <t>%</t>
        </is>
      </c>
      <c r="D15" s="382">
        <f>IF(D6=0,0,D14/D6)</f>
        <v/>
      </c>
      <c r="E15" s="382">
        <f>IF(E6=0,0,E14/E6)</f>
        <v/>
      </c>
      <c r="F15" s="382">
        <f>IF(F6=0,0,F14/F6)</f>
        <v/>
      </c>
      <c r="G15" s="382">
        <f>IF(G6=0,0,G14/G6)</f>
        <v/>
      </c>
      <c r="H15" s="382">
        <f>IF(H6=0,0,H14/H6)</f>
        <v/>
      </c>
      <c r="I15" s="382">
        <f>IF(I6=0,0,I14/I6)</f>
        <v/>
      </c>
    </row>
    <row r="16"/>
    <row r="17">
      <c r="B17" s="336" t="inlineStr">
        <is>
          <t>Street — Barclays model (11 Sep 2026) and consensus EPS; % Δ = 3SM ÷ Street − 1</t>
        </is>
      </c>
      <c r="C17" s="337" t="n"/>
      <c r="D17" s="376" t="inlineStr">
        <is>
          <t>FY2024A</t>
        </is>
      </c>
      <c r="E17" s="376" t="inlineStr">
        <is>
          <t>FY2025A</t>
        </is>
      </c>
      <c r="F17" s="376" t="inlineStr">
        <is>
          <t>FY2026A</t>
        </is>
      </c>
      <c r="G17" s="376" t="inlineStr">
        <is>
          <t>FY2027E</t>
        </is>
      </c>
      <c r="H17" s="376" t="inlineStr">
        <is>
          <t>FY2028E</t>
        </is>
      </c>
      <c r="I17" s="376" t="inlineStr">
        <is>
          <t>FY2029E</t>
        </is>
      </c>
      <c r="J17" s="337" t="n"/>
      <c r="K17" s="337" t="n"/>
      <c r="L17" s="337" t="n"/>
      <c r="M17" s="337" t="n"/>
      <c r="N17" s="337" t="n"/>
      <c r="O17" s="337" t="n"/>
      <c r="P17" s="337" t="n"/>
      <c r="Q17" s="337" t="n"/>
      <c r="R17" s="337" t="n"/>
      <c r="S17" s="337" t="n"/>
    </row>
    <row r="18">
      <c r="B18" s="339" t="inlineStr">
        <is>
          <t>Barclays revenue</t>
        </is>
      </c>
      <c r="C18" s="364" t="inlineStr">
        <is>
          <t>$M</t>
        </is>
      </c>
      <c r="F18" s="351">
        <f>'D Barclays'!D5</f>
        <v/>
      </c>
      <c r="G18" s="351">
        <f>'D Barclays'!E5</f>
        <v/>
      </c>
      <c r="H18" s="351">
        <f>'D Barclays'!F5</f>
        <v/>
      </c>
      <c r="I18" s="351">
        <f>'D Barclays'!G5</f>
        <v/>
      </c>
      <c r="L18" s="335" t="inlineStr">
        <is>
          <t>D Barclays (numeric extraction from the licensed report held locally; FY2026A = reported)</t>
        </is>
      </c>
    </row>
    <row r="19">
      <c r="B19" s="408" t="inlineStr">
        <is>
          <t>y/y growth</t>
        </is>
      </c>
      <c r="C19" s="364" t="inlineStr">
        <is>
          <t>%</t>
        </is>
      </c>
      <c r="G19" s="382">
        <f>IF(F18=0,0,G18/F18-1)</f>
        <v/>
      </c>
      <c r="H19" s="382">
        <f>IF(G18=0,0,H18/G18-1)</f>
        <v/>
      </c>
      <c r="I19" s="382">
        <f>IF(H18=0,0,I18/H18-1)</f>
        <v/>
      </c>
    </row>
    <row r="20">
      <c r="B20" s="453" t="inlineStr">
        <is>
          <t>% Δ 3SM vs Barclays</t>
        </is>
      </c>
      <c r="C20" s="364" t="inlineStr">
        <is>
          <t>%</t>
        </is>
      </c>
      <c r="F20" s="368">
        <f>IF(F18=0,0,F6/F18-1)</f>
        <v/>
      </c>
      <c r="G20" s="368">
        <f>IF(G18=0,0,G6/G18-1)</f>
        <v/>
      </c>
      <c r="H20" s="368">
        <f>IF(H18=0,0,H6/H18-1)</f>
        <v/>
      </c>
      <c r="I20" s="368">
        <f>IF(I18=0,0,I6/I18-1)</f>
        <v/>
      </c>
    </row>
    <row r="21">
      <c r="B21" s="339" t="inlineStr">
        <is>
          <t>Barclays adjusted EBITDA</t>
        </is>
      </c>
      <c r="C21" s="364" t="inlineStr">
        <is>
          <t>$M</t>
        </is>
      </c>
      <c r="F21" s="351">
        <f>'D Barclays'!D6</f>
        <v/>
      </c>
      <c r="G21" s="351">
        <f>'D Barclays'!E6</f>
        <v/>
      </c>
      <c r="H21" s="351">
        <f>'D Barclays'!F6</f>
        <v/>
      </c>
      <c r="I21" s="351">
        <f>'D Barclays'!G6</f>
        <v/>
      </c>
    </row>
    <row r="22">
      <c r="B22" s="408" t="inlineStr">
        <is>
          <t>margin</t>
        </is>
      </c>
      <c r="C22" s="364" t="inlineStr">
        <is>
          <t>%</t>
        </is>
      </c>
      <c r="F22" s="382">
        <f>IF(F18=0,0,F21/F18)</f>
        <v/>
      </c>
      <c r="G22" s="382">
        <f>IF(G18=0,0,G21/G18)</f>
        <v/>
      </c>
      <c r="H22" s="382">
        <f>IF(H18=0,0,H21/H18)</f>
        <v/>
      </c>
      <c r="I22" s="382">
        <f>IF(I18=0,0,I21/I18)</f>
        <v/>
      </c>
    </row>
    <row r="23">
      <c r="B23" s="453" t="inlineStr">
        <is>
          <t>% Δ 3SM vs Barclays</t>
        </is>
      </c>
      <c r="C23" s="364" t="inlineStr">
        <is>
          <t>%</t>
        </is>
      </c>
      <c r="F23" s="368">
        <f>IF(F21=0,0,F8/F21-1)</f>
        <v/>
      </c>
      <c r="G23" s="368">
        <f>IF(G21=0,0,G8/G21-1)</f>
        <v/>
      </c>
      <c r="H23" s="368">
        <f>IF(H21=0,0,H8/H21-1)</f>
        <v/>
      </c>
      <c r="I23" s="368">
        <f>IF(I21=0,0,I8/I21-1)</f>
        <v/>
      </c>
    </row>
    <row r="24">
      <c r="B24" s="339" t="inlineStr">
        <is>
          <t>Barclays diluted EPS</t>
        </is>
      </c>
      <c r="C24" s="364" t="inlineStr">
        <is>
          <t>$</t>
        </is>
      </c>
      <c r="F24" s="443">
        <f>'D Barclays'!D10</f>
        <v/>
      </c>
      <c r="G24" s="443">
        <f>'D Barclays'!E10</f>
        <v/>
      </c>
      <c r="H24" s="443">
        <f>'D Barclays'!F10</f>
        <v/>
      </c>
      <c r="I24" s="443">
        <f>'D Barclays'!G10</f>
        <v/>
      </c>
    </row>
    <row r="25">
      <c r="B25" s="453" t="inlineStr">
        <is>
          <t>% Δ 3SM vs Barclays</t>
        </is>
      </c>
      <c r="C25" s="364" t="inlineStr">
        <is>
          <t>%</t>
        </is>
      </c>
      <c r="F25" s="368">
        <f>IF(F24=0,0,F10/F24-1)</f>
        <v/>
      </c>
      <c r="G25" s="368">
        <f>IF(G24=0,0,G10/G24-1)</f>
        <v/>
      </c>
      <c r="H25" s="368">
        <f>IF(H24=0,0,H10/H24-1)</f>
        <v/>
      </c>
      <c r="I25" s="368">
        <f>IF(I24=0,0,I10/I24-1)</f>
        <v/>
      </c>
    </row>
    <row r="26">
      <c r="B26" s="339" t="inlineStr">
        <is>
          <t>Consensus EPS, post-print (owner's DCF row 49)</t>
        </is>
      </c>
      <c r="C26" s="364" t="inlineStr">
        <is>
          <t>$</t>
        </is>
      </c>
      <c r="F26" s="443">
        <f>DCF!H49</f>
        <v/>
      </c>
      <c r="G26" s="443">
        <f>DCF!I49</f>
        <v/>
      </c>
      <c r="L26" s="335" t="inlineStr">
        <is>
          <t>DCF rows 45–49 hold Barclays, JPMorgan, BNP, Stephens and the consensus (owner-entered, dated)</t>
        </is>
      </c>
    </row>
    <row r="27">
      <c r="B27" s="453" t="inlineStr">
        <is>
          <t>% Δ 3SM vs consensus</t>
        </is>
      </c>
      <c r="C27" s="364" t="inlineStr">
        <is>
          <t>%</t>
        </is>
      </c>
      <c r="F27" s="368">
        <f>IF(F26=0,0,F10/F26-1)</f>
        <v/>
      </c>
      <c r="G27" s="368">
        <f>IF(G26=0,0,G10/G26-1)</f>
        <v/>
      </c>
    </row>
    <row r="28">
      <c r="B28" s="339" t="inlineStr">
        <is>
          <t>Broker total revenue — BNP Paribas (Outperform, $40)</t>
        </is>
      </c>
      <c r="C28" s="364" t="inlineStr">
        <is>
          <t>$M</t>
        </is>
      </c>
      <c r="G28" s="351">
        <f>Street!E9</f>
        <v/>
      </c>
      <c r="H28" s="351">
        <f>Street!E10</f>
        <v/>
      </c>
      <c r="L28" s="335" t="inlineStr">
        <is>
          <t>Street tab rows 9–10 (named-broker extractions; report dates in Street row 5)</t>
        </is>
      </c>
    </row>
    <row r="29">
      <c r="B29" s="339" t="inlineStr">
        <is>
          <t>Broker total revenue — J.P. Morgan</t>
        </is>
      </c>
      <c r="C29" s="364" t="inlineStr">
        <is>
          <t>$M</t>
        </is>
      </c>
      <c r="G29" s="351">
        <f>Street!F9</f>
        <v/>
      </c>
      <c r="H29" s="351">
        <f>Street!F10</f>
        <v/>
      </c>
      <c r="L29" s="335" t="inlineStr">
        <is>
          <t>Street tab rows 9–10 (named-broker extractions; report dates in Street row 5)</t>
        </is>
      </c>
    </row>
    <row r="30">
      <c r="B30" s="339" t="inlineStr">
        <is>
          <t>Broker total revenue — BofA Global Research</t>
        </is>
      </c>
      <c r="C30" s="364" t="inlineStr">
        <is>
          <t>$M</t>
        </is>
      </c>
      <c r="G30" s="351">
        <f>Street!G9</f>
        <v/>
      </c>
      <c r="H30" s="351">
        <f>Street!G10</f>
        <v/>
      </c>
      <c r="L30" s="335" t="inlineStr">
        <is>
          <t>Street tab rows 9–10 (named-broker extractions; report dates in Street row 5)</t>
        </is>
      </c>
    </row>
    <row r="31">
      <c r="B31" s="339" t="inlineStr">
        <is>
          <t>Broker total revenue — Barclays, 25 Aug 2026 note</t>
        </is>
      </c>
      <c r="C31" s="364" t="inlineStr">
        <is>
          <t>$M</t>
        </is>
      </c>
      <c r="G31" s="351">
        <f>Street!I9</f>
        <v/>
      </c>
      <c r="H31" s="351">
        <f>Street!I10</f>
        <v/>
      </c>
      <c r="L31" s="335" t="inlineStr">
        <is>
          <t>Street tab rows 9–10 (named-broker extractions; report dates in Street row 5)</t>
        </is>
      </c>
    </row>
    <row r="32"/>
    <row r="33">
      <c r="B33" s="336" t="inlineStr">
        <is>
          <t>Component delta to Street — FY2027E legacy service revenue ($M) and the EBITDA bridge to Barclays</t>
        </is>
      </c>
      <c r="C33" s="337" t="n"/>
      <c r="D33" s="376" t="inlineStr">
        <is>
          <t>FY2027E</t>
        </is>
      </c>
      <c r="E33" s="337" t="n"/>
      <c r="F33" s="337" t="n"/>
      <c r="G33" s="337" t="n"/>
      <c r="H33" s="337" t="n"/>
      <c r="I33" s="337" t="n"/>
      <c r="J33" s="337" t="n"/>
      <c r="K33" s="337" t="n"/>
      <c r="L33" s="337" t="n"/>
      <c r="M33" s="337" t="n"/>
      <c r="N33" s="337" t="n"/>
      <c r="O33" s="337" t="n"/>
      <c r="P33" s="337" t="n"/>
      <c r="Q33" s="337" t="n"/>
      <c r="R33" s="337" t="n"/>
      <c r="S33" s="337" t="n"/>
    </row>
    <row r="34">
      <c r="B34" s="339" t="inlineStr">
        <is>
          <t>Street-implied (case 0): known runoff, coverage recovering to the Street path</t>
        </is>
      </c>
      <c r="C34" s="364" t="inlineStr">
        <is>
          <t>$M</t>
        </is>
      </c>
      <c r="D34" s="351">
        <f>Scenarios!D112</f>
        <v/>
      </c>
      <c r="L34" s="335" t="inlineStr">
        <is>
          <t>Scenarios D112; the recovery rate is reverse-solved so case 0 equals JPMorgan</t>
        </is>
      </c>
    </row>
    <row r="35">
      <c r="B35" s="339" t="inlineStr">
        <is>
          <t>JPMorgan FY27E legacy service revenue, 11 Sep 2026 (ex-ACV)</t>
        </is>
      </c>
      <c r="C35" s="364" t="inlineStr">
        <is>
          <t>$M</t>
        </is>
      </c>
      <c r="D35" s="351">
        <f>Scenarios!$D$108</f>
        <v/>
      </c>
      <c r="L35" s="335" t="inlineStr">
        <is>
          <t>Scenarios D108 ← D Facts (licensed report held locally)</t>
        </is>
      </c>
    </row>
    <row r="36">
      <c r="B36" s="343" t="inlineStr">
        <is>
          <t>Thesis 1 — coverage persistence: case 1 (known facts, sticky coverage) − case 0</t>
        </is>
      </c>
      <c r="C36" s="364" t="inlineStr">
        <is>
          <t>$M</t>
        </is>
      </c>
      <c r="D36" s="406">
        <f>Scenarios!F113</f>
        <v/>
      </c>
      <c r="L36" s="335" t="inlineStr">
        <is>
          <t>Scenarios F113</t>
        </is>
      </c>
    </row>
    <row r="37">
      <c r="B37" s="343" t="inlineStr">
        <is>
          <t>Thesis 2 — aftermarket substitution: thesis 2 case − case 1</t>
        </is>
      </c>
      <c r="C37" s="364" t="inlineStr">
        <is>
          <t>$M</t>
        </is>
      </c>
      <c r="D37" s="406">
        <f>Scenarios!E115</f>
        <v/>
      </c>
      <c r="L37" s="335" t="inlineStr">
        <is>
          <t>Scenarios E115</t>
        </is>
      </c>
    </row>
    <row r="38">
      <c r="B38" s="343" t="inlineStr">
        <is>
          <t>Thesis 3 — carrier reallocation (probability-weighted): thesis 3 case − case 1</t>
        </is>
      </c>
      <c r="C38" s="364" t="inlineStr">
        <is>
          <t>$M</t>
        </is>
      </c>
      <c r="D38" s="406">
        <f>Scenarios!E116</f>
        <v/>
      </c>
      <c r="L38" s="335" t="inlineStr">
        <is>
          <t>Scenarios E116</t>
        </is>
      </c>
    </row>
    <row r="39">
      <c r="B39" s="408" t="inlineStr">
        <is>
          <t>Interaction (all three − case 0 − sum of the three parts; exact on the common base)</t>
        </is>
      </c>
      <c r="C39" s="364" t="inlineStr">
        <is>
          <t>$M</t>
        </is>
      </c>
      <c r="D39" s="351">
        <f>Scenarios!F117-D36-D37-D38</f>
        <v/>
      </c>
    </row>
    <row r="40">
      <c r="B40" s="343" t="inlineStr">
        <is>
          <t>All three vs Street-implied</t>
        </is>
      </c>
      <c r="C40" s="364" t="inlineStr">
        <is>
          <t>$M</t>
        </is>
      </c>
      <c r="D40" s="406">
        <f>Scenarios!F117</f>
        <v/>
      </c>
      <c r="L40" s="335" t="inlineStr">
        <is>
          <t>Scenarios F117</t>
        </is>
      </c>
    </row>
    <row r="41">
      <c r="B41" s="339" t="inlineStr">
        <is>
          <t>All three vs JPMorgan, %</t>
        </is>
      </c>
      <c r="C41" s="364" t="inlineStr">
        <is>
          <t>%</t>
        </is>
      </c>
      <c r="D41" s="346">
        <f>Scenarios!H117</f>
        <v/>
      </c>
      <c r="L41" s="335" t="inlineStr">
        <is>
          <t>Scenarios H117</t>
        </is>
      </c>
    </row>
    <row r="42">
      <c r="B42" s="339" t="inlineStr">
        <is>
          <t>Selected case on the RPM (D3): FY27E service revenue</t>
        </is>
      </c>
      <c r="C42" s="364" t="inlineStr">
        <is>
          <t>$M</t>
        </is>
      </c>
      <c r="D42" s="351">
        <f>RPM!I10</f>
        <v/>
      </c>
      <c r="L42" s="335" t="inlineStr">
        <is>
          <t>RPM I10 → 3SM</t>
        </is>
      </c>
    </row>
    <row r="43">
      <c r="B43" s="343" t="inlineStr">
        <is>
          <t>Δ selected case vs Street-implied</t>
        </is>
      </c>
      <c r="C43" s="364" t="inlineStr">
        <is>
          <t>$M</t>
        </is>
      </c>
      <c r="D43" s="367">
        <f>D42-D34</f>
        <v/>
      </c>
    </row>
    <row r="44">
      <c r="B44" s="339" t="inlineStr">
        <is>
          <t>Vehicle sales FY27E (RPM)</t>
        </is>
      </c>
      <c r="C44" s="364" t="inlineStr">
        <is>
          <t>$M</t>
        </is>
      </c>
      <c r="D44" s="351">
        <f>RPM!I12</f>
        <v/>
      </c>
      <c r="L44" s="335" t="inlineStr">
        <is>
          <t>RPM I12; JPMorgan purchased-vehicle revenue 710 on Street F8</t>
        </is>
      </c>
    </row>
    <row r="45">
      <c r="B45" s="408" t="inlineStr">
        <is>
          <t>Δ vs JPMorgan purchased-vehicle revenue</t>
        </is>
      </c>
      <c r="C45" s="364" t="inlineStr">
        <is>
          <t>$M</t>
        </is>
      </c>
      <c r="D45" s="351">
        <f>RPM!I12-Street!F8</f>
        <v/>
      </c>
    </row>
    <row r="46"/>
    <row r="47">
      <c r="B47" s="343" t="inlineStr">
        <is>
          <t>EBITDA bridge to Barclays, FY2027E</t>
        </is>
      </c>
    </row>
    <row r="48">
      <c r="B48" s="339" t="inlineStr">
        <is>
          <t>Δ revenue (3SM − Barclays)</t>
        </is>
      </c>
      <c r="C48" s="364" t="inlineStr">
        <is>
          <t>$M</t>
        </is>
      </c>
      <c r="D48" s="351">
        <f>'3SM'!I33</f>
        <v/>
      </c>
      <c r="L48" s="335" t="inlineStr">
        <is>
          <t>3SM row 33</t>
        </is>
      </c>
    </row>
    <row r="49">
      <c r="B49" s="408" t="inlineStr">
        <is>
          <t>of which revenue effect at Barclays' EBITDA margin</t>
        </is>
      </c>
      <c r="C49" s="364" t="inlineStr">
        <is>
          <t>$M</t>
        </is>
      </c>
      <c r="D49" s="351">
        <f>D48*'3SM'!I34/'3SM'!I32</f>
        <v/>
      </c>
    </row>
    <row r="50">
      <c r="B50" s="343" t="inlineStr">
        <is>
          <t>Δ adjusted EBITDA (3SM − Barclays)</t>
        </is>
      </c>
      <c r="C50" s="364" t="inlineStr">
        <is>
          <t>$M</t>
        </is>
      </c>
      <c r="D50" s="406">
        <f>'3SM'!I35</f>
        <v/>
      </c>
      <c r="L50" s="335" t="inlineStr">
        <is>
          <t>3SM row 35</t>
        </is>
      </c>
    </row>
    <row r="51">
      <c r="B51" s="408" t="inlineStr">
        <is>
          <t>of which margin effect (facility cost per unit on fewer units; Barclays-implied G&amp;A ratio)</t>
        </is>
      </c>
      <c r="C51" s="364" t="inlineStr">
        <is>
          <t>$M</t>
        </is>
      </c>
      <c r="D51" s="366">
        <f>D50-D49</f>
        <v/>
      </c>
    </row>
    <row r="52">
      <c r="B52" s="343" t="inlineStr">
        <is>
          <t>Δ diluted EPS ($)</t>
        </is>
      </c>
      <c r="C52" s="364" t="inlineStr">
        <is>
          <t>$</t>
        </is>
      </c>
      <c r="D52" s="452">
        <f>'3SM'!I28-'3SM'!I42</f>
        <v/>
      </c>
    </row>
    <row r="53">
      <c r="B53" s="339" t="inlineStr">
        <is>
          <t>Δ diluted EPS (%)</t>
        </is>
      </c>
      <c r="C53" s="364" t="inlineStr">
        <is>
          <t>%</t>
        </is>
      </c>
      <c r="D53" s="346">
        <f>'3SM'!I43</f>
        <v/>
      </c>
    </row>
    <row r="54"/>
    <row r="55">
      <c r="B55" s="343" t="inlineStr">
        <is>
          <t>Valuation (links)</t>
        </is>
      </c>
    </row>
    <row r="56">
      <c r="B56" s="339" t="inlineStr">
        <is>
          <t>Current share price (DCF H118)</t>
        </is>
      </c>
      <c r="C56" s="364" t="inlineStr">
        <is>
          <t>$</t>
        </is>
      </c>
      <c r="D56" s="402">
        <f>DCF!H118</f>
        <v/>
      </c>
    </row>
    <row r="57">
      <c r="B57" s="343" t="inlineStr">
        <is>
          <t>DCF implied share price, selected case (DCF H113)</t>
        </is>
      </c>
      <c r="C57" s="364" t="inlineStr">
        <is>
          <t>$</t>
        </is>
      </c>
      <c r="D57" s="454">
        <f>DCF!H113</f>
        <v/>
      </c>
    </row>
    <row r="58">
      <c r="B58" s="339" t="inlineStr">
        <is>
          <t>Upside / (downside) vs current (DCF H114)</t>
        </is>
      </c>
      <c r="C58" s="364" t="inlineStr">
        <is>
          <t>%</t>
        </is>
      </c>
      <c r="D58" s="346">
        <f>DCF!H114</f>
        <v/>
      </c>
    </row>
    <row r="59">
      <c r="B59" s="339" t="inlineStr">
        <is>
          <t>WACC (Reverse DCF S25, bottom-up build)</t>
        </is>
      </c>
      <c r="C59" s="364" t="inlineStr">
        <is>
          <t>%</t>
        </is>
      </c>
      <c r="D59" s="416">
        <f>'Reverse DCF'!S25</f>
        <v/>
      </c>
    </row>
    <row r="60">
      <c r="B60" s="339" t="inlineStr">
        <is>
          <t>Exit EV/EBITDA multiple (DCF H92; Barclays uses 10×)</t>
        </is>
      </c>
      <c r="C60" s="364" t="inlineStr">
        <is>
          <t>x</t>
        </is>
      </c>
      <c r="D60" s="348">
        <f>DCF!H92</f>
        <v/>
      </c>
    </row>
    <row r="61">
      <c r="B61" s="339" t="inlineStr">
        <is>
          <t>Structural effective tax rate (Reverse DCF S33)</t>
        </is>
      </c>
      <c r="C61" s="364" t="inlineStr">
        <is>
          <t>%</t>
        </is>
      </c>
      <c r="D61" s="416">
        <f>'Reverse DCF'!S33</f>
        <v/>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62">
        <f>$D$45</f>
        <v/>
      </c>
      <c r="L21" s="362">
        <f>$D$45</f>
        <v/>
      </c>
      <c r="M21" s="362">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51">
        <f>Scenarios!D120</f>
        <v/>
      </c>
      <c r="E51" s="351">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000E2841"/>
    <outlinePr summaryBelow="1" summaryRight="1"/>
    <pageSetUpPr/>
  </sheetPr>
  <dimension ref="A1:S19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5" max="15"/>
  </cols>
  <sheetData>
    <row r="1">
      <c r="B1" s="333" t="inlineStr">
        <is>
          <t>Copart, Inc. — Three-statement model (3SM), FY2022A–FY2031E ($M; fiscal year ends 31 July)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Revenue = RPM (selected case). Facility operations = fee units × cost per unit. Other lines: Barclays 11 Sep 2026 where published, else FY2026 actual ratio held. Blue = input, black = formula, green = link, red = selector. History = PitchBook / 10-K.</t>
        </is>
      </c>
    </row>
    <row r="3"/>
    <row r="4">
      <c r="C4" s="372" t="inlineStr">
        <is>
          <t>Units</t>
        </is>
      </c>
      <c r="D4" s="373" t="inlineStr">
        <is>
          <t>Historicals</t>
        </is>
      </c>
      <c r="E4" s="374" t="n"/>
      <c r="F4" s="374" t="n"/>
      <c r="G4" s="374" t="n"/>
      <c r="H4" s="374" t="n"/>
      <c r="I4" s="373" t="inlineStr">
        <is>
          <t>Projected</t>
        </is>
      </c>
      <c r="J4" s="374" t="n"/>
      <c r="K4" s="374" t="n"/>
      <c r="L4" s="374" t="n"/>
      <c r="M4" s="374" t="n"/>
      <c r="O4" s="375" t="inlineStr">
        <is>
          <t>Notes / sources</t>
        </is>
      </c>
    </row>
    <row r="5">
      <c r="B5" s="336" t="inlineStr">
        <is>
          <t>Income statement</t>
        </is>
      </c>
      <c r="C5" s="337" t="n"/>
      <c r="D5" s="376" t="inlineStr">
        <is>
          <t>FY2022A</t>
        </is>
      </c>
      <c r="E5" s="376" t="inlineStr">
        <is>
          <t>FY2023A</t>
        </is>
      </c>
      <c r="F5" s="376" t="inlineStr">
        <is>
          <t>FY2024A</t>
        </is>
      </c>
      <c r="G5" s="376" t="inlineStr">
        <is>
          <t>FY2025A</t>
        </is>
      </c>
      <c r="H5" s="376" t="inlineStr">
        <is>
          <t>FY2026A</t>
        </is>
      </c>
      <c r="I5" s="376" t="inlineStr">
        <is>
          <t>FY2027E</t>
        </is>
      </c>
      <c r="J5" s="376" t="inlineStr">
        <is>
          <t>FY2028E</t>
        </is>
      </c>
      <c r="K5" s="376" t="inlineStr">
        <is>
          <t>FY2029E</t>
        </is>
      </c>
      <c r="L5" s="376" t="inlineStr">
        <is>
          <t>FY2030E</t>
        </is>
      </c>
      <c r="M5" s="376" t="inlineStr">
        <is>
          <t>FY2031E</t>
        </is>
      </c>
      <c r="N5" s="337" t="n"/>
      <c r="O5" s="337" t="n"/>
      <c r="P5" s="337" t="n"/>
      <c r="Q5" s="337" t="n"/>
      <c r="R5" s="337" t="n"/>
      <c r="S5" s="337" t="n"/>
    </row>
    <row r="6">
      <c r="B6" s="339" t="inlineStr">
        <is>
          <t>Service revenue</t>
        </is>
      </c>
      <c r="C6" s="364" t="inlineStr">
        <is>
          <t>$M</t>
        </is>
      </c>
      <c r="D6" s="351">
        <f>RPM!D10</f>
        <v/>
      </c>
      <c r="E6" s="351">
        <f>RPM!E10</f>
        <v/>
      </c>
      <c r="F6" s="351">
        <f>RPM!F10</f>
        <v/>
      </c>
      <c r="G6" s="351">
        <f>RPM!G10</f>
        <v/>
      </c>
      <c r="H6" s="351">
        <f>RPM!H10</f>
        <v/>
      </c>
      <c r="I6" s="351">
        <f>RPM!I10</f>
        <v/>
      </c>
      <c r="J6" s="351">
        <f>RPM!J10</f>
        <v/>
      </c>
      <c r="K6" s="351">
        <f>RPM!K10</f>
        <v/>
      </c>
      <c r="L6" s="351">
        <f>RPM!L10</f>
        <v/>
      </c>
      <c r="M6" s="351">
        <f>RPM!M10</f>
        <v/>
      </c>
      <c r="O6" s="335" t="inlineStr">
        <is>
          <t>RPM row 10: FY24–26 per 10-K; FY27–28 from the engines (selected case, RPM D3); FY29–31 fade (RPM row 43)</t>
        </is>
      </c>
    </row>
    <row r="7">
      <c r="B7" s="339" t="inlineStr">
        <is>
          <t>Vehicle sales</t>
        </is>
      </c>
      <c r="C7" s="364" t="inlineStr">
        <is>
          <t>$M</t>
        </is>
      </c>
      <c r="D7" s="351">
        <f>RPM!D12</f>
        <v/>
      </c>
      <c r="E7" s="351">
        <f>RPM!E12</f>
        <v/>
      </c>
      <c r="F7" s="351">
        <f>RPM!F12</f>
        <v/>
      </c>
      <c r="G7" s="351">
        <f>RPM!G12</f>
        <v/>
      </c>
      <c r="H7" s="351">
        <f>RPM!H12</f>
        <v/>
      </c>
      <c r="I7" s="351">
        <f>RPM!I12</f>
        <v/>
      </c>
      <c r="J7" s="351">
        <f>RPM!J12</f>
        <v/>
      </c>
      <c r="K7" s="351">
        <f>RPM!K12</f>
        <v/>
      </c>
      <c r="L7" s="351">
        <f>RPM!L12</f>
        <v/>
      </c>
      <c r="M7" s="351">
        <f>RPM!M12</f>
        <v/>
      </c>
      <c r="O7" s="335" t="inlineStr">
        <is>
          <t>RPM row 12</t>
        </is>
      </c>
    </row>
    <row r="8">
      <c r="B8" s="343" t="inlineStr">
        <is>
          <t>Total revenue</t>
        </is>
      </c>
      <c r="C8" s="364" t="inlineStr">
        <is>
          <t>$M</t>
        </is>
      </c>
      <c r="D8" s="406">
        <f>RPM!D6</f>
        <v/>
      </c>
      <c r="E8" s="406">
        <f>RPM!E6</f>
        <v/>
      </c>
      <c r="F8" s="406">
        <f>RPM!F6</f>
        <v/>
      </c>
      <c r="G8" s="406">
        <f>RPM!G6</f>
        <v/>
      </c>
      <c r="H8" s="406">
        <f>RPM!H6</f>
        <v/>
      </c>
      <c r="I8" s="406">
        <f>RPM!I6</f>
        <v/>
      </c>
      <c r="J8" s="406">
        <f>RPM!J6</f>
        <v/>
      </c>
      <c r="K8" s="406">
        <f>RPM!K6</f>
        <v/>
      </c>
      <c r="L8" s="406">
        <f>RPM!L6</f>
        <v/>
      </c>
      <c r="M8" s="406">
        <f>RPM!M6</f>
        <v/>
      </c>
      <c r="O8" s="335" t="inlineStr">
        <is>
          <t>RPM row 6 (history = PitchBook total revenue)</t>
        </is>
      </c>
    </row>
    <row r="9">
      <c r="B9" s="408" t="inlineStr">
        <is>
          <t>y/y growth</t>
        </is>
      </c>
      <c r="C9" s="364" t="inlineStr">
        <is>
          <t>%</t>
        </is>
      </c>
      <c r="E9" s="382">
        <f>IF(D8=0,0,E8/D8-1)</f>
        <v/>
      </c>
      <c r="F9" s="382">
        <f>IF(E8=0,0,F8/E8-1)</f>
        <v/>
      </c>
      <c r="G9" s="382">
        <f>IF(F8=0,0,G8/F8-1)</f>
        <v/>
      </c>
      <c r="H9" s="382">
        <f>IF(G8=0,0,H8/G8-1)</f>
        <v/>
      </c>
      <c r="I9" s="382">
        <f>IF(H8=0,0,I8/H8-1)</f>
        <v/>
      </c>
      <c r="J9" s="382">
        <f>IF(I8=0,0,J8/I8-1)</f>
        <v/>
      </c>
      <c r="K9" s="382">
        <f>IF(J8=0,0,K8/J8-1)</f>
        <v/>
      </c>
      <c r="L9" s="382">
        <f>IF(K8=0,0,L8/K8-1)</f>
        <v/>
      </c>
      <c r="M9" s="382">
        <f>IF(L8=0,0,M8/L8-1)</f>
        <v/>
      </c>
    </row>
    <row r="10">
      <c r="B10" s="339" t="inlineStr">
        <is>
          <t>Facility operations (incl. yard D&amp;A)</t>
        </is>
      </c>
      <c r="C10" s="364" t="inlineStr">
        <is>
          <t>$M</t>
        </is>
      </c>
      <c r="D10" s="351">
        <f>'PB IS (Annual)'!Q19/1000-D11</f>
        <v/>
      </c>
      <c r="E10" s="351">
        <f>'PB IS (Annual)'!P19/1000-E11</f>
        <v/>
      </c>
      <c r="F10" s="351">
        <f>'PB IS (Annual)'!O19/1000-F11</f>
        <v/>
      </c>
      <c r="G10" s="351">
        <f>'PB IS (Annual)'!N19/1000-G11</f>
        <v/>
      </c>
      <c r="H10" s="351">
        <f>'PB IS (Annual)'!M19/1000-H11</f>
        <v/>
      </c>
      <c r="I10" s="366">
        <f>I131*I132/1000</f>
        <v/>
      </c>
      <c r="J10" s="366">
        <f>J131*J132/1000</f>
        <v/>
      </c>
      <c r="K10" s="366">
        <f>K131*K132/1000</f>
        <v/>
      </c>
      <c r="L10" s="366">
        <f>L131*L132/1000</f>
        <v/>
      </c>
      <c r="M10" s="366">
        <f>M131*M132/1000</f>
        <v/>
      </c>
      <c r="O10" s="335" t="inlineStr">
        <is>
          <t>History: PitchBook total cost of revenue − cost of vehicle sales (10-K). Projection: global fee units (RPM row 29) × facility cost per unit (schedule 1) — the volume-driven margin lever</t>
        </is>
      </c>
    </row>
    <row r="11">
      <c r="B11" s="339" t="inlineStr">
        <is>
          <t>Cost of vehicle sales</t>
        </is>
      </c>
      <c r="C11" s="364" t="inlineStr">
        <is>
          <t>$M</t>
        </is>
      </c>
      <c r="D11" s="351">
        <f>'D 10-K FY26'!E56</f>
        <v/>
      </c>
      <c r="E11" s="351">
        <f>'D 10-K FY26'!D56</f>
        <v/>
      </c>
      <c r="F11" s="351">
        <f>'D 10-K FY26'!E39</f>
        <v/>
      </c>
      <c r="G11" s="351">
        <f>'D 10-K FY26'!D39</f>
        <v/>
      </c>
      <c r="H11" s="351">
        <f>'D 10-K FY26'!C39</f>
        <v/>
      </c>
      <c r="I11" s="366">
        <f>I7*I134</f>
        <v/>
      </c>
      <c r="J11" s="366">
        <f>J7*J134</f>
        <v/>
      </c>
      <c r="K11" s="366">
        <f>K7*K134</f>
        <v/>
      </c>
      <c r="L11" s="366">
        <f>L7*L134</f>
        <v/>
      </c>
      <c r="M11" s="366">
        <f>M7*M134</f>
        <v/>
      </c>
      <c r="O11" s="335" t="inlineStr">
        <is>
          <t>History: 10-K income statements (FY2026 and FY2024 filings, D 10-K FY26). Projection: vehicle sales × FY2026 ratio (schedule 1)</t>
        </is>
      </c>
    </row>
    <row r="12">
      <c r="B12" s="343" t="inlineStr">
        <is>
          <t>Gross profit</t>
        </is>
      </c>
      <c r="C12" s="364" t="inlineStr">
        <is>
          <t>$M</t>
        </is>
      </c>
      <c r="D12" s="367">
        <f>D8-D10-D11</f>
        <v/>
      </c>
      <c r="E12" s="367">
        <f>E8-E10-E11</f>
        <v/>
      </c>
      <c r="F12" s="367">
        <f>F8-F10-F11</f>
        <v/>
      </c>
      <c r="G12" s="367">
        <f>G8-G10-G11</f>
        <v/>
      </c>
      <c r="H12" s="367">
        <f>H8-H10-H11</f>
        <v/>
      </c>
      <c r="I12" s="367">
        <f>I8-I10-I11</f>
        <v/>
      </c>
      <c r="J12" s="367">
        <f>J8-J10-J11</f>
        <v/>
      </c>
      <c r="K12" s="367">
        <f>K8-K10-K11</f>
        <v/>
      </c>
      <c r="L12" s="367">
        <f>L8-L10-L11</f>
        <v/>
      </c>
      <c r="M12" s="367">
        <f>M8-M10-M11</f>
        <v/>
      </c>
    </row>
    <row r="13">
      <c r="B13" s="408" t="inlineStr">
        <is>
          <t>Gross margin</t>
        </is>
      </c>
      <c r="C13" s="364" t="inlineStr">
        <is>
          <t>%</t>
        </is>
      </c>
      <c r="D13" s="382">
        <f>IF(D8=0,0,D12/D8)</f>
        <v/>
      </c>
      <c r="E13" s="382">
        <f>IF(E8=0,0,E12/E8)</f>
        <v/>
      </c>
      <c r="F13" s="382">
        <f>IF(F8=0,0,F12/F8)</f>
        <v/>
      </c>
      <c r="G13" s="382">
        <f>IF(G8=0,0,G12/G8)</f>
        <v/>
      </c>
      <c r="H13" s="382">
        <f>IF(H8=0,0,H12/H8)</f>
        <v/>
      </c>
      <c r="I13" s="382">
        <f>IF(I8=0,0,I12/I8)</f>
        <v/>
      </c>
      <c r="J13" s="382">
        <f>IF(J8=0,0,J12/J8)</f>
        <v/>
      </c>
      <c r="K13" s="382">
        <f>IF(K8=0,0,K12/K8)</f>
        <v/>
      </c>
      <c r="L13" s="382">
        <f>IF(L8=0,0,L12/L8)</f>
        <v/>
      </c>
      <c r="M13" s="382">
        <f>IF(M8=0,0,M12/M8)</f>
        <v/>
      </c>
    </row>
    <row r="14">
      <c r="B14" s="339" t="inlineStr">
        <is>
          <t>General and administrative (incl. D&amp;A, SBC)</t>
        </is>
      </c>
      <c r="C14" s="364" t="inlineStr">
        <is>
          <t>$M</t>
        </is>
      </c>
      <c r="D14" s="351">
        <f>'PB IS (Annual)'!Q31/1000</f>
        <v/>
      </c>
      <c r="E14" s="351">
        <f>'PB IS (Annual)'!P31/1000</f>
        <v/>
      </c>
      <c r="F14" s="351">
        <f>'PB IS (Annual)'!O31/1000</f>
        <v/>
      </c>
      <c r="G14" s="351">
        <f>'PB IS (Annual)'!N31/1000</f>
        <v/>
      </c>
      <c r="H14" s="351">
        <f>'PB IS (Annual)'!M31/1000</f>
        <v/>
      </c>
      <c r="I14" s="366">
        <f>I8*I135</f>
        <v/>
      </c>
      <c r="J14" s="366">
        <f>J8*J135</f>
        <v/>
      </c>
      <c r="K14" s="366">
        <f>K8*K135</f>
        <v/>
      </c>
      <c r="L14" s="366">
        <f>L8*L135</f>
        <v/>
      </c>
      <c r="M14" s="366">
        <f>M8*M135</f>
        <v/>
      </c>
      <c r="O14" s="335" t="inlineStr">
        <is>
          <t>History: PitchBook total operating expenses = 10-K G&amp;A. Projection: revenue × Barclays-implied G&amp;A ratio (schedule 1)</t>
        </is>
      </c>
    </row>
    <row r="15">
      <c r="B15" s="343" t="inlineStr">
        <is>
          <t>Operating income (EBIT)</t>
        </is>
      </c>
      <c r="C15" s="364" t="inlineStr">
        <is>
          <t>$M</t>
        </is>
      </c>
      <c r="D15" s="367">
        <f>D12-D14</f>
        <v/>
      </c>
      <c r="E15" s="367">
        <f>E12-E14</f>
        <v/>
      </c>
      <c r="F15" s="367">
        <f>F12-F14</f>
        <v/>
      </c>
      <c r="G15" s="367">
        <f>G12-G14</f>
        <v/>
      </c>
      <c r="H15" s="367">
        <f>H12-H14</f>
        <v/>
      </c>
      <c r="I15" s="367">
        <f>I12-I14</f>
        <v/>
      </c>
      <c r="J15" s="367">
        <f>J12-J14</f>
        <v/>
      </c>
      <c r="K15" s="367">
        <f>K12-K14</f>
        <v/>
      </c>
      <c r="L15" s="367">
        <f>L12-L14</f>
        <v/>
      </c>
      <c r="M15" s="367">
        <f>M12-M14</f>
        <v/>
      </c>
    </row>
    <row r="16">
      <c r="B16" s="408" t="inlineStr">
        <is>
          <t>Operating margin</t>
        </is>
      </c>
      <c r="C16" s="364" t="inlineStr">
        <is>
          <t>%</t>
        </is>
      </c>
      <c r="D16" s="382">
        <f>IF(D8=0,0,D15/D8)</f>
        <v/>
      </c>
      <c r="E16" s="382">
        <f>IF(E8=0,0,E15/E8)</f>
        <v/>
      </c>
      <c r="F16" s="382">
        <f>IF(F8=0,0,F15/F8)</f>
        <v/>
      </c>
      <c r="G16" s="382">
        <f>IF(G8=0,0,G15/G8)</f>
        <v/>
      </c>
      <c r="H16" s="382">
        <f>IF(H8=0,0,H15/H8)</f>
        <v/>
      </c>
      <c r="I16" s="382">
        <f>IF(I8=0,0,I15/I8)</f>
        <v/>
      </c>
      <c r="J16" s="382">
        <f>IF(J8=0,0,J15/J8)</f>
        <v/>
      </c>
      <c r="K16" s="382">
        <f>IF(K8=0,0,K15/K8)</f>
        <v/>
      </c>
      <c r="L16" s="382">
        <f>IF(L8=0,0,L15/L8)</f>
        <v/>
      </c>
      <c r="M16" s="382">
        <f>IF(M8=0,0,M15/M8)</f>
        <v/>
      </c>
    </row>
    <row r="17">
      <c r="B17" s="339" t="inlineStr">
        <is>
          <t>Depreciation and amortization</t>
        </is>
      </c>
      <c r="C17" s="364" t="inlineStr">
        <is>
          <t>$M</t>
        </is>
      </c>
      <c r="D17" s="351">
        <f>'PB IS (Annual)'!Q93/1000</f>
        <v/>
      </c>
      <c r="E17" s="351">
        <f>'PB IS (Annual)'!P93/1000</f>
        <v/>
      </c>
      <c r="F17" s="351">
        <f>'PB IS (Annual)'!O93/1000</f>
        <v/>
      </c>
      <c r="G17" s="351">
        <f>'PB IS (Annual)'!N93/1000</f>
        <v/>
      </c>
      <c r="H17" s="351">
        <f>'PB IS (Annual)'!M93/1000</f>
        <v/>
      </c>
      <c r="I17" s="366">
        <f>I141</f>
        <v/>
      </c>
      <c r="J17" s="366">
        <f>J141</f>
        <v/>
      </c>
      <c r="K17" s="366">
        <f>K141</f>
        <v/>
      </c>
      <c r="L17" s="366">
        <f>L141</f>
        <v/>
      </c>
      <c r="M17" s="366">
        <f>M141</f>
        <v/>
      </c>
      <c r="O17" s="335" t="inlineStr">
        <is>
          <t>History: PitchBook supplemental D&amp;A (10-K). Projection: schedule 2 (Barclays EBITDA − EBIT for FY27–29)</t>
        </is>
      </c>
    </row>
    <row r="18">
      <c r="B18" s="343" t="inlineStr">
        <is>
          <t>Adjusted EBITDA (EBIT + D&amp;A; Barclays definition)</t>
        </is>
      </c>
      <c r="C18" s="364" t="inlineStr">
        <is>
          <t>$M</t>
        </is>
      </c>
      <c r="D18" s="367">
        <f>D15+D17</f>
        <v/>
      </c>
      <c r="E18" s="367">
        <f>E15+E17</f>
        <v/>
      </c>
      <c r="F18" s="367">
        <f>F15+F17</f>
        <v/>
      </c>
      <c r="G18" s="367">
        <f>G15+G17</f>
        <v/>
      </c>
      <c r="H18" s="367">
        <f>H15+H17</f>
        <v/>
      </c>
      <c r="I18" s="367">
        <f>I15+I17</f>
        <v/>
      </c>
      <c r="J18" s="367">
        <f>J15+J17</f>
        <v/>
      </c>
      <c r="K18" s="367">
        <f>K15+K17</f>
        <v/>
      </c>
      <c r="L18" s="367">
        <f>L15+L17</f>
        <v/>
      </c>
      <c r="M18" s="367">
        <f>M15+M17</f>
        <v/>
      </c>
      <c r="O18" s="335" t="inlineStr">
        <is>
          <t>Barclays' "EBITDA (adj)" = EBIT + D&amp;A (FY26: 1,882); no SBC add-back</t>
        </is>
      </c>
    </row>
    <row r="19">
      <c r="B19" s="408" t="inlineStr">
        <is>
          <t>Adjusted EBITDA margin</t>
        </is>
      </c>
      <c r="C19" s="364" t="inlineStr">
        <is>
          <t>%</t>
        </is>
      </c>
      <c r="D19" s="382">
        <f>IF(D8=0,0,D18/D8)</f>
        <v/>
      </c>
      <c r="E19" s="382">
        <f>IF(E8=0,0,E18/E8)</f>
        <v/>
      </c>
      <c r="F19" s="382">
        <f>IF(F8=0,0,F18/F8)</f>
        <v/>
      </c>
      <c r="G19" s="382">
        <f>IF(G8=0,0,G18/G8)</f>
        <v/>
      </c>
      <c r="H19" s="382">
        <f>IF(H8=0,0,H18/H8)</f>
        <v/>
      </c>
      <c r="I19" s="382">
        <f>IF(I8=0,0,I18/I8)</f>
        <v/>
      </c>
      <c r="J19" s="382">
        <f>IF(J8=0,0,J18/J8)</f>
        <v/>
      </c>
      <c r="K19" s="382">
        <f>IF(K8=0,0,K18/K8)</f>
        <v/>
      </c>
      <c r="L19" s="382">
        <f>IF(L8=0,0,L18/L8)</f>
        <v/>
      </c>
      <c r="M19" s="382">
        <f>IF(M8=0,0,M18/M8)</f>
        <v/>
      </c>
    </row>
    <row r="20">
      <c r="B20" s="339" t="inlineStr">
        <is>
          <t>Interest and other income, net</t>
        </is>
      </c>
      <c r="C20" s="364" t="inlineStr">
        <is>
          <t>$M</t>
        </is>
      </c>
      <c r="D20" s="351">
        <f>'PB IS (Annual)'!Q48/1000</f>
        <v/>
      </c>
      <c r="E20" s="351">
        <f>'PB IS (Annual)'!P48/1000</f>
        <v/>
      </c>
      <c r="F20" s="351">
        <f>'PB IS (Annual)'!O48/1000</f>
        <v/>
      </c>
      <c r="G20" s="351">
        <f>'PB IS (Annual)'!N48/1000</f>
        <v/>
      </c>
      <c r="H20" s="351">
        <f>'PB IS (Annual)'!M48/1000</f>
        <v/>
      </c>
      <c r="I20" s="366">
        <f>I148</f>
        <v/>
      </c>
      <c r="J20" s="366">
        <f>J148</f>
        <v/>
      </c>
      <c r="K20" s="366">
        <f>K148</f>
        <v/>
      </c>
      <c r="L20" s="366">
        <f>L148</f>
        <v/>
      </c>
      <c r="M20" s="366">
        <f>M148</f>
        <v/>
      </c>
      <c r="O20" s="335" t="inlineStr">
        <is>
          <t>History: PitchBook total non-operating income (interest income, net + other). Projection: yield × opening cash &amp; HTM (schedule 3)</t>
        </is>
      </c>
    </row>
    <row r="21">
      <c r="B21" s="343" t="inlineStr">
        <is>
          <t>Pre-tax income</t>
        </is>
      </c>
      <c r="C21" s="364" t="inlineStr">
        <is>
          <t>$M</t>
        </is>
      </c>
      <c r="D21" s="367">
        <f>D15+D20</f>
        <v/>
      </c>
      <c r="E21" s="367">
        <f>E15+E20</f>
        <v/>
      </c>
      <c r="F21" s="367">
        <f>F15+F20</f>
        <v/>
      </c>
      <c r="G21" s="367">
        <f>G15+G20</f>
        <v/>
      </c>
      <c r="H21" s="367">
        <f>H15+H20</f>
        <v/>
      </c>
      <c r="I21" s="367">
        <f>I15+I20</f>
        <v/>
      </c>
      <c r="J21" s="367">
        <f>J15+J20</f>
        <v/>
      </c>
      <c r="K21" s="367">
        <f>K15+K20</f>
        <v/>
      </c>
      <c r="L21" s="367">
        <f>L15+L20</f>
        <v/>
      </c>
      <c r="M21" s="367">
        <f>M15+M20</f>
        <v/>
      </c>
    </row>
    <row r="22">
      <c r="B22" s="339" t="inlineStr">
        <is>
          <t>Income tax expense</t>
        </is>
      </c>
      <c r="C22" s="364" t="inlineStr">
        <is>
          <t>$M</t>
        </is>
      </c>
      <c r="D22" s="351">
        <f>'PB IS (Annual)'!Q50/1000</f>
        <v/>
      </c>
      <c r="E22" s="351">
        <f>'PB IS (Annual)'!P50/1000</f>
        <v/>
      </c>
      <c r="F22" s="351">
        <f>'PB IS (Annual)'!O50/1000</f>
        <v/>
      </c>
      <c r="G22" s="351">
        <f>'PB IS (Annual)'!N50/1000</f>
        <v/>
      </c>
      <c r="H22" s="351">
        <f>'PB IS (Annual)'!M50/1000</f>
        <v/>
      </c>
      <c r="I22" s="366">
        <f>I21*I23</f>
        <v/>
      </c>
      <c r="J22" s="366">
        <f>J21*J23</f>
        <v/>
      </c>
      <c r="K22" s="366">
        <f>K21*K23</f>
        <v/>
      </c>
      <c r="L22" s="366">
        <f>L21*L23</f>
        <v/>
      </c>
      <c r="M22" s="366">
        <f>M21*M23</f>
        <v/>
      </c>
      <c r="O22" s="335" t="inlineStr">
        <is>
          <t>Projection: pre-tax × structural rate</t>
        </is>
      </c>
    </row>
    <row r="23">
      <c r="B23" s="408" t="inlineStr">
        <is>
          <t>Effective tax rate</t>
        </is>
      </c>
      <c r="C23" s="364" t="inlineStr">
        <is>
          <t>%</t>
        </is>
      </c>
      <c r="D23" s="382">
        <f>IF(D21=0,0,D22/D21)</f>
        <v/>
      </c>
      <c r="E23" s="382">
        <f>IF(E21=0,0,E22/E21)</f>
        <v/>
      </c>
      <c r="F23" s="382">
        <f>IF(F21=0,0,F22/F21)</f>
        <v/>
      </c>
      <c r="G23" s="382">
        <f>IF(G21=0,0,G22/G21)</f>
        <v/>
      </c>
      <c r="H23" s="382">
        <f>IF(H21=0,0,H22/H21)</f>
        <v/>
      </c>
      <c r="I23" s="346">
        <f>'Reverse DCF'!$S$33</f>
        <v/>
      </c>
      <c r="J23" s="346">
        <f>'Reverse DCF'!$S$33</f>
        <v/>
      </c>
      <c r="K23" s="346">
        <f>'Reverse DCF'!$S$33</f>
        <v/>
      </c>
      <c r="L23" s="346">
        <f>'Reverse DCF'!$S$33</f>
        <v/>
      </c>
      <c r="M23" s="346">
        <f>'Reverse DCF'!$S$33</f>
        <v/>
      </c>
      <c r="O23" s="335" t="inlineStr">
        <is>
          <t>FY27+: structural rate from the tax build (Reverse DCF S29–S33: 21% statutory + state − FDII − option benefit); Barclays-implied 20.3% in schedule 7</t>
        </is>
      </c>
    </row>
    <row r="24">
      <c r="B24" s="343" t="inlineStr">
        <is>
          <t>Net income (consolidated)</t>
        </is>
      </c>
      <c r="C24" s="364" t="inlineStr">
        <is>
          <t>$M</t>
        </is>
      </c>
      <c r="D24" s="367">
        <f>D21-D22</f>
        <v/>
      </c>
      <c r="E24" s="367">
        <f>E21-E22</f>
        <v/>
      </c>
      <c r="F24" s="367">
        <f>F21-F22</f>
        <v/>
      </c>
      <c r="G24" s="367">
        <f>G21-G22</f>
        <v/>
      </c>
      <c r="H24" s="367">
        <f>H21-H22</f>
        <v/>
      </c>
      <c r="I24" s="367">
        <f>I21-I22</f>
        <v/>
      </c>
      <c r="J24" s="367">
        <f>J21-J22</f>
        <v/>
      </c>
      <c r="K24" s="367">
        <f>K21-K22</f>
        <v/>
      </c>
      <c r="L24" s="367">
        <f>L21-L22</f>
        <v/>
      </c>
      <c r="M24" s="367">
        <f>M21-M22</f>
        <v/>
      </c>
    </row>
    <row r="25">
      <c r="B25" s="339" t="inlineStr">
        <is>
          <t>Net (income) loss attributable to noncontrolling interest</t>
        </is>
      </c>
      <c r="C25" s="364" t="inlineStr">
        <is>
          <t>$M</t>
        </is>
      </c>
      <c r="D25" s="351">
        <f>'PB IS (Annual)'!Q56/1000-'PB IS (Annual)'!Q54/1000</f>
        <v/>
      </c>
      <c r="E25" s="351">
        <f>'PB IS (Annual)'!P56/1000-'PB IS (Annual)'!P54/1000</f>
        <v/>
      </c>
      <c r="F25" s="351">
        <f>'PB IS (Annual)'!O56/1000-'PB IS (Annual)'!O54/1000</f>
        <v/>
      </c>
      <c r="G25" s="351">
        <f>'PB IS (Annual)'!N56/1000-'PB IS (Annual)'!N54/1000</f>
        <v/>
      </c>
      <c r="H25" s="351">
        <f>'PB IS (Annual)'!M56/1000-'PB IS (Annual)'!M54/1000</f>
        <v/>
      </c>
      <c r="I25" s="414" t="n">
        <v>0</v>
      </c>
      <c r="J25" s="414" t="n">
        <v>0</v>
      </c>
      <c r="K25" s="414" t="n">
        <v>0</v>
      </c>
      <c r="L25" s="414" t="n">
        <v>0</v>
      </c>
      <c r="M25" s="414" t="n">
        <v>0</v>
      </c>
      <c r="O25" s="335" t="inlineStr">
        <is>
          <t>History: NI to Copart − consolidated NI (positive = NCI loss added back). Projection: ASSUMED 0 (Barclays ignores NCI; FY26 was +3.9)</t>
        </is>
      </c>
    </row>
    <row r="26">
      <c r="B26" s="343" t="inlineStr">
        <is>
          <t>Net income attributable to Copart</t>
        </is>
      </c>
      <c r="C26" s="364" t="inlineStr">
        <is>
          <t>$M</t>
        </is>
      </c>
      <c r="D26" s="367">
        <f>D24+D25</f>
        <v/>
      </c>
      <c r="E26" s="367">
        <f>E24+E25</f>
        <v/>
      </c>
      <c r="F26" s="367">
        <f>F24+F25</f>
        <v/>
      </c>
      <c r="G26" s="367">
        <f>G24+G25</f>
        <v/>
      </c>
      <c r="H26" s="367">
        <f>H24+H25</f>
        <v/>
      </c>
      <c r="I26" s="367">
        <f>I24+I25</f>
        <v/>
      </c>
      <c r="J26" s="367">
        <f>J24+J25</f>
        <v/>
      </c>
      <c r="K26" s="367">
        <f>K24+K25</f>
        <v/>
      </c>
      <c r="L26" s="367">
        <f>L24+L25</f>
        <v/>
      </c>
      <c r="M26" s="367">
        <f>M24+M25</f>
        <v/>
      </c>
    </row>
    <row r="27">
      <c r="B27" s="339" t="inlineStr">
        <is>
          <t>Diluted weighted-average shares</t>
        </is>
      </c>
      <c r="C27" s="364" t="inlineStr">
        <is>
          <t>M</t>
        </is>
      </c>
      <c r="D27" s="431">
        <f>'PB IS (Annual)'!Q68/1000000</f>
        <v/>
      </c>
      <c r="E27" s="431">
        <f>'PB IS (Annual)'!P68/1000000</f>
        <v/>
      </c>
      <c r="F27" s="431">
        <f>'PB IS (Annual)'!O68/1000000</f>
        <v/>
      </c>
      <c r="G27" s="431">
        <f>'PB IS (Annual)'!N68/1000000</f>
        <v/>
      </c>
      <c r="H27" s="431">
        <f>'PB IS (Annual)'!M68/1000000</f>
        <v/>
      </c>
      <c r="I27" s="441">
        <f>I162</f>
        <v/>
      </c>
      <c r="J27" s="441">
        <f>J162</f>
        <v/>
      </c>
      <c r="K27" s="441">
        <f>K162</f>
        <v/>
      </c>
      <c r="L27" s="441">
        <f>L162</f>
        <v/>
      </c>
      <c r="M27" s="441">
        <f>M162</f>
        <v/>
      </c>
      <c r="O27" s="335" t="inlineStr">
        <is>
          <t>Projection: schedule 5</t>
        </is>
      </c>
    </row>
    <row r="28">
      <c r="B28" s="343" t="inlineStr">
        <is>
          <t>Diluted EPS</t>
        </is>
      </c>
      <c r="C28" s="364" t="inlineStr">
        <is>
          <t>$</t>
        </is>
      </c>
      <c r="D28" s="442">
        <f>IF(D27=0,0,D26/D27)</f>
        <v/>
      </c>
      <c r="E28" s="442">
        <f>IF(E27=0,0,E26/E27)</f>
        <v/>
      </c>
      <c r="F28" s="442">
        <f>IF(F27=0,0,F26/F27)</f>
        <v/>
      </c>
      <c r="G28" s="442">
        <f>IF(G27=0,0,G26/G27)</f>
        <v/>
      </c>
      <c r="H28" s="442">
        <f>IF(H27=0,0,H26/H27)</f>
        <v/>
      </c>
      <c r="I28" s="442">
        <f>IF(I27=0,0,I26/I27)</f>
        <v/>
      </c>
      <c r="J28" s="442">
        <f>IF(J27=0,0,J26/J27)</f>
        <v/>
      </c>
      <c r="K28" s="442">
        <f>IF(K27=0,0,K26/K27)</f>
        <v/>
      </c>
      <c r="L28" s="442">
        <f>IF(L27=0,0,L26/L27)</f>
        <v/>
      </c>
      <c r="M28" s="442">
        <f>IF(M27=0,0,M26/M27)</f>
        <v/>
      </c>
    </row>
    <row r="29">
      <c r="B29" s="408" t="inlineStr">
        <is>
          <t>y/y growth</t>
        </is>
      </c>
      <c r="C29" s="364" t="inlineStr">
        <is>
          <t>%</t>
        </is>
      </c>
      <c r="E29" s="382">
        <f>IF(D28=0,0,E28/D28-1)</f>
        <v/>
      </c>
      <c r="F29" s="382">
        <f>IF(E28=0,0,F28/E28-1)</f>
        <v/>
      </c>
      <c r="G29" s="382">
        <f>IF(F28=0,0,G28/F28-1)</f>
        <v/>
      </c>
      <c r="H29" s="382">
        <f>IF(G28=0,0,H28/G28-1)</f>
        <v/>
      </c>
      <c r="I29" s="382">
        <f>IF(H28=0,0,I28/H28-1)</f>
        <v/>
      </c>
      <c r="J29" s="382">
        <f>IF(I28=0,0,J28/I28-1)</f>
        <v/>
      </c>
      <c r="K29" s="382">
        <f>IF(J28=0,0,K28/J28-1)</f>
        <v/>
      </c>
      <c r="L29" s="382">
        <f>IF(K28=0,0,L28/K28-1)</f>
        <v/>
      </c>
      <c r="M29" s="382">
        <f>IF(L28=0,0,M28/L28-1)</f>
        <v/>
      </c>
    </row>
    <row r="30"/>
    <row r="31">
      <c r="B31" s="344" t="inlineStr">
        <is>
          <t>Barclays parity — income statement (Barclays publishes FY2026A–FY2029E only; Δ = 3SM − Barclays)</t>
        </is>
      </c>
      <c r="C31" s="345" t="n"/>
      <c r="D31" s="345" t="n"/>
      <c r="E31" s="345" t="n"/>
      <c r="F31" s="345" t="n"/>
      <c r="G31" s="345" t="n"/>
      <c r="H31" s="345" t="n"/>
      <c r="I31" s="345" t="n"/>
      <c r="J31" s="345" t="n"/>
      <c r="K31" s="345" t="n"/>
      <c r="L31" s="345" t="n"/>
      <c r="M31" s="345" t="n"/>
      <c r="N31" s="345" t="n"/>
      <c r="O31" s="345" t="n"/>
      <c r="P31" s="345" t="n"/>
      <c r="Q31" s="345" t="n"/>
      <c r="R31" s="345" t="n"/>
      <c r="S31" s="345" t="n"/>
    </row>
    <row r="32">
      <c r="B32" s="339" t="inlineStr">
        <is>
          <t>Barclays revenue</t>
        </is>
      </c>
      <c r="C32" s="364" t="inlineStr">
        <is>
          <t>$M</t>
        </is>
      </c>
      <c r="H32" s="351">
        <f>'D Barclays'!D5</f>
        <v/>
      </c>
      <c r="I32" s="351">
        <f>'D Barclays'!E5</f>
        <v/>
      </c>
      <c r="J32" s="351">
        <f>'D Barclays'!F5</f>
        <v/>
      </c>
      <c r="K32" s="351">
        <f>'D Barclays'!G5</f>
        <v/>
      </c>
      <c r="O32" s="335" t="inlineStr">
        <is>
          <t>D Barclays row 5</t>
        </is>
      </c>
    </row>
    <row r="33">
      <c r="B33" s="408" t="inlineStr">
        <is>
          <t>Δ revenue</t>
        </is>
      </c>
      <c r="C33" s="364" t="inlineStr">
        <is>
          <t>$M</t>
        </is>
      </c>
      <c r="H33" s="366">
        <f>H8-H32</f>
        <v/>
      </c>
      <c r="I33" s="366">
        <f>I8-I32</f>
        <v/>
      </c>
      <c r="J33" s="366">
        <f>J8-J32</f>
        <v/>
      </c>
      <c r="K33" s="366">
        <f>K8-K32</f>
        <v/>
      </c>
    </row>
    <row r="34">
      <c r="B34" s="339" t="inlineStr">
        <is>
          <t>Barclays adjusted EBITDA</t>
        </is>
      </c>
      <c r="C34" s="364" t="inlineStr">
        <is>
          <t>$M</t>
        </is>
      </c>
      <c r="H34" s="351">
        <f>'D Barclays'!D6</f>
        <v/>
      </c>
      <c r="I34" s="351">
        <f>'D Barclays'!E6</f>
        <v/>
      </c>
      <c r="J34" s="351">
        <f>'D Barclays'!F6</f>
        <v/>
      </c>
      <c r="K34" s="351">
        <f>'D Barclays'!G6</f>
        <v/>
      </c>
    </row>
    <row r="35">
      <c r="B35" s="408" t="inlineStr">
        <is>
          <t>Δ adjusted EBITDA</t>
        </is>
      </c>
      <c r="C35" s="364" t="inlineStr">
        <is>
          <t>$M</t>
        </is>
      </c>
      <c r="H35" s="366">
        <f>H18-H34</f>
        <v/>
      </c>
      <c r="I35" s="366">
        <f>I18-I34</f>
        <v/>
      </c>
      <c r="J35" s="366">
        <f>J18-J34</f>
        <v/>
      </c>
      <c r="K35" s="366">
        <f>K18-K34</f>
        <v/>
      </c>
    </row>
    <row r="36">
      <c r="B36" s="339" t="inlineStr">
        <is>
          <t>Barclays EBIT</t>
        </is>
      </c>
      <c r="C36" s="364" t="inlineStr">
        <is>
          <t>$M</t>
        </is>
      </c>
      <c r="H36" s="351">
        <f>'D Barclays'!D7</f>
        <v/>
      </c>
      <c r="I36" s="351">
        <f>'D Barclays'!E7</f>
        <v/>
      </c>
      <c r="J36" s="351">
        <f>'D Barclays'!F7</f>
        <v/>
      </c>
      <c r="K36" s="351">
        <f>'D Barclays'!G7</f>
        <v/>
      </c>
    </row>
    <row r="37">
      <c r="B37" s="408" t="inlineStr">
        <is>
          <t>Δ EBIT</t>
        </is>
      </c>
      <c r="C37" s="364" t="inlineStr">
        <is>
          <t>$M</t>
        </is>
      </c>
      <c r="H37" s="366">
        <f>H15-H36</f>
        <v/>
      </c>
      <c r="I37" s="366">
        <f>I15-I36</f>
        <v/>
      </c>
      <c r="J37" s="366">
        <f>J15-J36</f>
        <v/>
      </c>
      <c r="K37" s="366">
        <f>K15-K36</f>
        <v/>
      </c>
    </row>
    <row r="38">
      <c r="B38" s="339" t="inlineStr">
        <is>
          <t>Barclays pre-tax income</t>
        </is>
      </c>
      <c r="C38" s="364" t="inlineStr">
        <is>
          <t>$M</t>
        </is>
      </c>
      <c r="H38" s="351">
        <f>'D Barclays'!D8</f>
        <v/>
      </c>
      <c r="I38" s="351">
        <f>'D Barclays'!E8</f>
        <v/>
      </c>
      <c r="J38" s="351">
        <f>'D Barclays'!F8</f>
        <v/>
      </c>
      <c r="K38" s="351">
        <f>'D Barclays'!G8</f>
        <v/>
      </c>
    </row>
    <row r="39">
      <c r="B39" s="408" t="inlineStr">
        <is>
          <t>Δ pre-tax income</t>
        </is>
      </c>
      <c r="C39" s="364" t="inlineStr">
        <is>
          <t>$M</t>
        </is>
      </c>
      <c r="H39" s="366">
        <f>H21-H38</f>
        <v/>
      </c>
      <c r="I39" s="366">
        <f>I21-I38</f>
        <v/>
      </c>
      <c r="J39" s="366">
        <f>J21-J38</f>
        <v/>
      </c>
      <c r="K39" s="366">
        <f>K21-K38</f>
        <v/>
      </c>
    </row>
    <row r="40">
      <c r="B40" s="339" t="inlineStr">
        <is>
          <t>Barclays net income</t>
        </is>
      </c>
      <c r="C40" s="364" t="inlineStr">
        <is>
          <t>$M</t>
        </is>
      </c>
      <c r="H40" s="351">
        <f>'D Barclays'!D9</f>
        <v/>
      </c>
      <c r="I40" s="351">
        <f>'D Barclays'!E9</f>
        <v/>
      </c>
      <c r="J40" s="351">
        <f>'D Barclays'!F9</f>
        <v/>
      </c>
      <c r="K40" s="351">
        <f>'D Barclays'!G9</f>
        <v/>
      </c>
    </row>
    <row r="41">
      <c r="B41" s="408" t="inlineStr">
        <is>
          <t>Δ net income</t>
        </is>
      </c>
      <c r="C41" s="364" t="inlineStr">
        <is>
          <t>$M</t>
        </is>
      </c>
      <c r="H41" s="366">
        <f>H26-H40</f>
        <v/>
      </c>
      <c r="I41" s="366">
        <f>I26-I40</f>
        <v/>
      </c>
      <c r="J41" s="366">
        <f>J26-J40</f>
        <v/>
      </c>
      <c r="K41" s="366">
        <f>K26-K40</f>
        <v/>
      </c>
    </row>
    <row r="42">
      <c r="B42" s="339" t="inlineStr">
        <is>
          <t>Barclays diluted EPS</t>
        </is>
      </c>
      <c r="C42" s="364" t="inlineStr">
        <is>
          <t>$</t>
        </is>
      </c>
      <c r="H42" s="443">
        <f>'D Barclays'!D10</f>
        <v/>
      </c>
      <c r="I42" s="443">
        <f>'D Barclays'!E10</f>
        <v/>
      </c>
      <c r="J42" s="443">
        <f>'D Barclays'!F10</f>
        <v/>
      </c>
      <c r="K42" s="443">
        <f>'D Barclays'!G10</f>
        <v/>
      </c>
    </row>
    <row r="43">
      <c r="B43" s="408" t="inlineStr">
        <is>
          <t>Δ EPS, %</t>
        </is>
      </c>
      <c r="C43" s="364" t="inlineStr">
        <is>
          <t>%</t>
        </is>
      </c>
      <c r="H43" s="382">
        <f>IF(H42=0,0,H28/H42-1)</f>
        <v/>
      </c>
      <c r="I43" s="382">
        <f>IF(I42=0,0,I28/I42-1)</f>
        <v/>
      </c>
      <c r="J43" s="382">
        <f>IF(J42=0,0,J28/J42-1)</f>
        <v/>
      </c>
      <c r="K43" s="382">
        <f>IF(K42=0,0,K28/K42-1)</f>
        <v/>
      </c>
    </row>
    <row r="44"/>
    <row r="45">
      <c r="B45" s="336" t="inlineStr">
        <is>
          <t>Balance sheet</t>
        </is>
      </c>
      <c r="C45" s="337" t="n"/>
      <c r="D45" s="376" t="inlineStr">
        <is>
          <t>FY2022A</t>
        </is>
      </c>
      <c r="E45" s="376" t="inlineStr">
        <is>
          <t>FY2023A</t>
        </is>
      </c>
      <c r="F45" s="376" t="inlineStr">
        <is>
          <t>FY2024A</t>
        </is>
      </c>
      <c r="G45" s="376" t="inlineStr">
        <is>
          <t>FY2025A</t>
        </is>
      </c>
      <c r="H45" s="376" t="inlineStr">
        <is>
          <t>FY2026A</t>
        </is>
      </c>
      <c r="I45" s="376" t="inlineStr">
        <is>
          <t>FY2027E</t>
        </is>
      </c>
      <c r="J45" s="376" t="inlineStr">
        <is>
          <t>FY2028E</t>
        </is>
      </c>
      <c r="K45" s="376" t="inlineStr">
        <is>
          <t>FY2029E</t>
        </is>
      </c>
      <c r="L45" s="376" t="inlineStr">
        <is>
          <t>FY2030E</t>
        </is>
      </c>
      <c r="M45" s="376" t="inlineStr">
        <is>
          <t>FY2031E</t>
        </is>
      </c>
      <c r="N45" s="337" t="n"/>
      <c r="O45" s="337" t="n"/>
      <c r="P45" s="337" t="n"/>
      <c r="Q45" s="337" t="n"/>
      <c r="R45" s="337" t="n"/>
      <c r="S45" s="337" t="n"/>
    </row>
    <row r="46">
      <c r="B46" s="343" t="inlineStr">
        <is>
          <t>Assets</t>
        </is>
      </c>
    </row>
    <row r="47">
      <c r="B47" s="339" t="inlineStr">
        <is>
          <t>Cash and cash equivalents</t>
        </is>
      </c>
      <c r="C47" s="364" t="inlineStr">
        <is>
          <t>$M</t>
        </is>
      </c>
      <c r="D47" s="351">
        <f>'PB BS (Annual)'!Q14/1000</f>
        <v/>
      </c>
      <c r="E47" s="351">
        <f>'PB BS (Annual)'!P14/1000</f>
        <v/>
      </c>
      <c r="F47" s="351">
        <f>'PB BS (Annual)'!O14/1000</f>
        <v/>
      </c>
      <c r="G47" s="351">
        <f>'PB BS (Annual)'!N14/1000</f>
        <v/>
      </c>
      <c r="H47" s="351">
        <f>'PB BS (Annual)'!M14/1000</f>
        <v/>
      </c>
      <c r="I47" s="366">
        <f>I114</f>
        <v/>
      </c>
      <c r="J47" s="366">
        <f>J114</f>
        <v/>
      </c>
      <c r="K47" s="366">
        <f>K114</f>
        <v/>
      </c>
      <c r="L47" s="366">
        <f>L114</f>
        <v/>
      </c>
      <c r="M47" s="366">
        <f>M114</f>
        <v/>
      </c>
      <c r="O47" s="335" t="inlineStr">
        <is>
          <t>Projection: cash-flow statement ending cash (the plug)</t>
        </is>
      </c>
    </row>
    <row r="48">
      <c r="B48" s="339" t="inlineStr">
        <is>
          <t>Held-to-maturity securities (Treasury bills)</t>
        </is>
      </c>
      <c r="C48" s="364" t="inlineStr">
        <is>
          <t>$M</t>
        </is>
      </c>
      <c r="D48" s="351">
        <f>'PB BS (Annual)'!Q16/1000</f>
        <v/>
      </c>
      <c r="E48" s="351">
        <f>'PB BS (Annual)'!P16/1000</f>
        <v/>
      </c>
      <c r="F48" s="351">
        <f>'PB BS (Annual)'!O16/1000</f>
        <v/>
      </c>
      <c r="G48" s="351">
        <f>'PB BS (Annual)'!N16/1000</f>
        <v/>
      </c>
      <c r="H48" s="351">
        <f>'PB BS (Annual)'!M16/1000</f>
        <v/>
      </c>
      <c r="I48" s="366">
        <f>H48</f>
        <v/>
      </c>
      <c r="J48" s="366">
        <f>I48</f>
        <v/>
      </c>
      <c r="K48" s="366">
        <f>J48</f>
        <v/>
      </c>
      <c r="L48" s="366">
        <f>K48</f>
        <v/>
      </c>
      <c r="M48" s="366">
        <f>L48</f>
        <v/>
      </c>
      <c r="O48" s="335" t="inlineStr">
        <is>
          <t>ASSUMED held flat: no net HTM purchases modelled; all liquidity accrues in cash (same pool for interest income)</t>
        </is>
      </c>
    </row>
    <row r="49">
      <c r="B49" s="408" t="inlineStr">
        <is>
          <t>Cash &amp; HTM securities</t>
        </is>
      </c>
      <c r="C49" s="364" t="inlineStr">
        <is>
          <t>$M</t>
        </is>
      </c>
      <c r="D49" s="366">
        <f>D47+D48</f>
        <v/>
      </c>
      <c r="E49" s="366">
        <f>E47+E48</f>
        <v/>
      </c>
      <c r="F49" s="366">
        <f>F47+F48</f>
        <v/>
      </c>
      <c r="G49" s="366">
        <f>G47+G48</f>
        <v/>
      </c>
      <c r="H49" s="366">
        <f>H47+H48</f>
        <v/>
      </c>
      <c r="I49" s="366">
        <f>I47+I48</f>
        <v/>
      </c>
      <c r="J49" s="366">
        <f>J47+J48</f>
        <v/>
      </c>
      <c r="K49" s="366">
        <f>K47+K48</f>
        <v/>
      </c>
      <c r="L49" s="366">
        <f>L47+L48</f>
        <v/>
      </c>
      <c r="M49" s="366">
        <f>M47+M48</f>
        <v/>
      </c>
      <c r="O49" s="335" t="inlineStr">
        <is>
          <t>Barclays' "cash and equivalents" line combines both (FY26: 4,490)</t>
        </is>
      </c>
    </row>
    <row r="50">
      <c r="B50" s="339" t="inlineStr">
        <is>
          <t>Accounts receivable, net</t>
        </is>
      </c>
      <c r="C50" s="364" t="inlineStr">
        <is>
          <t>$M</t>
        </is>
      </c>
      <c r="D50" s="351">
        <f>'PB BS (Annual)'!Q28/1000-'PB BS (Annual)'!Q25/1000</f>
        <v/>
      </c>
      <c r="E50" s="351">
        <f>'PB BS (Annual)'!P28/1000-'PB BS (Annual)'!P25/1000</f>
        <v/>
      </c>
      <c r="F50" s="351">
        <f>'PB BS (Annual)'!O28/1000-'PB BS (Annual)'!O25/1000</f>
        <v/>
      </c>
      <c r="G50" s="351">
        <f>'PB BS (Annual)'!N28/1000-'PB BS (Annual)'!N25/1000</f>
        <v/>
      </c>
      <c r="H50" s="351">
        <f>'PB BS (Annual)'!M28/1000-'PB BS (Annual)'!M25/1000</f>
        <v/>
      </c>
      <c r="I50" s="366">
        <f>I8*I167/365</f>
        <v/>
      </c>
      <c r="J50" s="366">
        <f>J8*J167/365</f>
        <v/>
      </c>
      <c r="K50" s="366">
        <f>K8*K167/365</f>
        <v/>
      </c>
      <c r="L50" s="366">
        <f>L8*L167/365</f>
        <v/>
      </c>
      <c r="M50" s="366">
        <f>M8*M167/365</f>
        <v/>
      </c>
      <c r="O50" s="335" t="inlineStr">
        <is>
          <t>History: PitchBook trade and other receivables − taxes receivable (= 10-K AR, net). Projection: days of revenue (schedule 6)</t>
        </is>
      </c>
    </row>
    <row r="51">
      <c r="B51" s="339" t="inlineStr">
        <is>
          <t>Income taxes receivable</t>
        </is>
      </c>
      <c r="C51" s="364" t="inlineStr">
        <is>
          <t>$M</t>
        </is>
      </c>
      <c r="D51" s="351">
        <f>'PB BS (Annual)'!Q25/1000</f>
        <v/>
      </c>
      <c r="E51" s="351">
        <f>'PB BS (Annual)'!P25/1000</f>
        <v/>
      </c>
      <c r="F51" s="351">
        <f>'PB BS (Annual)'!O25/1000</f>
        <v/>
      </c>
      <c r="G51" s="351">
        <f>'PB BS (Annual)'!N25/1000</f>
        <v/>
      </c>
      <c r="H51" s="351">
        <f>'PB BS (Annual)'!M25/1000</f>
        <v/>
      </c>
      <c r="I51" s="366">
        <f>H51</f>
        <v/>
      </c>
      <c r="J51" s="366">
        <f>I51</f>
        <v/>
      </c>
      <c r="K51" s="366">
        <f>J51</f>
        <v/>
      </c>
      <c r="L51" s="366">
        <f>K51</f>
        <v/>
      </c>
      <c r="M51" s="366">
        <f>L51</f>
        <v/>
      </c>
      <c r="O51" s="335" t="inlineStr">
        <is>
          <t>ASSUMED held flat</t>
        </is>
      </c>
    </row>
    <row r="52">
      <c r="B52" s="339" t="inlineStr">
        <is>
          <t>Vehicle pooling costs</t>
        </is>
      </c>
      <c r="C52" s="364" t="inlineStr">
        <is>
          <t>$M</t>
        </is>
      </c>
      <c r="D52" s="351">
        <f>'PB BS (Annual)'!Q31/1000</f>
        <v/>
      </c>
      <c r="E52" s="351">
        <f>'PB BS (Annual)'!P31/1000</f>
        <v/>
      </c>
      <c r="F52" s="351">
        <f>'PB BS (Annual)'!O31/1000</f>
        <v/>
      </c>
      <c r="G52" s="351">
        <f>'PB BS (Annual)'!N31/1000</f>
        <v/>
      </c>
      <c r="H52" s="351">
        <f>'PB BS (Annual)'!M31/1000</f>
        <v/>
      </c>
      <c r="I52" s="366">
        <f>I10*I168/365</f>
        <v/>
      </c>
      <c r="J52" s="366">
        <f>J10*J168/365</f>
        <v/>
      </c>
      <c r="K52" s="366">
        <f>K10*K168/365</f>
        <v/>
      </c>
      <c r="L52" s="366">
        <f>L10*L168/365</f>
        <v/>
      </c>
      <c r="M52" s="366">
        <f>M10*M168/365</f>
        <v/>
      </c>
      <c r="O52" s="335" t="inlineStr">
        <is>
          <t>Projection: days of facility operations (schedule 6)</t>
        </is>
      </c>
    </row>
    <row r="53">
      <c r="B53" s="339" t="inlineStr">
        <is>
          <t>Inventories</t>
        </is>
      </c>
      <c r="C53" s="364" t="inlineStr">
        <is>
          <t>$M</t>
        </is>
      </c>
      <c r="D53" s="351">
        <f>'PB BS (Annual)'!Q19/1000</f>
        <v/>
      </c>
      <c r="E53" s="351">
        <f>'PB BS (Annual)'!P19/1000</f>
        <v/>
      </c>
      <c r="F53" s="351">
        <f>'PB BS (Annual)'!O19/1000</f>
        <v/>
      </c>
      <c r="G53" s="351">
        <f>'PB BS (Annual)'!N19/1000</f>
        <v/>
      </c>
      <c r="H53" s="351">
        <f>'PB BS (Annual)'!M19/1000</f>
        <v/>
      </c>
      <c r="I53" s="366">
        <f>I11*I169/365</f>
        <v/>
      </c>
      <c r="J53" s="366">
        <f>J11*J169/365</f>
        <v/>
      </c>
      <c r="K53" s="366">
        <f>K11*K169/365</f>
        <v/>
      </c>
      <c r="L53" s="366">
        <f>L11*L169/365</f>
        <v/>
      </c>
      <c r="M53" s="366">
        <f>M11*M169/365</f>
        <v/>
      </c>
      <c r="O53" s="335" t="inlineStr">
        <is>
          <t>Projection: days of cost of vehicle sales (schedule 6)</t>
        </is>
      </c>
    </row>
    <row r="54">
      <c r="B54" s="339" t="inlineStr">
        <is>
          <t>Prepaid expenses and other current assets</t>
        </is>
      </c>
      <c r="C54" s="364" t="inlineStr">
        <is>
          <t>$M</t>
        </is>
      </c>
      <c r="D54" s="351">
        <f>'PB BS (Annual)'!Q33/1000</f>
        <v/>
      </c>
      <c r="E54" s="351">
        <f>'PB BS (Annual)'!P33/1000</f>
        <v/>
      </c>
      <c r="F54" s="351">
        <f>'PB BS (Annual)'!O33/1000</f>
        <v/>
      </c>
      <c r="G54" s="351">
        <f>'PB BS (Annual)'!N33/1000</f>
        <v/>
      </c>
      <c r="H54" s="351">
        <f>'PB BS (Annual)'!M33/1000</f>
        <v/>
      </c>
      <c r="I54" s="366">
        <f>I8*I170/365</f>
        <v/>
      </c>
      <c r="J54" s="366">
        <f>J8*J170/365</f>
        <v/>
      </c>
      <c r="K54" s="366">
        <f>K8*K170/365</f>
        <v/>
      </c>
      <c r="L54" s="366">
        <f>L8*L170/365</f>
        <v/>
      </c>
      <c r="M54" s="366">
        <f>M8*M170/365</f>
        <v/>
      </c>
      <c r="O54" s="335" t="inlineStr">
        <is>
          <t>Projection: days of revenue (schedule 6)</t>
        </is>
      </c>
    </row>
    <row r="55">
      <c r="B55" s="339" t="inlineStr">
        <is>
          <t>Other operating assets (Barclays ΔNWC reconciliation)</t>
        </is>
      </c>
      <c r="C55" s="364" t="inlineStr">
        <is>
          <t>$M</t>
        </is>
      </c>
      <c r="D55" s="414" t="n">
        <v>0</v>
      </c>
      <c r="E55" s="414" t="n">
        <v>0</v>
      </c>
      <c r="F55" s="414" t="n">
        <v>0</v>
      </c>
      <c r="G55" s="414" t="n">
        <v>0</v>
      </c>
      <c r="H55" s="414" t="n">
        <v>0</v>
      </c>
      <c r="I55" s="366">
        <f>H55+(I173-I176)</f>
        <v/>
      </c>
      <c r="J55" s="366">
        <f>I55+(J173-J176)</f>
        <v/>
      </c>
      <c r="K55" s="366">
        <f>J55+(K173-K176)</f>
        <v/>
      </c>
      <c r="L55" s="366">
        <f>K55+(L173-L176)</f>
        <v/>
      </c>
      <c r="M55" s="366">
        <f>L55+(M173-M176)</f>
        <v/>
      </c>
      <c r="O55" s="335" t="inlineStr">
        <is>
          <t>Zero under the days schedule; under the Barclays ΔNWC method it carries the working capital Barclays assumes beyond what the days lines generate, so the balance sheet still balances</t>
        </is>
      </c>
    </row>
    <row r="56">
      <c r="B56" s="343" t="inlineStr">
        <is>
          <t>Total current assets</t>
        </is>
      </c>
      <c r="C56" s="364" t="inlineStr">
        <is>
          <t>$M</t>
        </is>
      </c>
      <c r="D56" s="367">
        <f>SUM(D47:D55)-D49</f>
        <v/>
      </c>
      <c r="E56" s="367">
        <f>SUM(E47:E55)-E49</f>
        <v/>
      </c>
      <c r="F56" s="367">
        <f>SUM(F47:F55)-F49</f>
        <v/>
      </c>
      <c r="G56" s="367">
        <f>SUM(G47:G55)-G49</f>
        <v/>
      </c>
      <c r="H56" s="367">
        <f>SUM(H47:H55)-H49</f>
        <v/>
      </c>
      <c r="I56" s="367">
        <f>SUM(I47:I55)-I49</f>
        <v/>
      </c>
      <c r="J56" s="367">
        <f>SUM(J47:J55)-J49</f>
        <v/>
      </c>
      <c r="K56" s="367">
        <f>SUM(K47:K55)-K49</f>
        <v/>
      </c>
      <c r="L56" s="367">
        <f>SUM(L47:L55)-L49</f>
        <v/>
      </c>
      <c r="M56" s="367">
        <f>SUM(M47:M55)-M49</f>
        <v/>
      </c>
    </row>
    <row r="57">
      <c r="B57" s="339" t="inlineStr">
        <is>
          <t>Property and equipment, net (excl. lease ROU)</t>
        </is>
      </c>
      <c r="C57" s="364" t="inlineStr">
        <is>
          <t>$M</t>
        </is>
      </c>
      <c r="D57" s="351">
        <f>'PB BS (Annual)'!Q52/1000-'PB BS (Annual)'!Q46/1000</f>
        <v/>
      </c>
      <c r="E57" s="351">
        <f>'PB BS (Annual)'!P52/1000-'PB BS (Annual)'!P46/1000</f>
        <v/>
      </c>
      <c r="F57" s="351">
        <f>'PB BS (Annual)'!O52/1000-'PB BS (Annual)'!O46/1000</f>
        <v/>
      </c>
      <c r="G57" s="351">
        <f>'PB BS (Annual)'!N52/1000-'PB BS (Annual)'!N46/1000</f>
        <v/>
      </c>
      <c r="H57" s="351">
        <f>'PB BS (Annual)'!M52/1000-'PB BS (Annual)'!M46/1000</f>
        <v/>
      </c>
      <c r="I57" s="366">
        <f>I143</f>
        <v/>
      </c>
      <c r="J57" s="366">
        <f>J143</f>
        <v/>
      </c>
      <c r="K57" s="366">
        <f>K143</f>
        <v/>
      </c>
      <c r="L57" s="366">
        <f>L143</f>
        <v/>
      </c>
      <c r="M57" s="366">
        <f>M143</f>
        <v/>
      </c>
      <c r="O57" s="335" t="inlineStr">
        <is>
          <t>History: PitchBook net PP&amp;E − leased assets (= 10-K PP&amp;E, net). Projection: schedule 2</t>
        </is>
      </c>
    </row>
    <row r="58">
      <c r="B58" s="339" t="inlineStr">
        <is>
          <t>Operating lease right-of-use assets</t>
        </is>
      </c>
      <c r="C58" s="364" t="inlineStr">
        <is>
          <t>$M</t>
        </is>
      </c>
      <c r="D58" s="351">
        <f>'PB BS (Annual)'!Q46/1000</f>
        <v/>
      </c>
      <c r="E58" s="351">
        <f>'PB BS (Annual)'!P46/1000</f>
        <v/>
      </c>
      <c r="F58" s="351">
        <f>'PB BS (Annual)'!O46/1000</f>
        <v/>
      </c>
      <c r="G58" s="351">
        <f>'PB BS (Annual)'!N46/1000</f>
        <v/>
      </c>
      <c r="H58" s="351">
        <f>'PB BS (Annual)'!M46/1000</f>
        <v/>
      </c>
      <c r="I58" s="366">
        <f>H58</f>
        <v/>
      </c>
      <c r="J58" s="366">
        <f>I58</f>
        <v/>
      </c>
      <c r="K58" s="366">
        <f>J58</f>
        <v/>
      </c>
      <c r="L58" s="366">
        <f>K58</f>
        <v/>
      </c>
      <c r="M58" s="366">
        <f>L58</f>
        <v/>
      </c>
      <c r="O58" s="335" t="inlineStr">
        <is>
          <t>ASSUMED held flat (Barclays holds lease debt flat at 88)</t>
        </is>
      </c>
    </row>
    <row r="59">
      <c r="B59" s="339" t="inlineStr">
        <is>
          <t>Goodwill</t>
        </is>
      </c>
      <c r="C59" s="364" t="inlineStr">
        <is>
          <t>$M</t>
        </is>
      </c>
      <c r="D59" s="351">
        <f>'PB BS (Annual)'!Q55/1000</f>
        <v/>
      </c>
      <c r="E59" s="351">
        <f>'PB BS (Annual)'!P55/1000</f>
        <v/>
      </c>
      <c r="F59" s="351">
        <f>'PB BS (Annual)'!O55/1000</f>
        <v/>
      </c>
      <c r="G59" s="351">
        <f>'PB BS (Annual)'!N55/1000</f>
        <v/>
      </c>
      <c r="H59" s="351">
        <f>'PB BS (Annual)'!M55/1000</f>
        <v/>
      </c>
      <c r="I59" s="366">
        <f>H59+I187</f>
        <v/>
      </c>
      <c r="J59" s="366">
        <f>I59+J187</f>
        <v/>
      </c>
      <c r="K59" s="366">
        <f>J59+K187</f>
        <v/>
      </c>
      <c r="L59" s="366">
        <f>K59+L187</f>
        <v/>
      </c>
      <c r="M59" s="366">
        <f>L59+M187</f>
        <v/>
      </c>
      <c r="O59" s="335" t="inlineStr">
        <is>
          <t>Flat; rises by the ACV consideration in the close year if the DCF toggle is on (schedule 8)</t>
        </is>
      </c>
    </row>
    <row r="60">
      <c r="B60" s="339" t="inlineStr">
        <is>
          <t>Intangible assets, net</t>
        </is>
      </c>
      <c r="C60" s="364" t="inlineStr">
        <is>
          <t>$M</t>
        </is>
      </c>
      <c r="D60" s="351">
        <f>'PB BS (Annual)'!Q73/1000-'PB BS (Annual)'!Q55/1000</f>
        <v/>
      </c>
      <c r="E60" s="351">
        <f>'PB BS (Annual)'!P73/1000-'PB BS (Annual)'!P55/1000</f>
        <v/>
      </c>
      <c r="F60" s="351">
        <f>'PB BS (Annual)'!O73/1000-'PB BS (Annual)'!O55/1000</f>
        <v/>
      </c>
      <c r="G60" s="351">
        <f>'PB BS (Annual)'!N73/1000-'PB BS (Annual)'!N55/1000</f>
        <v/>
      </c>
      <c r="H60" s="351">
        <f>'PB BS (Annual)'!M73/1000-'PB BS (Annual)'!M55/1000</f>
        <v/>
      </c>
      <c r="I60" s="366">
        <f>H60</f>
        <v/>
      </c>
      <c r="J60" s="366">
        <f>I60</f>
        <v/>
      </c>
      <c r="K60" s="366">
        <f>J60</f>
        <v/>
      </c>
      <c r="L60" s="366">
        <f>K60</f>
        <v/>
      </c>
      <c r="M60" s="366">
        <f>L60</f>
        <v/>
      </c>
      <c r="O60" s="335" t="inlineStr">
        <is>
          <t>ASSUMED held flat (amortisation is carried inside D&amp;A against PP&amp;E)</t>
        </is>
      </c>
    </row>
    <row r="61">
      <c r="B61" s="339" t="inlineStr">
        <is>
          <t>Other non-current assets</t>
        </is>
      </c>
      <c r="C61" s="364" t="inlineStr">
        <is>
          <t>$M</t>
        </is>
      </c>
      <c r="D61" s="351">
        <f>'PB BS (Annual)'!Q76/1000</f>
        <v/>
      </c>
      <c r="E61" s="351">
        <f>'PB BS (Annual)'!P76/1000</f>
        <v/>
      </c>
      <c r="F61" s="351">
        <f>'PB BS (Annual)'!O76/1000</f>
        <v/>
      </c>
      <c r="G61" s="351">
        <f>'PB BS (Annual)'!N76/1000</f>
        <v/>
      </c>
      <c r="H61" s="351">
        <f>'PB BS (Annual)'!M76/1000</f>
        <v/>
      </c>
      <c r="I61" s="366">
        <f>H61</f>
        <v/>
      </c>
      <c r="J61" s="366">
        <f>I61</f>
        <v/>
      </c>
      <c r="K61" s="366">
        <f>J61</f>
        <v/>
      </c>
      <c r="L61" s="366">
        <f>K61</f>
        <v/>
      </c>
      <c r="M61" s="366">
        <f>L61</f>
        <v/>
      </c>
      <c r="O61" s="335" t="inlineStr">
        <is>
          <t>ASSUMED held flat</t>
        </is>
      </c>
    </row>
    <row r="62">
      <c r="B62" s="343" t="inlineStr">
        <is>
          <t>Total assets</t>
        </is>
      </c>
      <c r="C62" s="364" t="inlineStr">
        <is>
          <t>$M</t>
        </is>
      </c>
      <c r="D62" s="367">
        <f>D56+SUM(D57:D61)</f>
        <v/>
      </c>
      <c r="E62" s="367">
        <f>E56+SUM(E57:E61)</f>
        <v/>
      </c>
      <c r="F62" s="367">
        <f>F56+SUM(F57:F61)</f>
        <v/>
      </c>
      <c r="G62" s="367">
        <f>G56+SUM(G57:G61)</f>
        <v/>
      </c>
      <c r="H62" s="367">
        <f>H56+SUM(H57:H61)</f>
        <v/>
      </c>
      <c r="I62" s="367">
        <f>I56+SUM(I57:I61)</f>
        <v/>
      </c>
      <c r="J62" s="367">
        <f>J56+SUM(J57:J61)</f>
        <v/>
      </c>
      <c r="K62" s="367">
        <f>K56+SUM(K57:K61)</f>
        <v/>
      </c>
      <c r="L62" s="367">
        <f>L56+SUM(L57:L61)</f>
        <v/>
      </c>
      <c r="M62" s="367">
        <f>M56+SUM(M57:M61)</f>
        <v/>
      </c>
    </row>
    <row r="63">
      <c r="B63" s="343" t="inlineStr">
        <is>
          <t>Liabilities</t>
        </is>
      </c>
    </row>
    <row r="64">
      <c r="B64" s="339" t="inlineStr">
        <is>
          <t>Accounts payable, accrued liabilities and deferred revenue</t>
        </is>
      </c>
      <c r="C64" s="364" t="inlineStr">
        <is>
          <t>$M</t>
        </is>
      </c>
      <c r="D64" s="351">
        <f>'PB BS (Annual)'!Q112/1000-'PB BS (Annual)'!Q85/1000-'PB BS (Annual)'!Q98/1000</f>
        <v/>
      </c>
      <c r="E64" s="351">
        <f>'PB BS (Annual)'!P112/1000-'PB BS (Annual)'!P85/1000-'PB BS (Annual)'!P98/1000</f>
        <v/>
      </c>
      <c r="F64" s="351">
        <f>'PB BS (Annual)'!O112/1000-'PB BS (Annual)'!O85/1000-'PB BS (Annual)'!O98/1000</f>
        <v/>
      </c>
      <c r="G64" s="351">
        <f>'PB BS (Annual)'!N112/1000-'PB BS (Annual)'!N85/1000-'PB BS (Annual)'!N98/1000</f>
        <v/>
      </c>
      <c r="H64" s="351">
        <f>'PB BS (Annual)'!M112/1000-'PB BS (Annual)'!M85/1000-'PB BS (Annual)'!M98/1000</f>
        <v/>
      </c>
      <c r="I64" s="366">
        <f>(I10+I11+I14-I17)*I171/365</f>
        <v/>
      </c>
      <c r="J64" s="366">
        <f>(J10+J11+J14-J17)*J171/365</f>
        <v/>
      </c>
      <c r="K64" s="366">
        <f>(K10+K11+K14-K17)*K171/365</f>
        <v/>
      </c>
      <c r="L64" s="366">
        <f>(L10+L11+L14-L17)*L171/365</f>
        <v/>
      </c>
      <c r="M64" s="366">
        <f>(M10+M11+M14-M17)*M171/365</f>
        <v/>
      </c>
      <c r="O64" s="335" t="inlineStr">
        <is>
          <t>History: PitchBook total current liabilities − income taxes payable − current lease liabilities (FY26: 634.7 AP &amp; accrued + 32.5 deferred revenue). Projection: days of cash operating costs (schedule 6)</t>
        </is>
      </c>
    </row>
    <row r="65">
      <c r="B65" s="339" t="inlineStr">
        <is>
          <t>Income taxes payable</t>
        </is>
      </c>
      <c r="C65" s="364" t="inlineStr">
        <is>
          <t>$M</t>
        </is>
      </c>
      <c r="D65" s="351">
        <f>'PB BS (Annual)'!Q85/1000</f>
        <v/>
      </c>
      <c r="E65" s="351">
        <f>'PB BS (Annual)'!P85/1000</f>
        <v/>
      </c>
      <c r="F65" s="351">
        <f>'PB BS (Annual)'!O85/1000</f>
        <v/>
      </c>
      <c r="G65" s="351">
        <f>'PB BS (Annual)'!N85/1000</f>
        <v/>
      </c>
      <c r="H65" s="351">
        <f>'PB BS (Annual)'!M85/1000</f>
        <v/>
      </c>
      <c r="I65" s="366">
        <f>H65</f>
        <v/>
      </c>
      <c r="J65" s="366">
        <f>I65</f>
        <v/>
      </c>
      <c r="K65" s="366">
        <f>J65</f>
        <v/>
      </c>
      <c r="L65" s="366">
        <f>K65</f>
        <v/>
      </c>
      <c r="M65" s="366">
        <f>L65</f>
        <v/>
      </c>
      <c r="O65" s="335" t="inlineStr">
        <is>
          <t>ASSUMED held flat</t>
        </is>
      </c>
    </row>
    <row r="66">
      <c r="B66" s="339" t="inlineStr">
        <is>
          <t>Lease liabilities, current</t>
        </is>
      </c>
      <c r="C66" s="364" t="inlineStr">
        <is>
          <t>$M</t>
        </is>
      </c>
      <c r="D66" s="351">
        <f>'PB BS (Annual)'!Q98/1000</f>
        <v/>
      </c>
      <c r="E66" s="351">
        <f>'PB BS (Annual)'!P98/1000</f>
        <v/>
      </c>
      <c r="F66" s="351">
        <f>'PB BS (Annual)'!O98/1000</f>
        <v/>
      </c>
      <c r="G66" s="351">
        <f>'PB BS (Annual)'!N98/1000</f>
        <v/>
      </c>
      <c r="H66" s="351">
        <f>'PB BS (Annual)'!M98/1000</f>
        <v/>
      </c>
      <c r="I66" s="366">
        <f>H66</f>
        <v/>
      </c>
      <c r="J66" s="366">
        <f>I66</f>
        <v/>
      </c>
      <c r="K66" s="366">
        <f>J66</f>
        <v/>
      </c>
      <c r="L66" s="366">
        <f>K66</f>
        <v/>
      </c>
      <c r="M66" s="366">
        <f>L66</f>
        <v/>
      </c>
      <c r="O66" s="335" t="inlineStr">
        <is>
          <t>ASSUMED held flat</t>
        </is>
      </c>
    </row>
    <row r="67">
      <c r="B67" s="343" t="inlineStr">
        <is>
          <t>Total current liabilities</t>
        </is>
      </c>
      <c r="C67" s="364" t="inlineStr">
        <is>
          <t>$M</t>
        </is>
      </c>
      <c r="D67" s="367">
        <f>SUM(D64:D66)</f>
        <v/>
      </c>
      <c r="E67" s="367">
        <f>SUM(E64:E66)</f>
        <v/>
      </c>
      <c r="F67" s="367">
        <f>SUM(F64:F66)</f>
        <v/>
      </c>
      <c r="G67" s="367">
        <f>SUM(G64:G66)</f>
        <v/>
      </c>
      <c r="H67" s="367">
        <f>SUM(H64:H66)</f>
        <v/>
      </c>
      <c r="I67" s="367">
        <f>SUM(I64:I66)</f>
        <v/>
      </c>
      <c r="J67" s="367">
        <f>SUM(J64:J66)</f>
        <v/>
      </c>
      <c r="K67" s="367">
        <f>SUM(K64:K66)</f>
        <v/>
      </c>
      <c r="L67" s="367">
        <f>SUM(L64:L66)</f>
        <v/>
      </c>
      <c r="M67" s="367">
        <f>SUM(M64:M66)</f>
        <v/>
      </c>
    </row>
    <row r="68">
      <c r="B68" s="339" t="inlineStr">
        <is>
          <t>Lease liabilities and debt, non-current</t>
        </is>
      </c>
      <c r="C68" s="364" t="inlineStr">
        <is>
          <t>$M</t>
        </is>
      </c>
      <c r="D68" s="351">
        <f>'PB BS (Annual)'!Q119/1000</f>
        <v/>
      </c>
      <c r="E68" s="351">
        <f>'PB BS (Annual)'!P119/1000</f>
        <v/>
      </c>
      <c r="F68" s="351">
        <f>'PB BS (Annual)'!O119/1000</f>
        <v/>
      </c>
      <c r="G68" s="351">
        <f>'PB BS (Annual)'!N119/1000</f>
        <v/>
      </c>
      <c r="H68" s="351">
        <f>'PB BS (Annual)'!M119/1000</f>
        <v/>
      </c>
      <c r="I68" s="366">
        <f>H68</f>
        <v/>
      </c>
      <c r="J68" s="366">
        <f>I68</f>
        <v/>
      </c>
      <c r="K68" s="366">
        <f>J68</f>
        <v/>
      </c>
      <c r="L68" s="366">
        <f>K68</f>
        <v/>
      </c>
      <c r="M68" s="366">
        <f>L68</f>
        <v/>
      </c>
      <c r="O68" s="335" t="inlineStr">
        <is>
          <t>ASSUMED held flat; with the current portion this is Barclays' "debt" of 88</t>
        </is>
      </c>
    </row>
    <row r="69">
      <c r="B69" s="339" t="inlineStr">
        <is>
          <t>Deferred tax liabilities</t>
        </is>
      </c>
      <c r="C69" s="364" t="inlineStr">
        <is>
          <t>$M</t>
        </is>
      </c>
      <c r="D69" s="351">
        <f>'PB BS (Annual)'!Q121/1000</f>
        <v/>
      </c>
      <c r="E69" s="351">
        <f>'PB BS (Annual)'!P121/1000</f>
        <v/>
      </c>
      <c r="F69" s="351">
        <f>'PB BS (Annual)'!O121/1000</f>
        <v/>
      </c>
      <c r="G69" s="351">
        <f>'PB BS (Annual)'!N121/1000</f>
        <v/>
      </c>
      <c r="H69" s="351">
        <f>'PB BS (Annual)'!M121/1000</f>
        <v/>
      </c>
      <c r="I69" s="366">
        <f>H69</f>
        <v/>
      </c>
      <c r="J69" s="366">
        <f>I69</f>
        <v/>
      </c>
      <c r="K69" s="366">
        <f>J69</f>
        <v/>
      </c>
      <c r="L69" s="366">
        <f>K69</f>
        <v/>
      </c>
      <c r="M69" s="366">
        <f>L69</f>
        <v/>
      </c>
      <c r="O69" s="335" t="inlineStr">
        <is>
          <t>ASSUMED held flat</t>
        </is>
      </c>
    </row>
    <row r="70">
      <c r="B70" s="339" t="inlineStr">
        <is>
          <t>Other non-current liabilities (taxes payable)</t>
        </is>
      </c>
      <c r="C70" s="364" t="inlineStr">
        <is>
          <t>$M</t>
        </is>
      </c>
      <c r="D70" s="351">
        <f>'PB BS (Annual)'!Q125/1000</f>
        <v/>
      </c>
      <c r="E70" s="351">
        <f>'PB BS (Annual)'!P125/1000</f>
        <v/>
      </c>
      <c r="F70" s="351">
        <f>'PB BS (Annual)'!O125/1000</f>
        <v/>
      </c>
      <c r="G70" s="351">
        <f>'PB BS (Annual)'!N125/1000</f>
        <v/>
      </c>
      <c r="H70" s="351">
        <f>'PB BS (Annual)'!M125/1000</f>
        <v/>
      </c>
      <c r="I70" s="366">
        <f>H70</f>
        <v/>
      </c>
      <c r="J70" s="366">
        <f>I70</f>
        <v/>
      </c>
      <c r="K70" s="366">
        <f>J70</f>
        <v/>
      </c>
      <c r="L70" s="366">
        <f>K70</f>
        <v/>
      </c>
      <c r="M70" s="366">
        <f>L70</f>
        <v/>
      </c>
      <c r="O70" s="335" t="inlineStr">
        <is>
          <t>ASSUMED held flat</t>
        </is>
      </c>
    </row>
    <row r="71">
      <c r="B71" s="343" t="inlineStr">
        <is>
          <t>Total liabilities</t>
        </is>
      </c>
      <c r="C71" s="364" t="inlineStr">
        <is>
          <t>$M</t>
        </is>
      </c>
      <c r="D71" s="367">
        <f>D67+SUM(D68:D70)</f>
        <v/>
      </c>
      <c r="E71" s="367">
        <f>E67+SUM(E68:E70)</f>
        <v/>
      </c>
      <c r="F71" s="367">
        <f>F67+SUM(F68:F70)</f>
        <v/>
      </c>
      <c r="G71" s="367">
        <f>G67+SUM(G68:G70)</f>
        <v/>
      </c>
      <c r="H71" s="367">
        <f>H67+SUM(H68:H70)</f>
        <v/>
      </c>
      <c r="I71" s="367">
        <f>I67+SUM(I68:I70)</f>
        <v/>
      </c>
      <c r="J71" s="367">
        <f>J67+SUM(J68:J70)</f>
        <v/>
      </c>
      <c r="K71" s="367">
        <f>K67+SUM(K68:K70)</f>
        <v/>
      </c>
      <c r="L71" s="367">
        <f>L67+SUM(L68:L70)</f>
        <v/>
      </c>
      <c r="M71" s="367">
        <f>M67+SUM(M68:M70)</f>
        <v/>
      </c>
    </row>
    <row r="72">
      <c r="B72" s="343" t="inlineStr">
        <is>
          <t>Equity</t>
        </is>
      </c>
    </row>
    <row r="73">
      <c r="B73" s="339" t="inlineStr">
        <is>
          <t>Copart stockholders' equity</t>
        </is>
      </c>
      <c r="C73" s="364" t="inlineStr">
        <is>
          <t>$M</t>
        </is>
      </c>
      <c r="D73" s="351">
        <f>'PB BS (Annual)'!Q147/1000</f>
        <v/>
      </c>
      <c r="E73" s="351">
        <f>'PB BS (Annual)'!P147/1000</f>
        <v/>
      </c>
      <c r="F73" s="351">
        <f>'PB BS (Annual)'!O147/1000</f>
        <v/>
      </c>
      <c r="G73" s="351">
        <f>'PB BS (Annual)'!N147/1000</f>
        <v/>
      </c>
      <c r="H73" s="351">
        <f>'PB BS (Annual)'!M147/1000</f>
        <v/>
      </c>
      <c r="I73" s="366">
        <f>H73+I26+I94+I107+I106</f>
        <v/>
      </c>
      <c r="J73" s="366">
        <f>I73+J26+J94+J107+J106</f>
        <v/>
      </c>
      <c r="K73" s="366">
        <f>J73+K26+K94+K107+K106</f>
        <v/>
      </c>
      <c r="L73" s="366">
        <f>K73+L26+L94+L107+L106</f>
        <v/>
      </c>
      <c r="M73" s="366">
        <f>L73+M26+M94+M107+M106</f>
        <v/>
      </c>
      <c r="O73" s="335" t="inlineStr">
        <is>
          <t>Projection: prior + net income to Copart + SBC + option proceeds − repurchases (no OCI movement assumed)</t>
        </is>
      </c>
    </row>
    <row r="74">
      <c r="B74" s="339" t="inlineStr">
        <is>
          <t>Noncontrolling interest</t>
        </is>
      </c>
      <c r="C74" s="364" t="inlineStr">
        <is>
          <t>$M</t>
        </is>
      </c>
      <c r="D74" s="351">
        <f>'PB BS (Annual)'!Q148/1000</f>
        <v/>
      </c>
      <c r="E74" s="351">
        <f>'PB BS (Annual)'!P148/1000</f>
        <v/>
      </c>
      <c r="F74" s="351">
        <f>'PB BS (Annual)'!O148/1000</f>
        <v/>
      </c>
      <c r="G74" s="351">
        <f>'PB BS (Annual)'!N148/1000</f>
        <v/>
      </c>
      <c r="H74" s="351">
        <f>'PB BS (Annual)'!M148/1000</f>
        <v/>
      </c>
      <c r="I74" s="366">
        <f>H74-I25</f>
        <v/>
      </c>
      <c r="J74" s="366">
        <f>I74-J25</f>
        <v/>
      </c>
      <c r="K74" s="366">
        <f>J74-K25</f>
        <v/>
      </c>
      <c r="L74" s="366">
        <f>K74-L25</f>
        <v/>
      </c>
      <c r="M74" s="366">
        <f>L74-M25</f>
        <v/>
      </c>
      <c r="O74" s="335" t="inlineStr">
        <is>
          <t>Projection: prior less the NCI loss carried on the income statement (0 by assumption)</t>
        </is>
      </c>
    </row>
    <row r="75">
      <c r="B75" s="343" t="inlineStr">
        <is>
          <t>Total equity</t>
        </is>
      </c>
      <c r="C75" s="364" t="inlineStr">
        <is>
          <t>$M</t>
        </is>
      </c>
      <c r="D75" s="367">
        <f>D73+D74</f>
        <v/>
      </c>
      <c r="E75" s="367">
        <f>E73+E74</f>
        <v/>
      </c>
      <c r="F75" s="367">
        <f>F73+F74</f>
        <v/>
      </c>
      <c r="G75" s="367">
        <f>G73+G74</f>
        <v/>
      </c>
      <c r="H75" s="367">
        <f>H73+H74</f>
        <v/>
      </c>
      <c r="I75" s="367">
        <f>I73+I74</f>
        <v/>
      </c>
      <c r="J75" s="367">
        <f>J73+J74</f>
        <v/>
      </c>
      <c r="K75" s="367">
        <f>K73+K74</f>
        <v/>
      </c>
      <c r="L75" s="367">
        <f>L73+L74</f>
        <v/>
      </c>
      <c r="M75" s="367">
        <f>M73+M74</f>
        <v/>
      </c>
    </row>
    <row r="76">
      <c r="B76" s="343" t="inlineStr">
        <is>
          <t>Total liabilities and equity</t>
        </is>
      </c>
      <c r="C76" s="364" t="inlineStr">
        <is>
          <t>$M</t>
        </is>
      </c>
      <c r="D76" s="367">
        <f>D71+D75</f>
        <v/>
      </c>
      <c r="E76" s="367">
        <f>E71+E75</f>
        <v/>
      </c>
      <c r="F76" s="367">
        <f>F71+F75</f>
        <v/>
      </c>
      <c r="G76" s="367">
        <f>G71+G75</f>
        <v/>
      </c>
      <c r="H76" s="367">
        <f>H71+H75</f>
        <v/>
      </c>
      <c r="I76" s="367">
        <f>I71+I75</f>
        <v/>
      </c>
      <c r="J76" s="367">
        <f>J71+J75</f>
        <v/>
      </c>
      <c r="K76" s="367">
        <f>K71+K75</f>
        <v/>
      </c>
      <c r="L76" s="367">
        <f>L71+L75</f>
        <v/>
      </c>
      <c r="M76" s="367">
        <f>M71+M75</f>
        <v/>
      </c>
    </row>
    <row r="77">
      <c r="B77" s="347" t="inlineStr">
        <is>
          <t>Balance check (assets − liabilities and equity; should be 0)</t>
        </is>
      </c>
      <c r="C77" s="364" t="inlineStr">
        <is>
          <t>$M</t>
        </is>
      </c>
      <c r="D77" s="379">
        <f>ROUND(D62-D76,3)</f>
        <v/>
      </c>
      <c r="E77" s="379">
        <f>ROUND(E62-E76,3)</f>
        <v/>
      </c>
      <c r="F77" s="379">
        <f>ROUND(F62-F76,3)</f>
        <v/>
      </c>
      <c r="G77" s="379">
        <f>ROUND(G62-G76,3)</f>
        <v/>
      </c>
      <c r="H77" s="379">
        <f>ROUND(H62-H76,3)</f>
        <v/>
      </c>
      <c r="I77" s="379">
        <f>ROUND(I62-I76,3)</f>
        <v/>
      </c>
      <c r="J77" s="379">
        <f>ROUND(J62-J76,3)</f>
        <v/>
      </c>
      <c r="K77" s="379">
        <f>ROUND(K62-K76,3)</f>
        <v/>
      </c>
      <c r="L77" s="379">
        <f>ROUND(L62-L76,3)</f>
        <v/>
      </c>
      <c r="M77" s="379">
        <f>ROUND(M62-M76,3)</f>
        <v/>
      </c>
    </row>
    <row r="78"/>
    <row r="79">
      <c r="B79" s="344" t="inlineStr">
        <is>
          <t>Barclays parity — balance sheet</t>
        </is>
      </c>
      <c r="C79" s="345" t="n"/>
      <c r="D79" s="345" t="n"/>
      <c r="E79" s="345" t="n"/>
      <c r="F79" s="345" t="n"/>
      <c r="G79" s="345" t="n"/>
      <c r="H79" s="345" t="n"/>
      <c r="I79" s="345" t="n"/>
      <c r="J79" s="345" t="n"/>
      <c r="K79" s="345" t="n"/>
      <c r="L79" s="345" t="n"/>
      <c r="M79" s="345" t="n"/>
      <c r="N79" s="345" t="n"/>
      <c r="O79" s="345" t="n"/>
      <c r="P79" s="345" t="n"/>
      <c r="Q79" s="345" t="n"/>
      <c r="R79" s="345" t="n"/>
      <c r="S79" s="345" t="n"/>
    </row>
    <row r="80">
      <c r="B80" s="339" t="inlineStr">
        <is>
          <t>Debt, Barclays definition (lease liabilities, current + non-current)</t>
        </is>
      </c>
      <c r="C80" s="364" t="inlineStr">
        <is>
          <t>$M</t>
        </is>
      </c>
      <c r="D80" s="366">
        <f>D66+D68</f>
        <v/>
      </c>
      <c r="E80" s="366">
        <f>E66+E68</f>
        <v/>
      </c>
      <c r="F80" s="366">
        <f>F66+F68</f>
        <v/>
      </c>
      <c r="G80" s="366">
        <f>G66+G68</f>
        <v/>
      </c>
      <c r="H80" s="366">
        <f>H66+H68</f>
        <v/>
      </c>
      <c r="I80" s="366">
        <f>I66+I68</f>
        <v/>
      </c>
      <c r="J80" s="366">
        <f>J66+J68</f>
        <v/>
      </c>
      <c r="K80" s="366">
        <f>K66+K68</f>
        <v/>
      </c>
      <c r="L80" s="366">
        <f>L66+L68</f>
        <v/>
      </c>
      <c r="M80" s="366">
        <f>M66+M68</f>
        <v/>
      </c>
    </row>
    <row r="81">
      <c r="B81" s="339" t="inlineStr">
        <is>
          <t>Barclays cash and equivalents</t>
        </is>
      </c>
      <c r="C81" s="364" t="inlineStr">
        <is>
          <t>$M</t>
        </is>
      </c>
      <c r="H81" s="351">
        <f>'D Barclays'!D12</f>
        <v/>
      </c>
      <c r="I81" s="351">
        <f>'D Barclays'!E12</f>
        <v/>
      </c>
      <c r="J81" s="351">
        <f>'D Barclays'!F12</f>
        <v/>
      </c>
      <c r="K81" s="351">
        <f>'D Barclays'!G12</f>
        <v/>
      </c>
    </row>
    <row r="82">
      <c r="B82" s="408" t="inlineStr">
        <is>
          <t>Δ cash &amp; HTM</t>
        </is>
      </c>
      <c r="C82" s="364" t="inlineStr">
        <is>
          <t>$M</t>
        </is>
      </c>
      <c r="H82" s="366">
        <f>H49-H81</f>
        <v/>
      </c>
      <c r="I82" s="366">
        <f>I49-I81</f>
        <v/>
      </c>
      <c r="J82" s="366">
        <f>J49-J81</f>
        <v/>
      </c>
      <c r="K82" s="366">
        <f>K49-K81</f>
        <v/>
      </c>
    </row>
    <row r="83">
      <c r="B83" s="339" t="inlineStr">
        <is>
          <t>Barclays total assets</t>
        </is>
      </c>
      <c r="C83" s="364" t="inlineStr">
        <is>
          <t>$M</t>
        </is>
      </c>
      <c r="H83" s="351">
        <f>'D Barclays'!D13</f>
        <v/>
      </c>
      <c r="I83" s="351">
        <f>'D Barclays'!E13</f>
        <v/>
      </c>
      <c r="J83" s="351">
        <f>'D Barclays'!F13</f>
        <v/>
      </c>
      <c r="K83" s="351">
        <f>'D Barclays'!G13</f>
        <v/>
      </c>
    </row>
    <row r="84">
      <c r="B84" s="408" t="inlineStr">
        <is>
          <t>Δ total assets</t>
        </is>
      </c>
      <c r="C84" s="364" t="inlineStr">
        <is>
          <t>$M</t>
        </is>
      </c>
      <c r="H84" s="366">
        <f>H62-H83</f>
        <v/>
      </c>
      <c r="I84" s="366">
        <f>I62-I83</f>
        <v/>
      </c>
      <c r="J84" s="366">
        <f>J62-J83</f>
        <v/>
      </c>
      <c r="K84" s="366">
        <f>K62-K83</f>
        <v/>
      </c>
    </row>
    <row r="85">
      <c r="B85" s="339" t="inlineStr">
        <is>
          <t>Barclays debt</t>
        </is>
      </c>
      <c r="C85" s="364" t="inlineStr">
        <is>
          <t>$M</t>
        </is>
      </c>
      <c r="H85" s="351">
        <f>'D Barclays'!D14</f>
        <v/>
      </c>
      <c r="I85" s="351">
        <f>'D Barclays'!E14</f>
        <v/>
      </c>
      <c r="J85" s="351">
        <f>'D Barclays'!F14</f>
        <v/>
      </c>
      <c r="K85" s="351">
        <f>'D Barclays'!G14</f>
        <v/>
      </c>
    </row>
    <row r="86">
      <c r="B86" s="408" t="inlineStr">
        <is>
          <t>Δ debt</t>
        </is>
      </c>
      <c r="C86" s="364" t="inlineStr">
        <is>
          <t>$M</t>
        </is>
      </c>
      <c r="H86" s="366">
        <f>H80-H85</f>
        <v/>
      </c>
      <c r="I86" s="366">
        <f>I80-I85</f>
        <v/>
      </c>
      <c r="J86" s="366">
        <f>J80-J85</f>
        <v/>
      </c>
      <c r="K86" s="366">
        <f>K80-K85</f>
        <v/>
      </c>
    </row>
    <row r="87">
      <c r="B87" s="339" t="inlineStr">
        <is>
          <t>Barclays shareholders' equity</t>
        </is>
      </c>
      <c r="C87" s="364" t="inlineStr">
        <is>
          <t>$M</t>
        </is>
      </c>
      <c r="H87" s="351">
        <f>'D Barclays'!D16</f>
        <v/>
      </c>
      <c r="I87" s="351">
        <f>'D Barclays'!E16</f>
        <v/>
      </c>
      <c r="J87" s="351">
        <f>'D Barclays'!F16</f>
        <v/>
      </c>
      <c r="K87" s="351">
        <f>'D Barclays'!G16</f>
        <v/>
      </c>
    </row>
    <row r="88">
      <c r="B88" s="408" t="inlineStr">
        <is>
          <t>Δ Copart stockholders' equity</t>
        </is>
      </c>
      <c r="C88" s="364" t="inlineStr">
        <is>
          <t>$M</t>
        </is>
      </c>
      <c r="H88" s="366">
        <f>H73-H87</f>
        <v/>
      </c>
      <c r="I88" s="366">
        <f>I73-I87</f>
        <v/>
      </c>
      <c r="J88" s="366">
        <f>J73-J87</f>
        <v/>
      </c>
      <c r="K88" s="366">
        <f>K73-K87</f>
        <v/>
      </c>
    </row>
    <row r="89"/>
    <row r="90">
      <c r="B90" s="336" t="inlineStr">
        <is>
          <t>Cash flow statement</t>
        </is>
      </c>
      <c r="C90" s="337" t="n"/>
      <c r="D90" s="376" t="inlineStr">
        <is>
          <t>FY2022A</t>
        </is>
      </c>
      <c r="E90" s="376" t="inlineStr">
        <is>
          <t>FY2023A</t>
        </is>
      </c>
      <c r="F90" s="376" t="inlineStr">
        <is>
          <t>FY2024A</t>
        </is>
      </c>
      <c r="G90" s="376" t="inlineStr">
        <is>
          <t>FY2025A</t>
        </is>
      </c>
      <c r="H90" s="376" t="inlineStr">
        <is>
          <t>FY2026A</t>
        </is>
      </c>
      <c r="I90" s="376" t="inlineStr">
        <is>
          <t>FY2027E</t>
        </is>
      </c>
      <c r="J90" s="376" t="inlineStr">
        <is>
          <t>FY2028E</t>
        </is>
      </c>
      <c r="K90" s="376" t="inlineStr">
        <is>
          <t>FY2029E</t>
        </is>
      </c>
      <c r="L90" s="376" t="inlineStr">
        <is>
          <t>FY2030E</t>
        </is>
      </c>
      <c r="M90" s="376" t="inlineStr">
        <is>
          <t>FY2031E</t>
        </is>
      </c>
      <c r="N90" s="337" t="n"/>
      <c r="O90" s="337" t="n"/>
      <c r="P90" s="337" t="n"/>
      <c r="Q90" s="337" t="n"/>
      <c r="R90" s="337" t="n"/>
      <c r="S90" s="337" t="n"/>
    </row>
    <row r="91">
      <c r="B91" s="343" t="inlineStr">
        <is>
          <t>Operating activities</t>
        </is>
      </c>
    </row>
    <row r="92">
      <c r="B92" s="339" t="inlineStr">
        <is>
          <t>Net income (consolidated)</t>
        </is>
      </c>
      <c r="C92" s="364" t="inlineStr">
        <is>
          <t>$M</t>
        </is>
      </c>
      <c r="D92" s="351">
        <f>'PB CF (Annual)'!Q14/1000</f>
        <v/>
      </c>
      <c r="E92" s="351">
        <f>'PB CF (Annual)'!P14/1000</f>
        <v/>
      </c>
      <c r="F92" s="351">
        <f>'PB CF (Annual)'!O14/1000</f>
        <v/>
      </c>
      <c r="G92" s="351">
        <f>'PB CF (Annual)'!N14/1000</f>
        <v/>
      </c>
      <c r="H92" s="351">
        <f>'PB CF (Annual)'!M14/1000</f>
        <v/>
      </c>
      <c r="I92" s="366">
        <f>I24</f>
        <v/>
      </c>
      <c r="J92" s="366">
        <f>J24</f>
        <v/>
      </c>
      <c r="K92" s="366">
        <f>K24</f>
        <v/>
      </c>
      <c r="L92" s="366">
        <f>L24</f>
        <v/>
      </c>
      <c r="M92" s="366">
        <f>M24</f>
        <v/>
      </c>
    </row>
    <row r="93">
      <c r="B93" s="339" t="inlineStr">
        <is>
          <t>(+) Depreciation and amortization</t>
        </is>
      </c>
      <c r="C93" s="364" t="inlineStr">
        <is>
          <t>$M</t>
        </is>
      </c>
      <c r="D93" s="351">
        <f>'PB CF (Annual)'!Q17/1000</f>
        <v/>
      </c>
      <c r="E93" s="351">
        <f>'PB CF (Annual)'!P17/1000</f>
        <v/>
      </c>
      <c r="F93" s="351">
        <f>'PB CF (Annual)'!O17/1000</f>
        <v/>
      </c>
      <c r="G93" s="351">
        <f>'PB CF (Annual)'!N17/1000</f>
        <v/>
      </c>
      <c r="H93" s="351">
        <f>'PB CF (Annual)'!M17/1000</f>
        <v/>
      </c>
      <c r="I93" s="366">
        <f>I17</f>
        <v/>
      </c>
      <c r="J93" s="366">
        <f>J17</f>
        <v/>
      </c>
      <c r="K93" s="366">
        <f>K17</f>
        <v/>
      </c>
      <c r="L93" s="366">
        <f>L17</f>
        <v/>
      </c>
      <c r="M93" s="366">
        <f>M17</f>
        <v/>
      </c>
      <c r="O93" s="335" t="inlineStr">
        <is>
          <t>History: cash-flow D&amp;A incl. debt-cost amortisation (FY26 238.5 vs 229.4 on the income statement)</t>
        </is>
      </c>
    </row>
    <row r="94">
      <c r="B94" s="339" t="inlineStr">
        <is>
          <t>(+) Stock-based compensation</t>
        </is>
      </c>
      <c r="C94" s="364" t="inlineStr">
        <is>
          <t>$M</t>
        </is>
      </c>
      <c r="D94" s="351">
        <f>'PB CF (Annual)'!Q20/1000</f>
        <v/>
      </c>
      <c r="E94" s="351">
        <f>'PB CF (Annual)'!P20/1000</f>
        <v/>
      </c>
      <c r="F94" s="351">
        <f>'PB CF (Annual)'!O20/1000</f>
        <v/>
      </c>
      <c r="G94" s="351">
        <f>'PB CF (Annual)'!N20/1000</f>
        <v/>
      </c>
      <c r="H94" s="351">
        <f>'PB CF (Annual)'!M20/1000</f>
        <v/>
      </c>
      <c r="I94" s="366">
        <f>I152</f>
        <v/>
      </c>
      <c r="J94" s="366">
        <f>J152</f>
        <v/>
      </c>
      <c r="K94" s="366">
        <f>K152</f>
        <v/>
      </c>
      <c r="L94" s="366">
        <f>L152</f>
        <v/>
      </c>
      <c r="M94" s="366">
        <f>M152</f>
        <v/>
      </c>
      <c r="O94" s="335" t="inlineStr">
        <is>
          <t>Projection: schedule 4</t>
        </is>
      </c>
    </row>
    <row r="95">
      <c r="B95" s="339" t="inlineStr">
        <is>
          <t>(+) Other non-cash items (deferred taxes, disposals, other)</t>
        </is>
      </c>
      <c r="C95" s="364" t="inlineStr">
        <is>
          <t>$M</t>
        </is>
      </c>
      <c r="D95" s="351">
        <f>'PB CF (Annual)'!Q35/1000-'PB CF (Annual)'!Q17/1000-'PB CF (Annual)'!Q20/1000</f>
        <v/>
      </c>
      <c r="E95" s="351">
        <f>'PB CF (Annual)'!P35/1000-'PB CF (Annual)'!P17/1000-'PB CF (Annual)'!P20/1000</f>
        <v/>
      </c>
      <c r="F95" s="351">
        <f>'PB CF (Annual)'!O35/1000-'PB CF (Annual)'!O17/1000-'PB CF (Annual)'!O20/1000</f>
        <v/>
      </c>
      <c r="G95" s="351">
        <f>'PB CF (Annual)'!N35/1000-'PB CF (Annual)'!N17/1000-'PB CF (Annual)'!N20/1000</f>
        <v/>
      </c>
      <c r="H95" s="351">
        <f>'PB CF (Annual)'!M35/1000-'PB CF (Annual)'!M17/1000-'PB CF (Annual)'!M20/1000</f>
        <v/>
      </c>
      <c r="I95" s="414" t="n">
        <v>0</v>
      </c>
      <c r="J95" s="414" t="n">
        <v>0</v>
      </c>
      <c r="K95" s="414" t="n">
        <v>0</v>
      </c>
      <c r="L95" s="414" t="n">
        <v>0</v>
      </c>
      <c r="M95" s="414" t="n">
        <v>0</v>
      </c>
      <c r="O95" s="335" t="inlineStr">
        <is>
          <t>ASSUMED 0 in projection (FY26: 54.4, mostly deferred taxes)</t>
        </is>
      </c>
    </row>
    <row r="96">
      <c r="B96" s="339" t="inlineStr">
        <is>
          <t>(−) Change in operating working capital</t>
        </is>
      </c>
      <c r="C96" s="364" t="inlineStr">
        <is>
          <t>$M</t>
        </is>
      </c>
      <c r="D96" s="351">
        <f>'PB CF (Annual)'!Q55/1000</f>
        <v/>
      </c>
      <c r="E96" s="351">
        <f>'PB CF (Annual)'!P55/1000</f>
        <v/>
      </c>
      <c r="F96" s="351">
        <f>'PB CF (Annual)'!O55/1000</f>
        <v/>
      </c>
      <c r="G96" s="351">
        <f>'PB CF (Annual)'!N55/1000</f>
        <v/>
      </c>
      <c r="H96" s="351">
        <f>'PB CF (Annual)'!M55/1000</f>
        <v/>
      </c>
      <c r="I96" s="366">
        <f>I176</f>
        <v/>
      </c>
      <c r="J96" s="366">
        <f>J176</f>
        <v/>
      </c>
      <c r="K96" s="366">
        <f>K176</f>
        <v/>
      </c>
      <c r="L96" s="366">
        <f>L176</f>
        <v/>
      </c>
      <c r="M96" s="366">
        <f>M176</f>
        <v/>
      </c>
      <c r="O96" s="335" t="inlineStr">
        <is>
          <t>Projection: selected method (schedule 6; default = Barclays −83 a year)</t>
        </is>
      </c>
    </row>
    <row r="97">
      <c r="B97" s="343" t="inlineStr">
        <is>
          <t>Cash flow from operations</t>
        </is>
      </c>
      <c r="C97" s="364" t="inlineStr">
        <is>
          <t>$M</t>
        </is>
      </c>
      <c r="D97" s="367">
        <f>SUM(D92:D96)</f>
        <v/>
      </c>
      <c r="E97" s="367">
        <f>SUM(E92:E96)</f>
        <v/>
      </c>
      <c r="F97" s="367">
        <f>SUM(F92:F96)</f>
        <v/>
      </c>
      <c r="G97" s="367">
        <f>SUM(G92:G96)</f>
        <v/>
      </c>
      <c r="H97" s="367">
        <f>SUM(H92:H96)</f>
        <v/>
      </c>
      <c r="I97" s="367">
        <f>SUM(I92:I96)</f>
        <v/>
      </c>
      <c r="J97" s="367">
        <f>SUM(J92:J96)</f>
        <v/>
      </c>
      <c r="K97" s="367">
        <f>SUM(K92:K96)</f>
        <v/>
      </c>
      <c r="L97" s="367">
        <f>SUM(L92:L96)</f>
        <v/>
      </c>
      <c r="M97" s="367">
        <f>SUM(M92:M96)</f>
        <v/>
      </c>
    </row>
    <row r="98">
      <c r="B98" s="343" t="inlineStr">
        <is>
          <t>Investing activities</t>
        </is>
      </c>
    </row>
    <row r="99">
      <c r="B99" s="339" t="inlineStr">
        <is>
          <t>(−) Purchases of property and equipment</t>
        </is>
      </c>
      <c r="C99" s="364" t="inlineStr">
        <is>
          <t>$M</t>
        </is>
      </c>
      <c r="D99" s="351">
        <f>'PB CF (Annual)'!Q64/1000</f>
        <v/>
      </c>
      <c r="E99" s="351">
        <f>'PB CF (Annual)'!P64/1000</f>
        <v/>
      </c>
      <c r="F99" s="351">
        <f>'PB CF (Annual)'!O64/1000</f>
        <v/>
      </c>
      <c r="G99" s="351">
        <f>'PB CF (Annual)'!N64/1000</f>
        <v/>
      </c>
      <c r="H99" s="351">
        <f>'PB CF (Annual)'!M64/1000</f>
        <v/>
      </c>
      <c r="I99" s="366">
        <f>I139</f>
        <v/>
      </c>
      <c r="J99" s="366">
        <f>J139</f>
        <v/>
      </c>
      <c r="K99" s="366">
        <f>K139</f>
        <v/>
      </c>
      <c r="L99" s="366">
        <f>L139</f>
        <v/>
      </c>
      <c r="M99" s="366">
        <f>M139</f>
        <v/>
      </c>
      <c r="O99" s="335" t="inlineStr">
        <is>
          <t>Projection: schedule 2 (Barclays −500 a year FY27–29)</t>
        </is>
      </c>
    </row>
    <row r="100">
      <c r="B100" s="339" t="inlineStr">
        <is>
          <t>(+) Proceeds from disposals of property and equipment</t>
        </is>
      </c>
      <c r="C100" s="364" t="inlineStr">
        <is>
          <t>$M</t>
        </is>
      </c>
      <c r="D100" s="351">
        <f>'PB CF (Annual)'!Q65/1000</f>
        <v/>
      </c>
      <c r="E100" s="351">
        <f>'PB CF (Annual)'!P65/1000</f>
        <v/>
      </c>
      <c r="F100" s="351">
        <f>'PB CF (Annual)'!O65/1000</f>
        <v/>
      </c>
      <c r="G100" s="351">
        <f>'PB CF (Annual)'!N65/1000</f>
        <v/>
      </c>
      <c r="H100" s="351">
        <f>'PB CF (Annual)'!M65/1000</f>
        <v/>
      </c>
      <c r="I100" s="414" t="n">
        <v>0</v>
      </c>
      <c r="J100" s="414" t="n">
        <v>0</v>
      </c>
      <c r="K100" s="414" t="n">
        <v>0</v>
      </c>
      <c r="L100" s="414" t="n">
        <v>0</v>
      </c>
      <c r="M100" s="414" t="n">
        <v>0</v>
      </c>
      <c r="O100" s="335" t="inlineStr">
        <is>
          <t>ASSUMED 0</t>
        </is>
      </c>
    </row>
    <row r="101">
      <c r="B101" s="339" t="inlineStr">
        <is>
          <t>(−) Acquisitions and investments in businesses (ACV if toggled)</t>
        </is>
      </c>
      <c r="C101" s="364" t="inlineStr">
        <is>
          <t>$M</t>
        </is>
      </c>
      <c r="D101" s="351">
        <f>'PB CF (Annual)'!Q70/1000+'PB CF (Annual)'!Q73/1000</f>
        <v/>
      </c>
      <c r="E101" s="351">
        <f>'PB CF (Annual)'!P70/1000+'PB CF (Annual)'!P73/1000</f>
        <v/>
      </c>
      <c r="F101" s="351">
        <f>'PB CF (Annual)'!O70/1000+'PB CF (Annual)'!O73/1000</f>
        <v/>
      </c>
      <c r="G101" s="351">
        <f>'PB CF (Annual)'!N70/1000+'PB CF (Annual)'!N73/1000</f>
        <v/>
      </c>
      <c r="H101" s="351">
        <f>'PB CF (Annual)'!M70/1000+'PB CF (Annual)'!M73/1000</f>
        <v/>
      </c>
      <c r="I101" s="366">
        <f>-I187</f>
        <v/>
      </c>
      <c r="J101" s="366">
        <f>-J187</f>
        <v/>
      </c>
      <c r="K101" s="366">
        <f>-K187</f>
        <v/>
      </c>
      <c r="L101" s="366">
        <f>-L187</f>
        <v/>
      </c>
      <c r="M101" s="366">
        <f>-M187</f>
        <v/>
      </c>
      <c r="O101" s="335" t="inlineStr">
        <is>
          <t>Projection: ACV cash consideration in the close year when the DCF toggle is on (schedule 8)</t>
        </is>
      </c>
    </row>
    <row r="102">
      <c r="B102" s="339" t="inlineStr">
        <is>
          <t>(−) Net purchases of held-to-maturity securities</t>
        </is>
      </c>
      <c r="C102" s="364" t="inlineStr">
        <is>
          <t>$M</t>
        </is>
      </c>
      <c r="D102" s="351">
        <f>'PB CF (Annual)'!Q77/1000</f>
        <v/>
      </c>
      <c r="E102" s="351">
        <f>'PB CF (Annual)'!P77/1000</f>
        <v/>
      </c>
      <c r="F102" s="351">
        <f>'PB CF (Annual)'!O77/1000</f>
        <v/>
      </c>
      <c r="G102" s="351">
        <f>'PB CF (Annual)'!N77/1000</f>
        <v/>
      </c>
      <c r="H102" s="351">
        <f>'PB CF (Annual)'!M77/1000</f>
        <v/>
      </c>
      <c r="I102" s="414" t="n">
        <v>0</v>
      </c>
      <c r="J102" s="414" t="n">
        <v>0</v>
      </c>
      <c r="K102" s="414" t="n">
        <v>0</v>
      </c>
      <c r="L102" s="414" t="n">
        <v>0</v>
      </c>
      <c r="M102" s="414" t="n">
        <v>0</v>
      </c>
      <c r="O102" s="335" t="inlineStr">
        <is>
          <t>ASSUMED 0: HTM held flat (balance sheet)</t>
        </is>
      </c>
    </row>
    <row r="103">
      <c r="B103" s="339" t="inlineStr">
        <is>
          <t>Other investing</t>
        </is>
      </c>
      <c r="C103" s="364" t="inlineStr">
        <is>
          <t>$M</t>
        </is>
      </c>
      <c r="D103" s="351">
        <f>'PB CF (Annual)'!Q84/1000-(D99+D100+D101+D102)</f>
        <v/>
      </c>
      <c r="E103" s="351">
        <f>'PB CF (Annual)'!P84/1000-(E99+E100+E101+E102)</f>
        <v/>
      </c>
      <c r="F103" s="351">
        <f>'PB CF (Annual)'!O84/1000-(F99+F100+F101+F102)</f>
        <v/>
      </c>
      <c r="G103" s="351">
        <f>'PB CF (Annual)'!N84/1000-(G99+G100+G101+G102)</f>
        <v/>
      </c>
      <c r="H103" s="351">
        <f>'PB CF (Annual)'!M84/1000-(H99+H100+H101+H102)</f>
        <v/>
      </c>
      <c r="I103" s="414" t="n">
        <v>0</v>
      </c>
      <c r="J103" s="414" t="n">
        <v>0</v>
      </c>
      <c r="K103" s="414" t="n">
        <v>0</v>
      </c>
      <c r="L103" s="414" t="n">
        <v>0</v>
      </c>
      <c r="M103" s="414" t="n">
        <v>0</v>
      </c>
      <c r="O103" s="335" t="inlineStr">
        <is>
          <t>History: residual to PitchBook total investing cash flow</t>
        </is>
      </c>
    </row>
    <row r="104">
      <c r="B104" s="343" t="inlineStr">
        <is>
          <t>Cash flow from investing</t>
        </is>
      </c>
      <c r="C104" s="364" t="inlineStr">
        <is>
          <t>$M</t>
        </is>
      </c>
      <c r="D104" s="367">
        <f>SUM(D99:D103)</f>
        <v/>
      </c>
      <c r="E104" s="367">
        <f>SUM(E99:E103)</f>
        <v/>
      </c>
      <c r="F104" s="367">
        <f>SUM(F99:F103)</f>
        <v/>
      </c>
      <c r="G104" s="367">
        <f>SUM(G99:G103)</f>
        <v/>
      </c>
      <c r="H104" s="367">
        <f>SUM(H99:H103)</f>
        <v/>
      </c>
      <c r="I104" s="367">
        <f>SUM(I99:I103)</f>
        <v/>
      </c>
      <c r="J104" s="367">
        <f>SUM(J99:J103)</f>
        <v/>
      </c>
      <c r="K104" s="367">
        <f>SUM(K99:K103)</f>
        <v/>
      </c>
      <c r="L104" s="367">
        <f>SUM(L99:L103)</f>
        <v/>
      </c>
      <c r="M104" s="367">
        <f>SUM(M99:M103)</f>
        <v/>
      </c>
    </row>
    <row r="105">
      <c r="B105" s="343" t="inlineStr">
        <is>
          <t>Financing activities</t>
        </is>
      </c>
    </row>
    <row r="106">
      <c r="B106" s="339" t="inlineStr">
        <is>
          <t>(−) Repurchases of common stock</t>
        </is>
      </c>
      <c r="C106" s="364" t="inlineStr">
        <is>
          <t>$M</t>
        </is>
      </c>
      <c r="D106" s="351">
        <f>'PB CF (Annual)'!Q90/1000</f>
        <v/>
      </c>
      <c r="E106" s="351">
        <f>'PB CF (Annual)'!P90/1000</f>
        <v/>
      </c>
      <c r="F106" s="351">
        <f>'PB CF (Annual)'!O90/1000</f>
        <v/>
      </c>
      <c r="G106" s="351">
        <f>'PB CF (Annual)'!N90/1000</f>
        <v/>
      </c>
      <c r="H106" s="351">
        <f>'PB CF (Annual)'!M90/1000</f>
        <v/>
      </c>
      <c r="I106" s="366">
        <f>-I155</f>
        <v/>
      </c>
      <c r="J106" s="366">
        <f>-J155</f>
        <v/>
      </c>
      <c r="K106" s="366">
        <f>-K155</f>
        <v/>
      </c>
      <c r="L106" s="366">
        <f>-L155</f>
        <v/>
      </c>
      <c r="M106" s="366">
        <f>-M155</f>
        <v/>
      </c>
      <c r="O106" s="335" t="inlineStr">
        <is>
          <t>Projection: schedule 5 (input, default 0)</t>
        </is>
      </c>
    </row>
    <row r="107">
      <c r="B107" s="339" t="inlineStr">
        <is>
          <t>(+) Proceeds from stock options and ESPP</t>
        </is>
      </c>
      <c r="C107" s="364" t="inlineStr">
        <is>
          <t>$M</t>
        </is>
      </c>
      <c r="D107" s="351">
        <f>'PB CF (Annual)'!Q109/1000</f>
        <v/>
      </c>
      <c r="E107" s="351">
        <f>'PB CF (Annual)'!P109/1000</f>
        <v/>
      </c>
      <c r="F107" s="351">
        <f>'PB CF (Annual)'!O109/1000</f>
        <v/>
      </c>
      <c r="G107" s="351">
        <f>'PB CF (Annual)'!N109/1000</f>
        <v/>
      </c>
      <c r="H107" s="351">
        <f>'PB CF (Annual)'!M109/1000</f>
        <v/>
      </c>
      <c r="I107" s="366">
        <f>H107</f>
        <v/>
      </c>
      <c r="J107" s="366">
        <f>I107</f>
        <v/>
      </c>
      <c r="K107" s="366">
        <f>J107</f>
        <v/>
      </c>
      <c r="L107" s="366">
        <f>K107</f>
        <v/>
      </c>
      <c r="M107" s="366">
        <f>L107</f>
        <v/>
      </c>
      <c r="O107" s="335" t="inlineStr">
        <is>
          <t>ASSUMED held at FY2026 (31.0)</t>
        </is>
      </c>
    </row>
    <row r="108">
      <c r="B108" s="339" t="inlineStr">
        <is>
          <t>Debt and lease repayments, issuance costs</t>
        </is>
      </c>
      <c r="C108" s="364" t="inlineStr">
        <is>
          <t>$M</t>
        </is>
      </c>
      <c r="D108" s="351">
        <f>'PB CF (Annual)'!Q100/1000+'PB CF (Annual)'!Q103/1000+'PB CF (Annual)'!Q106/1000</f>
        <v/>
      </c>
      <c r="E108" s="351">
        <f>'PB CF (Annual)'!P100/1000+'PB CF (Annual)'!P103/1000+'PB CF (Annual)'!P106/1000</f>
        <v/>
      </c>
      <c r="F108" s="351">
        <f>'PB CF (Annual)'!O100/1000+'PB CF (Annual)'!O103/1000+'PB CF (Annual)'!O106/1000</f>
        <v/>
      </c>
      <c r="G108" s="351">
        <f>'PB CF (Annual)'!N100/1000+'PB CF (Annual)'!N103/1000+'PB CF (Annual)'!N106/1000</f>
        <v/>
      </c>
      <c r="H108" s="351">
        <f>'PB CF (Annual)'!M100/1000+'PB CF (Annual)'!M103/1000+'PB CF (Annual)'!M106/1000</f>
        <v/>
      </c>
      <c r="I108" s="414" t="n">
        <v>0</v>
      </c>
      <c r="J108" s="414" t="n">
        <v>0</v>
      </c>
      <c r="K108" s="414" t="n">
        <v>0</v>
      </c>
      <c r="L108" s="414" t="n">
        <v>0</v>
      </c>
      <c r="M108" s="414" t="n">
        <v>0</v>
      </c>
      <c r="O108" s="335" t="inlineStr">
        <is>
          <t>ASSUMED 0 (no funded debt)</t>
        </is>
      </c>
    </row>
    <row r="109">
      <c r="B109" s="339" t="inlineStr">
        <is>
          <t>Other financing (incl. tax withholding on equity awards, NCI)</t>
        </is>
      </c>
      <c r="C109" s="364" t="inlineStr">
        <is>
          <t>$M</t>
        </is>
      </c>
      <c r="D109" s="351">
        <f>'PB CF (Annual)'!Q112/1000-(D106+D107+D108)</f>
        <v/>
      </c>
      <c r="E109" s="351">
        <f>'PB CF (Annual)'!P112/1000-(E106+E107+E108)</f>
        <v/>
      </c>
      <c r="F109" s="351">
        <f>'PB CF (Annual)'!O112/1000-(F106+F107+F108)</f>
        <v/>
      </c>
      <c r="G109" s="351">
        <f>'PB CF (Annual)'!N112/1000-(G106+G107+G108)</f>
        <v/>
      </c>
      <c r="H109" s="351">
        <f>'PB CF (Annual)'!M112/1000-(H106+H107+H108)</f>
        <v/>
      </c>
      <c r="I109" s="414" t="n">
        <v>0</v>
      </c>
      <c r="J109" s="414" t="n">
        <v>0</v>
      </c>
      <c r="K109" s="414" t="n">
        <v>0</v>
      </c>
      <c r="L109" s="414" t="n">
        <v>0</v>
      </c>
      <c r="M109" s="414" t="n">
        <v>0</v>
      </c>
      <c r="O109" s="335" t="inlineStr">
        <is>
          <t>History: residual to PitchBook total financing cash flow. ASSUMED 0</t>
        </is>
      </c>
    </row>
    <row r="110">
      <c r="B110" s="343" t="inlineStr">
        <is>
          <t>Cash flow from financing</t>
        </is>
      </c>
      <c r="C110" s="364" t="inlineStr">
        <is>
          <t>$M</t>
        </is>
      </c>
      <c r="D110" s="367">
        <f>SUM(D106:D109)</f>
        <v/>
      </c>
      <c r="E110" s="367">
        <f>SUM(E106:E109)</f>
        <v/>
      </c>
      <c r="F110" s="367">
        <f>SUM(F106:F109)</f>
        <v/>
      </c>
      <c r="G110" s="367">
        <f>SUM(G106:G109)</f>
        <v/>
      </c>
      <c r="H110" s="367">
        <f>SUM(H106:H109)</f>
        <v/>
      </c>
      <c r="I110" s="367">
        <f>SUM(I106:I109)</f>
        <v/>
      </c>
      <c r="J110" s="367">
        <f>SUM(J106:J109)</f>
        <v/>
      </c>
      <c r="K110" s="367">
        <f>SUM(K106:K109)</f>
        <v/>
      </c>
      <c r="L110" s="367">
        <f>SUM(L106:L109)</f>
        <v/>
      </c>
      <c r="M110" s="367">
        <f>SUM(M106:M109)</f>
        <v/>
      </c>
    </row>
    <row r="111">
      <c r="B111" s="339" t="inlineStr">
        <is>
          <t>Effect of exchange rates on cash</t>
        </is>
      </c>
      <c r="C111" s="364" t="inlineStr">
        <is>
          <t>$M</t>
        </is>
      </c>
      <c r="D111" s="351">
        <f>'PB CF (Annual)'!Q115/1000</f>
        <v/>
      </c>
      <c r="E111" s="351">
        <f>'PB CF (Annual)'!P115/1000</f>
        <v/>
      </c>
      <c r="F111" s="351">
        <f>'PB CF (Annual)'!O115/1000</f>
        <v/>
      </c>
      <c r="G111" s="351">
        <f>'PB CF (Annual)'!N115/1000</f>
        <v/>
      </c>
      <c r="H111" s="351">
        <f>'PB CF (Annual)'!M115/1000</f>
        <v/>
      </c>
      <c r="I111" s="414" t="n">
        <v>0</v>
      </c>
      <c r="J111" s="414" t="n">
        <v>0</v>
      </c>
      <c r="K111" s="414" t="n">
        <v>0</v>
      </c>
      <c r="L111" s="414" t="n">
        <v>0</v>
      </c>
      <c r="M111" s="414" t="n">
        <v>0</v>
      </c>
      <c r="O111" s="335" t="inlineStr">
        <is>
          <t>ASSUMED 0</t>
        </is>
      </c>
    </row>
    <row r="112">
      <c r="B112" s="343" t="inlineStr">
        <is>
          <t>Net change in cash and cash equivalents</t>
        </is>
      </c>
      <c r="C112" s="364" t="inlineStr">
        <is>
          <t>$M</t>
        </is>
      </c>
      <c r="D112" s="367">
        <f>D97+D104+D110+D111</f>
        <v/>
      </c>
      <c r="E112" s="367">
        <f>E97+E104+E110+E111</f>
        <v/>
      </c>
      <c r="F112" s="367">
        <f>F97+F104+F110+F111</f>
        <v/>
      </c>
      <c r="G112" s="367">
        <f>G97+G104+G110+G111</f>
        <v/>
      </c>
      <c r="H112" s="367">
        <f>H97+H104+H110+H111</f>
        <v/>
      </c>
      <c r="I112" s="367">
        <f>I97+I104+I110+I111</f>
        <v/>
      </c>
      <c r="J112" s="367">
        <f>J97+J104+J110+J111</f>
        <v/>
      </c>
      <c r="K112" s="367">
        <f>K97+K104+K110+K111</f>
        <v/>
      </c>
      <c r="L112" s="367">
        <f>L97+L104+L110+L111</f>
        <v/>
      </c>
      <c r="M112" s="367">
        <f>M97+M104+M110+M111</f>
        <v/>
      </c>
    </row>
    <row r="113">
      <c r="B113" s="339" t="inlineStr">
        <is>
          <t>Beginning cash and cash equivalents</t>
        </is>
      </c>
      <c r="C113" s="364" t="inlineStr">
        <is>
          <t>$M</t>
        </is>
      </c>
      <c r="D113" s="351">
        <f>'PB CF (Annual)'!Q117/1000</f>
        <v/>
      </c>
      <c r="E113" s="351">
        <f>'PB CF (Annual)'!P117/1000</f>
        <v/>
      </c>
      <c r="F113" s="351">
        <f>'PB CF (Annual)'!O117/1000</f>
        <v/>
      </c>
      <c r="G113" s="351">
        <f>'PB CF (Annual)'!N117/1000</f>
        <v/>
      </c>
      <c r="H113" s="351">
        <f>'PB CF (Annual)'!M117/1000</f>
        <v/>
      </c>
      <c r="I113" s="366">
        <f>H114</f>
        <v/>
      </c>
      <c r="J113" s="366">
        <f>I114</f>
        <v/>
      </c>
      <c r="K113" s="366">
        <f>J114</f>
        <v/>
      </c>
      <c r="L113" s="366">
        <f>K114</f>
        <v/>
      </c>
      <c r="M113" s="366">
        <f>L114</f>
        <v/>
      </c>
    </row>
    <row r="114">
      <c r="B114" s="343" t="inlineStr">
        <is>
          <t>Ending cash and cash equivalents</t>
        </is>
      </c>
      <c r="C114" s="364" t="inlineStr">
        <is>
          <t>$M</t>
        </is>
      </c>
      <c r="D114" s="367">
        <f>D113+D112</f>
        <v/>
      </c>
      <c r="E114" s="367">
        <f>E113+E112</f>
        <v/>
      </c>
      <c r="F114" s="367">
        <f>F113+F112</f>
        <v/>
      </c>
      <c r="G114" s="367">
        <f>G113+G112</f>
        <v/>
      </c>
      <c r="H114" s="367">
        <f>H113+H112</f>
        <v/>
      </c>
      <c r="I114" s="367">
        <f>I113+I112</f>
        <v/>
      </c>
      <c r="J114" s="367">
        <f>J113+J112</f>
        <v/>
      </c>
      <c r="K114" s="367">
        <f>K113+K112</f>
        <v/>
      </c>
      <c r="L114" s="367">
        <f>L113+L112</f>
        <v/>
      </c>
      <c r="M114" s="367">
        <f>M113+M112</f>
        <v/>
      </c>
    </row>
    <row r="115">
      <c r="B115" s="347" t="inlineStr">
        <is>
          <t>Cash check (ending cash − balance-sheet cash; should be 0)</t>
        </is>
      </c>
      <c r="C115" s="364" t="inlineStr">
        <is>
          <t>$M</t>
        </is>
      </c>
      <c r="D115" s="379">
        <f>ROUND(D114-D47,3)</f>
        <v/>
      </c>
      <c r="E115" s="379">
        <f>ROUND(E114-E47,3)</f>
        <v/>
      </c>
      <c r="F115" s="379">
        <f>ROUND(F114-F47,3)</f>
        <v/>
      </c>
      <c r="G115" s="379">
        <f>ROUND(G114-G47,3)</f>
        <v/>
      </c>
      <c r="H115" s="379">
        <f>ROUND(H114-H47,3)</f>
        <v/>
      </c>
      <c r="I115" s="379">
        <f>ROUND(I114-I47,3)</f>
        <v/>
      </c>
      <c r="J115" s="379">
        <f>ROUND(J114-J47,3)</f>
        <v/>
      </c>
      <c r="K115" s="379">
        <f>ROUND(K114-K47,3)</f>
        <v/>
      </c>
      <c r="L115" s="379">
        <f>ROUND(L114-L47,3)</f>
        <v/>
      </c>
      <c r="M115" s="379">
        <f>ROUND(M114-M47,3)</f>
        <v/>
      </c>
    </row>
    <row r="116">
      <c r="B116" s="343" t="inlineStr">
        <is>
          <t>Free cash flow (CFO + capex)</t>
        </is>
      </c>
      <c r="C116" s="364" t="inlineStr">
        <is>
          <t>$M</t>
        </is>
      </c>
      <c r="D116" s="367">
        <f>D97+D99</f>
        <v/>
      </c>
      <c r="E116" s="367">
        <f>E97+E99</f>
        <v/>
      </c>
      <c r="F116" s="367">
        <f>F97+F99</f>
        <v/>
      </c>
      <c r="G116" s="367">
        <f>G97+G99</f>
        <v/>
      </c>
      <c r="H116" s="367">
        <f>H97+H99</f>
        <v/>
      </c>
      <c r="I116" s="367">
        <f>I97+I99</f>
        <v/>
      </c>
      <c r="J116" s="367">
        <f>J97+J99</f>
        <v/>
      </c>
      <c r="K116" s="367">
        <f>K97+K99</f>
        <v/>
      </c>
      <c r="L116" s="367">
        <f>L97+L99</f>
        <v/>
      </c>
      <c r="M116" s="367">
        <f>M97+M99</f>
        <v/>
      </c>
    </row>
    <row r="117">
      <c r="B117" s="408" t="inlineStr">
        <is>
          <t>FCF margin</t>
        </is>
      </c>
      <c r="C117" s="364" t="inlineStr">
        <is>
          <t>%</t>
        </is>
      </c>
      <c r="D117" s="382">
        <f>IF(D8=0,0,D116/D8)</f>
        <v/>
      </c>
      <c r="E117" s="382">
        <f>IF(E8=0,0,E116/E8)</f>
        <v/>
      </c>
      <c r="F117" s="382">
        <f>IF(F8=0,0,F116/F8)</f>
        <v/>
      </c>
      <c r="G117" s="382">
        <f>IF(G8=0,0,G116/G8)</f>
        <v/>
      </c>
      <c r="H117" s="382">
        <f>IF(H8=0,0,H116/H8)</f>
        <v/>
      </c>
      <c r="I117" s="382">
        <f>IF(I8=0,0,I116/I8)</f>
        <v/>
      </c>
      <c r="J117" s="382">
        <f>IF(J8=0,0,J116/J8)</f>
        <v/>
      </c>
      <c r="K117" s="382">
        <f>IF(K8=0,0,K116/K8)</f>
        <v/>
      </c>
      <c r="L117" s="382">
        <f>IF(L8=0,0,L116/L8)</f>
        <v/>
      </c>
      <c r="M117" s="382">
        <f>IF(M8=0,0,M116/M8)</f>
        <v/>
      </c>
    </row>
    <row r="118"/>
    <row r="119">
      <c r="B119" s="344" t="inlineStr">
        <is>
          <t>Barclays parity — cash flow</t>
        </is>
      </c>
      <c r="C119" s="345" t="n"/>
      <c r="D119" s="345" t="n"/>
      <c r="E119" s="345" t="n"/>
      <c r="F119" s="345" t="n"/>
      <c r="G119" s="345" t="n"/>
      <c r="H119" s="345" t="n"/>
      <c r="I119" s="345" t="n"/>
      <c r="J119" s="345" t="n"/>
      <c r="K119" s="345" t="n"/>
      <c r="L119" s="345" t="n"/>
      <c r="M119" s="345" t="n"/>
      <c r="N119" s="345" t="n"/>
      <c r="O119" s="345" t="n"/>
      <c r="P119" s="345" t="n"/>
      <c r="Q119" s="345" t="n"/>
      <c r="R119" s="345" t="n"/>
      <c r="S119" s="345" t="n"/>
    </row>
    <row r="120">
      <c r="B120" s="339" t="inlineStr">
        <is>
          <t>Barclays cash flow from operations</t>
        </is>
      </c>
      <c r="C120" s="364" t="inlineStr">
        <is>
          <t>$M</t>
        </is>
      </c>
      <c r="H120" s="351">
        <f>'D Barclays'!D18</f>
        <v/>
      </c>
      <c r="I120" s="351">
        <f>'D Barclays'!E18</f>
        <v/>
      </c>
      <c r="J120" s="351">
        <f>'D Barclays'!F18</f>
        <v/>
      </c>
      <c r="K120" s="351">
        <f>'D Barclays'!G18</f>
        <v/>
      </c>
    </row>
    <row r="121">
      <c r="B121" s="408" t="inlineStr">
        <is>
          <t>Δ CFO</t>
        </is>
      </c>
      <c r="C121" s="364" t="inlineStr">
        <is>
          <t>$M</t>
        </is>
      </c>
      <c r="H121" s="366">
        <f>H97-H120</f>
        <v/>
      </c>
      <c r="I121" s="366">
        <f>I97-I120</f>
        <v/>
      </c>
      <c r="J121" s="366">
        <f>J97-J120</f>
        <v/>
      </c>
      <c r="K121" s="366">
        <f>K97-K120</f>
        <v/>
      </c>
    </row>
    <row r="122">
      <c r="B122" s="339" t="inlineStr">
        <is>
          <t>Barclays capital expenditure</t>
        </is>
      </c>
      <c r="C122" s="364" t="inlineStr">
        <is>
          <t>$M</t>
        </is>
      </c>
      <c r="H122" s="351">
        <f>'D Barclays'!D19</f>
        <v/>
      </c>
      <c r="I122" s="351">
        <f>'D Barclays'!E19</f>
        <v/>
      </c>
      <c r="J122" s="351">
        <f>'D Barclays'!F19</f>
        <v/>
      </c>
      <c r="K122" s="351">
        <f>'D Barclays'!G19</f>
        <v/>
      </c>
    </row>
    <row r="123">
      <c r="B123" s="408" t="inlineStr">
        <is>
          <t>Δ capex</t>
        </is>
      </c>
      <c r="C123" s="364" t="inlineStr">
        <is>
          <t>$M</t>
        </is>
      </c>
      <c r="H123" s="366">
        <f>H99-H122</f>
        <v/>
      </c>
      <c r="I123" s="366">
        <f>I99-I122</f>
        <v/>
      </c>
      <c r="J123" s="366">
        <f>J99-J122</f>
        <v/>
      </c>
      <c r="K123" s="366">
        <f>K99-K122</f>
        <v/>
      </c>
    </row>
    <row r="124">
      <c r="B124" s="339" t="inlineStr">
        <is>
          <t>Barclays change in working capital</t>
        </is>
      </c>
      <c r="C124" s="364" t="inlineStr">
        <is>
          <t>$M</t>
        </is>
      </c>
      <c r="H124" s="351">
        <f>'D Barclays'!D17</f>
        <v/>
      </c>
      <c r="I124" s="351">
        <f>'D Barclays'!E17</f>
        <v/>
      </c>
      <c r="J124" s="351">
        <f>'D Barclays'!F17</f>
        <v/>
      </c>
      <c r="K124" s="351">
        <f>'D Barclays'!G17</f>
        <v/>
      </c>
    </row>
    <row r="125">
      <c r="B125" s="408" t="inlineStr">
        <is>
          <t>Δ change in working capital</t>
        </is>
      </c>
      <c r="C125" s="364" t="inlineStr">
        <is>
          <t>$M</t>
        </is>
      </c>
      <c r="H125" s="366">
        <f>H96-H124</f>
        <v/>
      </c>
      <c r="I125" s="366">
        <f>I96-I124</f>
        <v/>
      </c>
      <c r="J125" s="366">
        <f>J96-J124</f>
        <v/>
      </c>
      <c r="K125" s="366">
        <f>K96-K124</f>
        <v/>
      </c>
    </row>
    <row r="126">
      <c r="B126" s="347" t="inlineStr">
        <is>
          <t>Barclays free cash flow (memo; Barclays' definition not stated, exceeds CFO + capex)</t>
        </is>
      </c>
      <c r="C126" s="364" t="inlineStr">
        <is>
          <t>$M</t>
        </is>
      </c>
      <c r="H126" s="351">
        <f>'D Barclays'!D20</f>
        <v/>
      </c>
      <c r="I126" s="351">
        <f>'D Barclays'!E20</f>
        <v/>
      </c>
      <c r="J126" s="351">
        <f>'D Barclays'!F20</f>
        <v/>
      </c>
      <c r="K126" s="351">
        <f>'D Barclays'!G20</f>
        <v/>
      </c>
    </row>
    <row r="127"/>
    <row r="128">
      <c r="B128" s="336" t="inlineStr">
        <is>
          <t>Supporting schedules</t>
        </is>
      </c>
      <c r="C128" s="337" t="n"/>
      <c r="D128" s="376" t="inlineStr">
        <is>
          <t>FY2022A</t>
        </is>
      </c>
      <c r="E128" s="376" t="inlineStr">
        <is>
          <t>FY2023A</t>
        </is>
      </c>
      <c r="F128" s="376" t="inlineStr">
        <is>
          <t>FY2024A</t>
        </is>
      </c>
      <c r="G128" s="376" t="inlineStr">
        <is>
          <t>FY2025A</t>
        </is>
      </c>
      <c r="H128" s="376" t="inlineStr">
        <is>
          <t>FY2026A</t>
        </is>
      </c>
      <c r="I128" s="376" t="inlineStr">
        <is>
          <t>FY2027E</t>
        </is>
      </c>
      <c r="J128" s="376" t="inlineStr">
        <is>
          <t>FY2028E</t>
        </is>
      </c>
      <c r="K128" s="376" t="inlineStr">
        <is>
          <t>FY2029E</t>
        </is>
      </c>
      <c r="L128" s="376" t="inlineStr">
        <is>
          <t>FY2030E</t>
        </is>
      </c>
      <c r="M128" s="376" t="inlineStr">
        <is>
          <t>FY2031E</t>
        </is>
      </c>
      <c r="N128" s="337" t="n"/>
      <c r="O128" s="337" t="n"/>
      <c r="P128" s="337" t="n"/>
      <c r="Q128" s="337" t="n"/>
      <c r="R128" s="337" t="n"/>
      <c r="S128" s="337" t="n"/>
    </row>
    <row r="129"/>
    <row r="130">
      <c r="B130" s="344" t="inlineStr">
        <is>
          <t>1. Revenue drivers and facility cost (the volume-driven gross margin)</t>
        </is>
      </c>
      <c r="C130" s="345" t="n"/>
      <c r="D130" s="345" t="n"/>
      <c r="E130" s="345" t="n"/>
      <c r="F130" s="345" t="n"/>
      <c r="G130" s="345" t="n"/>
      <c r="H130" s="345" t="n"/>
      <c r="I130" s="345" t="n"/>
      <c r="J130" s="345" t="n"/>
      <c r="K130" s="345" t="n"/>
      <c r="L130" s="345" t="n"/>
      <c r="M130" s="345" t="n"/>
      <c r="N130" s="345" t="n"/>
      <c r="O130" s="345" t="n"/>
      <c r="P130" s="345" t="n"/>
      <c r="Q130" s="345" t="n"/>
      <c r="R130" s="345" t="n"/>
      <c r="S130" s="345" t="n"/>
    </row>
    <row r="131">
      <c r="B131" s="339" t="inlineStr">
        <is>
          <t>Global fee units</t>
        </is>
      </c>
      <c r="C131" s="364" t="inlineStr">
        <is>
          <t>000s</t>
        </is>
      </c>
      <c r="D131" s="350">
        <f>RPM!D29</f>
        <v/>
      </c>
      <c r="E131" s="350">
        <f>RPM!E29</f>
        <v/>
      </c>
      <c r="F131" s="350">
        <f>RPM!F29</f>
        <v/>
      </c>
      <c r="G131" s="350">
        <f>RPM!G29</f>
        <v/>
      </c>
      <c r="H131" s="350">
        <f>RPM!H29</f>
        <v/>
      </c>
      <c r="I131" s="350">
        <f>RPM!I29</f>
        <v/>
      </c>
      <c r="J131" s="350">
        <f>RPM!J29</f>
        <v/>
      </c>
      <c r="K131" s="350">
        <f>RPM!K29</f>
        <v/>
      </c>
      <c r="L131" s="350">
        <f>RPM!L29</f>
        <v/>
      </c>
      <c r="M131" s="350">
        <f>RPM!M29</f>
        <v/>
      </c>
      <c r="O131" s="335" t="inlineStr">
        <is>
          <t>RPM row 29 (FY26 anchor 4.0m; FY27–28 from the engines; FY29–31 fade). History before FY26 is blank where the RPM has no units</t>
        </is>
      </c>
    </row>
    <row r="132">
      <c r="B132" s="339" t="inlineStr">
        <is>
          <t>Facility cost per fee unit (incl. yard D&amp;A)</t>
        </is>
      </c>
      <c r="C132" s="364" t="inlineStr">
        <is>
          <t>$</t>
        </is>
      </c>
      <c r="D132" s="401">
        <f>IFERROR(D10*1000/D131,"")</f>
        <v/>
      </c>
      <c r="E132" s="401">
        <f>IFERROR(E10*1000/E131,"")</f>
        <v/>
      </c>
      <c r="F132" s="401">
        <f>IFERROR(F10*1000/F131,"")</f>
        <v/>
      </c>
      <c r="G132" s="401">
        <f>IFERROR(G10*1000/G131,"")</f>
        <v/>
      </c>
      <c r="H132" s="401">
        <f>IFERROR(H10*1000/H131,"")</f>
        <v/>
      </c>
      <c r="I132" s="401">
        <f>H132*(1+I133)</f>
        <v/>
      </c>
      <c r="J132" s="401">
        <f>I132*(1+J133)</f>
        <v/>
      </c>
      <c r="K132" s="401">
        <f>J132*(1+K133)</f>
        <v/>
      </c>
      <c r="L132" s="401">
        <f>K132*(1+L133)</f>
        <v/>
      </c>
      <c r="M132" s="401">
        <f>L132*(1+M133)</f>
        <v/>
      </c>
      <c r="O132" s="335" t="inlineStr">
        <is>
          <t>FY26: 1,965.9 ÷ 4.0m units ≈ $491. Projection: prior × (1 + growth)</t>
        </is>
      </c>
    </row>
    <row r="133">
      <c r="B133" s="408" t="inlineStr">
        <is>
          <t>Facility cost per unit, y/y</t>
        </is>
      </c>
      <c r="C133" s="364" t="inlineStr">
        <is>
          <t>%</t>
        </is>
      </c>
      <c r="E133" s="382">
        <f>IFERROR(E132/D132-1,"")</f>
        <v/>
      </c>
      <c r="F133" s="382">
        <f>IFERROR(F132/E132-1,"")</f>
        <v/>
      </c>
      <c r="G133" s="382">
        <f>IFERROR(G132/F132-1,"")</f>
        <v/>
      </c>
      <c r="H133" s="382">
        <f>IFERROR(H132/G132-1,"")</f>
        <v/>
      </c>
      <c r="I133" s="346">
        <f>DCF!I15</f>
        <v/>
      </c>
      <c r="J133" s="346">
        <f>DCF!J15</f>
        <v/>
      </c>
      <c r="K133" s="346">
        <f>DCF!K15</f>
        <v/>
      </c>
      <c r="L133" s="346">
        <f>DCF!L15</f>
        <v/>
      </c>
      <c r="M133" s="346">
        <f>DCF!M15</f>
        <v/>
      </c>
      <c r="O133" s="335" t="inlineStr">
        <is>
          <t>ASSUMED (owner, DCF row 15): +4.5% FY27 fading to +2.0% FY31 — one input shared with the DCF so the two builds move together</t>
        </is>
      </c>
    </row>
    <row r="134">
      <c r="B134" s="339" t="inlineStr">
        <is>
          <t>Cost of vehicle sales, % of vehicle sales</t>
        </is>
      </c>
      <c r="C134" s="364" t="inlineStr">
        <is>
          <t>%</t>
        </is>
      </c>
      <c r="D134" s="382">
        <f>IF(D7=0,0,D11/D7)</f>
        <v/>
      </c>
      <c r="E134" s="382">
        <f>IF(E7=0,0,E11/E7)</f>
        <v/>
      </c>
      <c r="F134" s="382">
        <f>IF(F7=0,0,F11/F7)</f>
        <v/>
      </c>
      <c r="G134" s="382">
        <f>IF(G7=0,0,G11/G7)</f>
        <v/>
      </c>
      <c r="H134" s="382">
        <f>IF(H7=0,0,H11/H7)</f>
        <v/>
      </c>
      <c r="I134" s="382">
        <f>$H$134</f>
        <v/>
      </c>
      <c r="J134" s="382">
        <f>$H$134</f>
        <v/>
      </c>
      <c r="K134" s="382">
        <f>$H$134</f>
        <v/>
      </c>
      <c r="L134" s="382">
        <f>$H$134</f>
        <v/>
      </c>
      <c r="M134" s="382">
        <f>$H$134</f>
        <v/>
      </c>
      <c r="O134" s="335" t="inlineStr">
        <is>
          <t>CALIBRATED: FY2026 actual (10-K) held</t>
        </is>
      </c>
    </row>
    <row r="135">
      <c r="B135" s="339" t="inlineStr">
        <is>
          <t>G&amp;A (incl. D&amp;A, SBC), % of revenue</t>
        </is>
      </c>
      <c r="C135" s="364" t="inlineStr">
        <is>
          <t>%</t>
        </is>
      </c>
      <c r="D135" s="382">
        <f>IF(D8=0,0,D14/D8)</f>
        <v/>
      </c>
      <c r="E135" s="382">
        <f>IF(E8=0,0,E14/E8)</f>
        <v/>
      </c>
      <c r="F135" s="382">
        <f>IF(F8=0,0,F14/F8)</f>
        <v/>
      </c>
      <c r="G135" s="382">
        <f>IF(G8=0,0,G14/G8)</f>
        <v/>
      </c>
      <c r="H135" s="382">
        <f>IF(H8=0,0,H14/H8)</f>
        <v/>
      </c>
      <c r="I135" s="346">
        <f>('D Barclays'!E5-'D Barclays'!E7)/'D Barclays'!E5-($H$10+$H$11)/$H$8</f>
        <v/>
      </c>
      <c r="J135" s="346">
        <f>('D Barclays'!F5-'D Barclays'!F7)/'D Barclays'!F5-($H$10+$H$11)/$H$8</f>
        <v/>
      </c>
      <c r="K135" s="346">
        <f>('D Barclays'!G5-'D Barclays'!G7)/'D Barclays'!G5-($H$10+$H$11)/$H$8</f>
        <v/>
      </c>
      <c r="L135" s="382">
        <f>K135</f>
        <v/>
      </c>
      <c r="M135" s="382">
        <f>L135</f>
        <v/>
      </c>
      <c r="O135" s="335" t="inlineStr">
        <is>
          <t>Barclays-implied: Barclays' (revenue − EBIT) ÷ revenue less Copart's FY2026 facility and vehicle-cost ratios (FY27 9.2%, FY28 8.6%, FY29 8.1%); held at FY29 after. Barclays' margin expansion therefore sits in G&amp;A; volume leverage sits in facility cost</t>
        </is>
      </c>
    </row>
    <row r="136"/>
    <row r="137">
      <c r="B137" s="344" t="inlineStr">
        <is>
          <t>2. Property and equipment, capex and D&amp;A</t>
        </is>
      </c>
      <c r="C137" s="345" t="n"/>
      <c r="D137" s="345" t="n"/>
      <c r="E137" s="345" t="n"/>
      <c r="F137" s="345" t="n"/>
      <c r="G137" s="345" t="n"/>
      <c r="H137" s="345" t="n"/>
      <c r="I137" s="345" t="n"/>
      <c r="J137" s="345" t="n"/>
      <c r="K137" s="345" t="n"/>
      <c r="L137" s="345" t="n"/>
      <c r="M137" s="345" t="n"/>
      <c r="N137" s="345" t="n"/>
      <c r="O137" s="345" t="n"/>
      <c r="P137" s="345" t="n"/>
      <c r="Q137" s="345" t="n"/>
      <c r="R137" s="345" t="n"/>
      <c r="S137" s="345" t="n"/>
    </row>
    <row r="138">
      <c r="B138" s="339" t="inlineStr">
        <is>
          <t>Opening net PP&amp;E</t>
        </is>
      </c>
      <c r="C138" s="364" t="inlineStr">
        <is>
          <t>$M</t>
        </is>
      </c>
      <c r="I138" s="366">
        <f>H57</f>
        <v/>
      </c>
      <c r="J138" s="366">
        <f>I57</f>
        <v/>
      </c>
      <c r="K138" s="366">
        <f>J57</f>
        <v/>
      </c>
      <c r="L138" s="366">
        <f>K57</f>
        <v/>
      </c>
      <c r="M138" s="366">
        <f>L57</f>
        <v/>
      </c>
    </row>
    <row r="139">
      <c r="B139" s="339" t="inlineStr">
        <is>
          <t>Capital expenditure (negative = outflow)</t>
        </is>
      </c>
      <c r="C139" s="364" t="inlineStr">
        <is>
          <t>$M</t>
        </is>
      </c>
      <c r="D139" s="366">
        <f>D99</f>
        <v/>
      </c>
      <c r="E139" s="366">
        <f>E99</f>
        <v/>
      </c>
      <c r="F139" s="366">
        <f>F99</f>
        <v/>
      </c>
      <c r="G139" s="366">
        <f>G99</f>
        <v/>
      </c>
      <c r="H139" s="366">
        <f>H99</f>
        <v/>
      </c>
      <c r="I139" s="351">
        <f>'D Barclays'!E19</f>
        <v/>
      </c>
      <c r="J139" s="351">
        <f>'D Barclays'!F19</f>
        <v/>
      </c>
      <c r="K139" s="351">
        <f>'D Barclays'!G19</f>
        <v/>
      </c>
      <c r="L139" s="366">
        <f>-L8*$K$140</f>
        <v/>
      </c>
      <c r="M139" s="366">
        <f>-M8*$K$140</f>
        <v/>
      </c>
      <c r="O139" s="335" t="inlineStr">
        <is>
          <t>FY27–29: Barclays −500 a year (D Barclays). FY30–31: Barclays' FY29 capex-to-revenue ratio applied to model revenue (no broker projects FY30)</t>
        </is>
      </c>
    </row>
    <row r="140">
      <c r="B140" s="408" t="inlineStr">
        <is>
          <t>Capex, % of revenue</t>
        </is>
      </c>
      <c r="C140" s="364" t="inlineStr">
        <is>
          <t>%</t>
        </is>
      </c>
      <c r="D140" s="382">
        <f>IF(D8=0,0,-D139/D8)</f>
        <v/>
      </c>
      <c r="E140" s="382">
        <f>IF(E8=0,0,-E139/E8)</f>
        <v/>
      </c>
      <c r="F140" s="382">
        <f>IF(F8=0,0,-F139/F8)</f>
        <v/>
      </c>
      <c r="G140" s="382">
        <f>IF(G8=0,0,-G139/G8)</f>
        <v/>
      </c>
      <c r="H140" s="382">
        <f>IF(H8=0,0,-H139/H8)</f>
        <v/>
      </c>
      <c r="I140" s="382">
        <f>IF(I8=0,0,-I139/I8)</f>
        <v/>
      </c>
      <c r="J140" s="382">
        <f>IF(J8=0,0,-J139/J8)</f>
        <v/>
      </c>
      <c r="K140" s="382">
        <f>IF(K8=0,0,-K139/K8)</f>
        <v/>
      </c>
      <c r="L140" s="382">
        <f>IF(L8=0,0,-L139/L8)</f>
        <v/>
      </c>
      <c r="M140" s="382">
        <f>IF(M8=0,0,-M139/M8)</f>
        <v/>
      </c>
    </row>
    <row r="141">
      <c r="B141" s="339" t="inlineStr">
        <is>
          <t>Depreciation and amortization</t>
        </is>
      </c>
      <c r="C141" s="364" t="inlineStr">
        <is>
          <t>$M</t>
        </is>
      </c>
      <c r="D141" s="366">
        <f>D17</f>
        <v/>
      </c>
      <c r="E141" s="366">
        <f>E17</f>
        <v/>
      </c>
      <c r="F141" s="366">
        <f>F17</f>
        <v/>
      </c>
      <c r="G141" s="366">
        <f>G17</f>
        <v/>
      </c>
      <c r="H141" s="366">
        <f>H17</f>
        <v/>
      </c>
      <c r="I141" s="351">
        <f>'D Barclays'!E6-'D Barclays'!E7</f>
        <v/>
      </c>
      <c r="J141" s="351">
        <f>'D Barclays'!F6-'D Barclays'!F7</f>
        <v/>
      </c>
      <c r="K141" s="351">
        <f>'D Barclays'!G6-'D Barclays'!G7</f>
        <v/>
      </c>
      <c r="L141" s="366">
        <f>L138*$K$142</f>
        <v/>
      </c>
      <c r="M141" s="366">
        <f>M138*$K$142</f>
        <v/>
      </c>
      <c r="O141" s="335" t="inlineStr">
        <is>
          <t>FY27–29: Barclays EBITDA − EBIT (226 / 234 / 243). FY30–31: Barclays' FY29 D&amp;A-to-opening-PP&amp;E rate applied to the model's opening balance</t>
        </is>
      </c>
    </row>
    <row r="142">
      <c r="B142" s="408" t="inlineStr">
        <is>
          <t>D&amp;A, % of opening net PP&amp;E</t>
        </is>
      </c>
      <c r="C142" s="364" t="inlineStr">
        <is>
          <t>%</t>
        </is>
      </c>
      <c r="E142" s="382">
        <f>IF(D57=0,0,E17/D57)</f>
        <v/>
      </c>
      <c r="F142" s="382">
        <f>IF(E57=0,0,F17/E57)</f>
        <v/>
      </c>
      <c r="G142" s="382">
        <f>IF(F57=0,0,G17/F57)</f>
        <v/>
      </c>
      <c r="H142" s="382">
        <f>IF(G57=0,0,H17/G57)</f>
        <v/>
      </c>
      <c r="I142" s="382">
        <f>IF(I138=0,0,I141/I138)</f>
        <v/>
      </c>
      <c r="J142" s="382">
        <f>IF(J138=0,0,J141/J138)</f>
        <v/>
      </c>
      <c r="K142" s="382">
        <f>IF(K138=0,0,K141/K138)</f>
        <v/>
      </c>
      <c r="L142" s="382">
        <f>IF(L138=0,0,L141/L138)</f>
        <v/>
      </c>
      <c r="M142" s="382">
        <f>IF(M138=0,0,M141/M138)</f>
        <v/>
      </c>
    </row>
    <row r="143">
      <c r="B143" s="343" t="inlineStr">
        <is>
          <t>Closing net PP&amp;E (opening + capex − D&amp;A)</t>
        </is>
      </c>
      <c r="C143" s="364" t="inlineStr">
        <is>
          <t>$M</t>
        </is>
      </c>
      <c r="I143" s="367">
        <f>I138-I139-I141</f>
        <v/>
      </c>
      <c r="J143" s="367">
        <f>J138-J139-J141</f>
        <v/>
      </c>
      <c r="K143" s="367">
        <f>K138-K139-K141</f>
        <v/>
      </c>
      <c r="L143" s="367">
        <f>L138-L139-L141</f>
        <v/>
      </c>
      <c r="M143" s="367">
        <f>M138-M139-M141</f>
        <v/>
      </c>
      <c r="O143" s="335" t="inlineStr">
        <is>
          <t>All D&amp;A is charged against PP&amp;E (intangibles held flat); ROU assets sit on their own line</t>
        </is>
      </c>
    </row>
    <row r="144"/>
    <row r="145">
      <c r="B145" s="344" t="inlineStr">
        <is>
          <t>3. Cash, HTM securities and interest income</t>
        </is>
      </c>
      <c r="C145" s="345" t="n"/>
      <c r="D145" s="345" t="n"/>
      <c r="E145" s="345" t="n"/>
      <c r="F145" s="345" t="n"/>
      <c r="G145" s="345" t="n"/>
      <c r="H145" s="345" t="n"/>
      <c r="I145" s="345" t="n"/>
      <c r="J145" s="345" t="n"/>
      <c r="K145" s="345" t="n"/>
      <c r="L145" s="345" t="n"/>
      <c r="M145" s="345" t="n"/>
      <c r="N145" s="345" t="n"/>
      <c r="O145" s="345" t="n"/>
      <c r="P145" s="345" t="n"/>
      <c r="Q145" s="345" t="n"/>
      <c r="R145" s="345" t="n"/>
      <c r="S145" s="345" t="n"/>
    </row>
    <row r="146">
      <c r="B146" s="339" t="inlineStr">
        <is>
          <t>Opening cash &amp; HTM securities</t>
        </is>
      </c>
      <c r="C146" s="364" t="inlineStr">
        <is>
          <t>$M</t>
        </is>
      </c>
      <c r="I146" s="366">
        <f>H49</f>
        <v/>
      </c>
      <c r="J146" s="366">
        <f>I49</f>
        <v/>
      </c>
      <c r="K146" s="366">
        <f>J49</f>
        <v/>
      </c>
      <c r="L146" s="366">
        <f>K49</f>
        <v/>
      </c>
      <c r="M146" s="366">
        <f>L49</f>
        <v/>
      </c>
    </row>
    <row r="147">
      <c r="B147" s="339" t="inlineStr">
        <is>
          <t>Yield on opening cash &amp; HTM (interest and other income)</t>
        </is>
      </c>
      <c r="C147" s="364" t="inlineStr">
        <is>
          <t>%</t>
        </is>
      </c>
      <c r="E147" s="396">
        <f>IF(D49=0,0,E20/D49)</f>
        <v/>
      </c>
      <c r="F147" s="396">
        <f>IF(E49=0,0,F20/E49)</f>
        <v/>
      </c>
      <c r="G147" s="396">
        <f>IF(F49=0,0,G20/F49)</f>
        <v/>
      </c>
      <c r="H147" s="396">
        <f>IF(G49=0,0,H20/G49)</f>
        <v/>
      </c>
      <c r="I147" s="416">
        <f>('D Barclays'!E8-'D Barclays'!E7)/'D Barclays'!D12</f>
        <v/>
      </c>
      <c r="J147" s="416">
        <f>('D Barclays'!F8-'D Barclays'!F7)/'D Barclays'!E12</f>
        <v/>
      </c>
      <c r="K147" s="416">
        <f>('D Barclays'!G8-'D Barclays'!G7)/'D Barclays'!F12</f>
        <v/>
      </c>
      <c r="L147" s="396">
        <f>K147</f>
        <v/>
      </c>
      <c r="M147" s="396">
        <f>L147</f>
        <v/>
      </c>
      <c r="O147" s="335" t="inlineStr">
        <is>
          <t>FY27–29: Barclays-implied (pre-tax − EBIT = 140 a year ÷ Barclays' opening cash): 3.1% / 2.5% / 2.0%; held at FY29 after. FY26 actual on opening cash &amp; HTM: 3.8% (10-K interest income 181.9). Opening balance avoids a circular reference</t>
        </is>
      </c>
    </row>
    <row r="148">
      <c r="B148" s="339" t="inlineStr">
        <is>
          <t>Interest and other income, net</t>
        </is>
      </c>
      <c r="C148" s="364" t="inlineStr">
        <is>
          <t>$M</t>
        </is>
      </c>
      <c r="I148" s="366">
        <f>I146*I147</f>
        <v/>
      </c>
      <c r="J148" s="366">
        <f>J146*J147</f>
        <v/>
      </c>
      <c r="K148" s="366">
        <f>K146*K147</f>
        <v/>
      </c>
      <c r="L148" s="366">
        <f>L146*L147</f>
        <v/>
      </c>
      <c r="M148" s="366">
        <f>M146*M147</f>
        <v/>
      </c>
    </row>
    <row r="149"/>
    <row r="150">
      <c r="B150" s="344" t="inlineStr">
        <is>
          <t>4. Stock-based compensation</t>
        </is>
      </c>
      <c r="C150" s="345" t="n"/>
      <c r="D150" s="345" t="n"/>
      <c r="E150" s="345" t="n"/>
      <c r="F150" s="345" t="n"/>
      <c r="G150" s="345" t="n"/>
      <c r="H150" s="345" t="n"/>
      <c r="I150" s="345" t="n"/>
      <c r="J150" s="345" t="n"/>
      <c r="K150" s="345" t="n"/>
      <c r="L150" s="345" t="n"/>
      <c r="M150" s="345" t="n"/>
      <c r="N150" s="345" t="n"/>
      <c r="O150" s="345" t="n"/>
      <c r="P150" s="345" t="n"/>
      <c r="Q150" s="345" t="n"/>
      <c r="R150" s="345" t="n"/>
      <c r="S150" s="345" t="n"/>
    </row>
    <row r="151">
      <c r="B151" s="339" t="inlineStr">
        <is>
          <t>SBC, % of revenue</t>
        </is>
      </c>
      <c r="C151" s="364" t="inlineStr">
        <is>
          <t>%</t>
        </is>
      </c>
      <c r="D151" s="396">
        <f>IF(D8=0,0,D94/D8)</f>
        <v/>
      </c>
      <c r="E151" s="396">
        <f>IF(E8=0,0,E94/E8)</f>
        <v/>
      </c>
      <c r="F151" s="396">
        <f>IF(F8=0,0,F94/F8)</f>
        <v/>
      </c>
      <c r="G151" s="396">
        <f>IF(G8=0,0,G94/G8)</f>
        <v/>
      </c>
      <c r="H151" s="396">
        <f>IF(H8=0,0,H94/H8)</f>
        <v/>
      </c>
      <c r="I151" s="396">
        <f>$H$151</f>
        <v/>
      </c>
      <c r="J151" s="396">
        <f>$H$151</f>
        <v/>
      </c>
      <c r="K151" s="396">
        <f>$H$151</f>
        <v/>
      </c>
      <c r="L151" s="396">
        <f>$H$151</f>
        <v/>
      </c>
      <c r="M151" s="396">
        <f>$H$151</f>
        <v/>
      </c>
      <c r="O151" s="335" t="inlineStr">
        <is>
          <t>CALIBRATED: FY2026 actual (cash-flow statement 38.8 = 0.83%) held; Barclays publishes no SBC line</t>
        </is>
      </c>
    </row>
    <row r="152">
      <c r="B152" s="339" t="inlineStr">
        <is>
          <t>Stock-based compensation</t>
        </is>
      </c>
      <c r="C152" s="364" t="inlineStr">
        <is>
          <t>$M</t>
        </is>
      </c>
      <c r="I152" s="366">
        <f>I8*I151</f>
        <v/>
      </c>
      <c r="J152" s="366">
        <f>J8*J151</f>
        <v/>
      </c>
      <c r="K152" s="366">
        <f>K8*K151</f>
        <v/>
      </c>
      <c r="L152" s="366">
        <f>L8*L151</f>
        <v/>
      </c>
      <c r="M152" s="366">
        <f>M8*M151</f>
        <v/>
      </c>
    </row>
    <row r="153"/>
    <row r="154">
      <c r="B154" s="344" t="inlineStr">
        <is>
          <t>5. Shares and buybacks</t>
        </is>
      </c>
      <c r="C154" s="345" t="n"/>
      <c r="D154" s="345" t="n"/>
      <c r="E154" s="345" t="n"/>
      <c r="F154" s="345" t="n"/>
      <c r="G154" s="345" t="n"/>
      <c r="H154" s="345" t="n"/>
      <c r="I154" s="345" t="n"/>
      <c r="J154" s="345" t="n"/>
      <c r="K154" s="345" t="n"/>
      <c r="L154" s="345" t="n"/>
      <c r="M154" s="345" t="n"/>
      <c r="N154" s="345" t="n"/>
      <c r="O154" s="345" t="n"/>
      <c r="P154" s="345" t="n"/>
      <c r="Q154" s="345" t="n"/>
      <c r="R154" s="345" t="n"/>
      <c r="S154" s="345" t="n"/>
    </row>
    <row r="155">
      <c r="B155" s="339" t="inlineStr">
        <is>
          <t>Share repurchases ($, input)</t>
        </is>
      </c>
      <c r="C155" s="364" t="inlineStr">
        <is>
          <t>$M</t>
        </is>
      </c>
      <c r="D155" s="366">
        <f>-D106</f>
        <v/>
      </c>
      <c r="E155" s="366">
        <f>-E106</f>
        <v/>
      </c>
      <c r="F155" s="366">
        <f>-F106</f>
        <v/>
      </c>
      <c r="G155" s="366">
        <f>-G106</f>
        <v/>
      </c>
      <c r="H155" s="366">
        <f>-H106</f>
        <v/>
      </c>
      <c r="I155" s="414" t="n">
        <v>0</v>
      </c>
      <c r="J155" s="414" t="n">
        <v>0</v>
      </c>
      <c r="K155" s="414" t="n">
        <v>0</v>
      </c>
      <c r="L155" s="414" t="n">
        <v>0</v>
      </c>
      <c r="M155" s="414" t="n">
        <v>0</v>
      </c>
      <c r="O155" s="335" t="inlineStr">
        <is>
          <t>ASSUMED 0: Barclays' flat 933m diluted share count implies no repurchases after FY26. Enter dollars to test; the owner's DCF cash roll carries $600m a year (DCF row 73) as an alternative</t>
        </is>
      </c>
    </row>
    <row r="156">
      <c r="B156" s="339" t="inlineStr">
        <is>
          <t>Average repurchase price</t>
        </is>
      </c>
      <c r="C156" s="364" t="inlineStr">
        <is>
          <t>$</t>
        </is>
      </c>
      <c r="H156" s="402">
        <f>'D 10-K FY26'!D10</f>
        <v/>
      </c>
      <c r="I156" s="402">
        <f>DCF!I74</f>
        <v/>
      </c>
      <c r="J156" s="402">
        <f>DCF!J74</f>
        <v/>
      </c>
      <c r="K156" s="402">
        <f>DCF!K74</f>
        <v/>
      </c>
      <c r="L156" s="402">
        <f>DCF!L74</f>
        <v/>
      </c>
      <c r="M156" s="402">
        <f>DCF!M74</f>
        <v/>
      </c>
      <c r="O156" s="335" t="inlineStr">
        <is>
          <t>FY26: $37.63 (10-K). Projection: owner's DCF row 74</t>
        </is>
      </c>
    </row>
    <row r="157">
      <c r="B157" s="339" t="inlineStr">
        <is>
          <t>Shares repurchased</t>
        </is>
      </c>
      <c r="C157" s="364" t="inlineStr">
        <is>
          <t>M</t>
        </is>
      </c>
      <c r="H157" s="445">
        <f>'D 10-K FY26'!C10</f>
        <v/>
      </c>
      <c r="I157" s="433">
        <f>IF(I156=0,0,I155/I156)</f>
        <v/>
      </c>
      <c r="J157" s="433">
        <f>IF(J156=0,0,J155/J156)</f>
        <v/>
      </c>
      <c r="K157" s="433">
        <f>IF(K156=0,0,K155/K156)</f>
        <v/>
      </c>
      <c r="L157" s="433">
        <f>IF(L156=0,0,L155/L156)</f>
        <v/>
      </c>
      <c r="M157" s="433">
        <f>IF(M156=0,0,M155/M156)</f>
        <v/>
      </c>
      <c r="O157" s="335" t="inlineStr">
        <is>
          <t>FY26: 43.4m (10-K)</t>
        </is>
      </c>
    </row>
    <row r="158">
      <c r="B158" s="339" t="inlineStr">
        <is>
          <t>Net shares issued (options, RSUs, ESPP)</t>
        </is>
      </c>
      <c r="C158" s="364" t="inlineStr">
        <is>
          <t>M</t>
        </is>
      </c>
      <c r="E158" s="433">
        <f>E159-D159+E157</f>
        <v/>
      </c>
      <c r="F158" s="433">
        <f>F159-E159+F157</f>
        <v/>
      </c>
      <c r="G158" s="433">
        <f>G159-F159+G157</f>
        <v/>
      </c>
      <c r="H158" s="433">
        <f>H159-G159+H157</f>
        <v/>
      </c>
      <c r="I158" s="433">
        <f>$H$158</f>
        <v/>
      </c>
      <c r="J158" s="433">
        <f>$H$158</f>
        <v/>
      </c>
      <c r="K158" s="433">
        <f>$H$158</f>
        <v/>
      </c>
      <c r="L158" s="433">
        <f>$H$158</f>
        <v/>
      </c>
      <c r="M158" s="433">
        <f>$H$158</f>
        <v/>
      </c>
      <c r="O158" s="335" t="inlineStr">
        <is>
          <t>History: change in year-end shares + repurchased shares. Projection: FY2026 actual (1.8m) held</t>
        </is>
      </c>
    </row>
    <row r="159">
      <c r="B159" s="339" t="inlineStr">
        <is>
          <t>Basic shares outstanding, year-end</t>
        </is>
      </c>
      <c r="C159" s="364" t="inlineStr">
        <is>
          <t>M</t>
        </is>
      </c>
      <c r="D159" s="431">
        <f>'PB BS (Annual)'!Q152/1000000</f>
        <v/>
      </c>
      <c r="E159" s="431">
        <f>'PB BS (Annual)'!P152/1000000</f>
        <v/>
      </c>
      <c r="F159" s="431">
        <f>'PB BS (Annual)'!O152/1000000</f>
        <v/>
      </c>
      <c r="G159" s="431">
        <f>'PB BS (Annual)'!N152/1000000</f>
        <v/>
      </c>
      <c r="H159" s="431">
        <f>'PB BS (Annual)'!M152/1000000</f>
        <v/>
      </c>
      <c r="I159" s="441">
        <f>H159+I158-I157</f>
        <v/>
      </c>
      <c r="J159" s="441">
        <f>I159+J158-J157</f>
        <v/>
      </c>
      <c r="K159" s="441">
        <f>J159+K158-K157</f>
        <v/>
      </c>
      <c r="L159" s="441">
        <f>K159+L158-L157</f>
        <v/>
      </c>
      <c r="M159" s="441">
        <f>L159+M158-M157</f>
        <v/>
      </c>
      <c r="O159" s="335" t="inlineStr">
        <is>
          <t>History: PitchBook common shares outstanding (FY26 925.8m; the 10-K cover count 926.3m is a later date)</t>
        </is>
      </c>
    </row>
    <row r="160">
      <c r="B160" s="339" t="inlineStr">
        <is>
          <t>Basic weighted-average shares</t>
        </is>
      </c>
      <c r="C160" s="364" t="inlineStr">
        <is>
          <t>M</t>
        </is>
      </c>
      <c r="D160" s="431">
        <f>'PB IS (Annual)'!Q67/1000000</f>
        <v/>
      </c>
      <c r="E160" s="431">
        <f>'PB IS (Annual)'!P67/1000000</f>
        <v/>
      </c>
      <c r="F160" s="431">
        <f>'PB IS (Annual)'!O67/1000000</f>
        <v/>
      </c>
      <c r="G160" s="431">
        <f>'PB IS (Annual)'!N67/1000000</f>
        <v/>
      </c>
      <c r="H160" s="431">
        <f>'PB IS (Annual)'!M67/1000000</f>
        <v/>
      </c>
      <c r="I160" s="441">
        <f>(H159+I159)/2</f>
        <v/>
      </c>
      <c r="J160" s="441">
        <f>(I159+J159)/2</f>
        <v/>
      </c>
      <c r="K160" s="441">
        <f>(J159+K159)/2</f>
        <v/>
      </c>
      <c r="L160" s="441">
        <f>(K159+L159)/2</f>
        <v/>
      </c>
      <c r="M160" s="441">
        <f>(L159+M159)/2</f>
        <v/>
      </c>
    </row>
    <row r="161">
      <c r="B161" s="339" t="inlineStr">
        <is>
          <t>Dilutive securities (options, RSUs; treasury method)</t>
        </is>
      </c>
      <c r="C161" s="364" t="inlineStr">
        <is>
          <t>M</t>
        </is>
      </c>
      <c r="D161" s="433">
        <f>D27-D160</f>
        <v/>
      </c>
      <c r="E161" s="433">
        <f>E27-E160</f>
        <v/>
      </c>
      <c r="F161" s="433">
        <f>F27-F160</f>
        <v/>
      </c>
      <c r="G161" s="433">
        <f>G27-G160</f>
        <v/>
      </c>
      <c r="H161" s="433">
        <f>H27-H160</f>
        <v/>
      </c>
      <c r="I161" s="433">
        <f>$H$161</f>
        <v/>
      </c>
      <c r="J161" s="433">
        <f>$H$161</f>
        <v/>
      </c>
      <c r="K161" s="433">
        <f>$H$161</f>
        <v/>
      </c>
      <c r="L161" s="433">
        <f>$H$161</f>
        <v/>
      </c>
      <c r="M161" s="433">
        <f>$H$161</f>
        <v/>
      </c>
      <c r="O161" s="335" t="inlineStr">
        <is>
          <t>History: diluted − basic weighted-average shares. Projection: FY2026 actual (7.2m) held — matches Barclays' 933m (925.8 + 7.2)</t>
        </is>
      </c>
    </row>
    <row r="162">
      <c r="B162" s="343" t="inlineStr">
        <is>
          <t>Diluted weighted-average shares</t>
        </is>
      </c>
      <c r="C162" s="364" t="inlineStr">
        <is>
          <t>M</t>
        </is>
      </c>
      <c r="D162" s="440">
        <f>D27</f>
        <v/>
      </c>
      <c r="E162" s="440">
        <f>E27</f>
        <v/>
      </c>
      <c r="F162" s="440">
        <f>F27</f>
        <v/>
      </c>
      <c r="G162" s="440">
        <f>G27</f>
        <v/>
      </c>
      <c r="H162" s="440">
        <f>H27</f>
        <v/>
      </c>
      <c r="I162" s="440">
        <f>I160+I161</f>
        <v/>
      </c>
      <c r="J162" s="440">
        <f>J160+J161</f>
        <v/>
      </c>
      <c r="K162" s="440">
        <f>K160+K161</f>
        <v/>
      </c>
      <c r="L162" s="440">
        <f>L160+L161</f>
        <v/>
      </c>
      <c r="M162" s="440">
        <f>M160+M161</f>
        <v/>
      </c>
    </row>
    <row r="163">
      <c r="B163" s="339" t="inlineStr">
        <is>
          <t>Barclays diluted shares</t>
        </is>
      </c>
      <c r="C163" s="364" t="inlineStr">
        <is>
          <t>M</t>
        </is>
      </c>
      <c r="H163" s="431">
        <f>'D Barclays'!D11</f>
        <v/>
      </c>
      <c r="I163" s="431">
        <f>'D Barclays'!E11</f>
        <v/>
      </c>
      <c r="J163" s="431">
        <f>'D Barclays'!F11</f>
        <v/>
      </c>
      <c r="K163" s="431">
        <f>'D Barclays'!G11</f>
        <v/>
      </c>
    </row>
    <row r="164">
      <c r="B164" s="408" t="inlineStr">
        <is>
          <t>Δ diluted shares</t>
        </is>
      </c>
      <c r="C164" s="364" t="inlineStr">
        <is>
          <t>M</t>
        </is>
      </c>
      <c r="H164" s="441">
        <f>H162-H163</f>
        <v/>
      </c>
      <c r="I164" s="441">
        <f>I162-I163</f>
        <v/>
      </c>
      <c r="J164" s="441">
        <f>J162-J163</f>
        <v/>
      </c>
      <c r="K164" s="441">
        <f>K162-K163</f>
        <v/>
      </c>
    </row>
    <row r="165"/>
    <row r="166">
      <c r="B166" s="344" t="inlineStr">
        <is>
          <t>6. Working capital (days; FY2026 actual held) and the Barclays ΔNWC method</t>
        </is>
      </c>
      <c r="C166" s="345" t="n"/>
      <c r="D166" s="345" t="n"/>
      <c r="E166" s="345" t="n"/>
      <c r="F166" s="345" t="n"/>
      <c r="G166" s="345" t="n"/>
      <c r="H166" s="345" t="n"/>
      <c r="I166" s="345" t="n"/>
      <c r="J166" s="345" t="n"/>
      <c r="K166" s="345" t="n"/>
      <c r="L166" s="345" t="n"/>
      <c r="M166" s="345" t="n"/>
      <c r="N166" s="345" t="n"/>
      <c r="O166" s="345" t="n"/>
      <c r="P166" s="345" t="n"/>
      <c r="Q166" s="345" t="n"/>
      <c r="R166" s="345" t="n"/>
      <c r="S166" s="345" t="n"/>
    </row>
    <row r="167">
      <c r="B167" s="339" t="inlineStr">
        <is>
          <t>Receivables, days of revenue</t>
        </is>
      </c>
      <c r="C167" s="364" t="inlineStr">
        <is>
          <t>days</t>
        </is>
      </c>
      <c r="D167" s="441">
        <f>IF(D8=0,0,D50/D8*365)</f>
        <v/>
      </c>
      <c r="E167" s="441">
        <f>IF(E8=0,0,E50/E8*365)</f>
        <v/>
      </c>
      <c r="F167" s="441">
        <f>IF(F8=0,0,F50/F8*365)</f>
        <v/>
      </c>
      <c r="G167" s="441">
        <f>IF(G8=0,0,G50/G8*365)</f>
        <v/>
      </c>
      <c r="H167" s="441">
        <f>IF(H8=0,0,H50/H8*365)</f>
        <v/>
      </c>
      <c r="I167" s="441">
        <f>$H$167</f>
        <v/>
      </c>
      <c r="J167" s="441">
        <f>$H$167</f>
        <v/>
      </c>
      <c r="K167" s="441">
        <f>$H$167</f>
        <v/>
      </c>
      <c r="L167" s="441">
        <f>$H$167</f>
        <v/>
      </c>
      <c r="M167" s="441">
        <f>$H$167</f>
        <v/>
      </c>
    </row>
    <row r="168">
      <c r="B168" s="339" t="inlineStr">
        <is>
          <t>Vehicle pooling costs, days of facility operations</t>
        </is>
      </c>
      <c r="C168" s="364" t="inlineStr">
        <is>
          <t>days</t>
        </is>
      </c>
      <c r="D168" s="441">
        <f>IF(D10=0,0,D52/D10*365)</f>
        <v/>
      </c>
      <c r="E168" s="441">
        <f>IF(E10=0,0,E52/E10*365)</f>
        <v/>
      </c>
      <c r="F168" s="441">
        <f>IF(F10=0,0,F52/F10*365)</f>
        <v/>
      </c>
      <c r="G168" s="441">
        <f>IF(G10=0,0,G52/G10*365)</f>
        <v/>
      </c>
      <c r="H168" s="441">
        <f>IF(H10=0,0,H52/H10*365)</f>
        <v/>
      </c>
      <c r="I168" s="441">
        <f>$H$168</f>
        <v/>
      </c>
      <c r="J168" s="441">
        <f>$H$168</f>
        <v/>
      </c>
      <c r="K168" s="441">
        <f>$H$168</f>
        <v/>
      </c>
      <c r="L168" s="441">
        <f>$H$168</f>
        <v/>
      </c>
      <c r="M168" s="441">
        <f>$H$168</f>
        <v/>
      </c>
    </row>
    <row r="169">
      <c r="B169" s="339" t="inlineStr">
        <is>
          <t>Inventories, days of cost of vehicle sales</t>
        </is>
      </c>
      <c r="C169" s="364" t="inlineStr">
        <is>
          <t>days</t>
        </is>
      </c>
      <c r="D169" s="441">
        <f>IF(D11=0,0,D53/D11*365)</f>
        <v/>
      </c>
      <c r="E169" s="441">
        <f>IF(E11=0,0,E53/E11*365)</f>
        <v/>
      </c>
      <c r="F169" s="441">
        <f>IF(F11=0,0,F53/F11*365)</f>
        <v/>
      </c>
      <c r="G169" s="441">
        <f>IF(G11=0,0,G53/G11*365)</f>
        <v/>
      </c>
      <c r="H169" s="441">
        <f>IF(H11=0,0,H53/H11*365)</f>
        <v/>
      </c>
      <c r="I169" s="441">
        <f>$H$169</f>
        <v/>
      </c>
      <c r="J169" s="441">
        <f>$H$169</f>
        <v/>
      </c>
      <c r="K169" s="441">
        <f>$H$169</f>
        <v/>
      </c>
      <c r="L169" s="441">
        <f>$H$169</f>
        <v/>
      </c>
      <c r="M169" s="441">
        <f>$H$169</f>
        <v/>
      </c>
    </row>
    <row r="170">
      <c r="B170" s="339" t="inlineStr">
        <is>
          <t>Prepaid and other current assets, days of revenue</t>
        </is>
      </c>
      <c r="C170" s="364" t="inlineStr">
        <is>
          <t>days</t>
        </is>
      </c>
      <c r="D170" s="441">
        <f>IF(D8=0,0,D54/D8*365)</f>
        <v/>
      </c>
      <c r="E170" s="441">
        <f>IF(E8=0,0,E54/E8*365)</f>
        <v/>
      </c>
      <c r="F170" s="441">
        <f>IF(F8=0,0,F54/F8*365)</f>
        <v/>
      </c>
      <c r="G170" s="441">
        <f>IF(G8=0,0,G54/G8*365)</f>
        <v/>
      </c>
      <c r="H170" s="441">
        <f>IF(H8=0,0,H54/H8*365)</f>
        <v/>
      </c>
      <c r="I170" s="441">
        <f>$H$170</f>
        <v/>
      </c>
      <c r="J170" s="441">
        <f>$H$170</f>
        <v/>
      </c>
      <c r="K170" s="441">
        <f>$H$170</f>
        <v/>
      </c>
      <c r="L170" s="441">
        <f>$H$170</f>
        <v/>
      </c>
      <c r="M170" s="441">
        <f>$H$170</f>
        <v/>
      </c>
    </row>
    <row r="171">
      <c r="B171" s="339" t="inlineStr">
        <is>
          <t>Payables, accrued and deferred revenue, days of cash operating costs</t>
        </is>
      </c>
      <c r="C171" s="364" t="inlineStr">
        <is>
          <t>days</t>
        </is>
      </c>
      <c r="D171" s="441">
        <f>IF((D10+D11+D14-D17)=0,0,D64/(D10+D11+D14-D17)*365)</f>
        <v/>
      </c>
      <c r="E171" s="441">
        <f>IF((E10+E11+E14-E17)=0,0,E64/(E10+E11+E14-E17)*365)</f>
        <v/>
      </c>
      <c r="F171" s="441">
        <f>IF((F10+F11+F14-F17)=0,0,F64/(F10+F11+F14-F17)*365)</f>
        <v/>
      </c>
      <c r="G171" s="441">
        <f>IF((G10+G11+G14-G17)=0,0,G64/(G10+G11+G14-G17)*365)</f>
        <v/>
      </c>
      <c r="H171" s="441">
        <f>IF((H10+H11+H14-H17)=0,0,H64/(H10+H11+H14-H17)*365)</f>
        <v/>
      </c>
      <c r="I171" s="441">
        <f>$H$171</f>
        <v/>
      </c>
      <c r="J171" s="441">
        <f>$H$171</f>
        <v/>
      </c>
      <c r="K171" s="441">
        <f>$H$171</f>
        <v/>
      </c>
      <c r="L171" s="441">
        <f>$H$171</f>
        <v/>
      </c>
      <c r="M171" s="441">
        <f>$H$171</f>
        <v/>
      </c>
      <c r="O171" s="335" t="inlineStr">
        <is>
          <t>Cash operating costs = facility operations + cost of vehicle sales + G&amp;A − D&amp;A</t>
        </is>
      </c>
    </row>
    <row r="172">
      <c r="B172" s="339" t="inlineStr">
        <is>
          <t>Operating working capital (days-driven lines)</t>
        </is>
      </c>
      <c r="C172" s="364" t="inlineStr">
        <is>
          <t>$M</t>
        </is>
      </c>
      <c r="D172" s="366">
        <f>D50+D52+D53+D54-D64</f>
        <v/>
      </c>
      <c r="E172" s="366">
        <f>E50+E52+E53+E54-E64</f>
        <v/>
      </c>
      <c r="F172" s="366">
        <f>F50+F52+F53+F54-F64</f>
        <v/>
      </c>
      <c r="G172" s="366">
        <f>G50+G52+G53+G54-G64</f>
        <v/>
      </c>
      <c r="H172" s="366">
        <f>H50+H52+H53+H54-H64</f>
        <v/>
      </c>
      <c r="I172" s="366">
        <f>I50+I52+I53+I54-I64</f>
        <v/>
      </c>
      <c r="J172" s="366">
        <f>J50+J52+J53+J54-J64</f>
        <v/>
      </c>
      <c r="K172" s="366">
        <f>K50+K52+K53+K54-K64</f>
        <v/>
      </c>
      <c r="L172" s="366">
        <f>L50+L52+L53+L54-L64</f>
        <v/>
      </c>
      <c r="M172" s="366">
        <f>M50+M52+M53+M54-M64</f>
        <v/>
      </c>
    </row>
    <row r="173">
      <c r="B173" s="339" t="inlineStr">
        <is>
          <t>Change in working capital, days basis (cash effect)</t>
        </is>
      </c>
      <c r="C173" s="364" t="inlineStr">
        <is>
          <t>$M</t>
        </is>
      </c>
      <c r="E173" s="366">
        <f>-(E172-D172)</f>
        <v/>
      </c>
      <c r="F173" s="366">
        <f>-(F172-E172)</f>
        <v/>
      </c>
      <c r="G173" s="366">
        <f>-(G172-F172)</f>
        <v/>
      </c>
      <c r="H173" s="366">
        <f>-(H172-G172)</f>
        <v/>
      </c>
      <c r="I173" s="366">
        <f>-(I172-H172)</f>
        <v/>
      </c>
      <c r="J173" s="366">
        <f>-(J172-I172)</f>
        <v/>
      </c>
      <c r="K173" s="366">
        <f>-(K172-J172)</f>
        <v/>
      </c>
      <c r="L173" s="366">
        <f>-(L172-K172)</f>
        <v/>
      </c>
      <c r="M173" s="366">
        <f>-(M172-L172)</f>
        <v/>
      </c>
      <c r="O173" s="335" t="inlineStr">
        <is>
          <t>FY2026 days held produce only a small outflow (the lines grow with revenue); Copart's reported outflows have been larger (FY22–26 average −102)</t>
        </is>
      </c>
    </row>
    <row r="174">
      <c r="B174" s="339" t="inlineStr">
        <is>
          <t>Barclays change in working capital (FY30–31 held at FY29)</t>
        </is>
      </c>
      <c r="C174" s="364" t="inlineStr">
        <is>
          <t>$M</t>
        </is>
      </c>
      <c r="H174" s="351">
        <f>'D Barclays'!D17</f>
        <v/>
      </c>
      <c r="I174" s="351">
        <f>'D Barclays'!E17</f>
        <v/>
      </c>
      <c r="J174" s="351">
        <f>'D Barclays'!F17</f>
        <v/>
      </c>
      <c r="K174" s="351">
        <f>'D Barclays'!G17</f>
        <v/>
      </c>
      <c r="L174" s="366">
        <f>K174</f>
        <v/>
      </c>
      <c r="M174" s="366">
        <f>L174</f>
        <v/>
      </c>
    </row>
    <row r="175">
      <c r="B175" s="339" t="inlineStr">
        <is>
          <t>ΔNWC method: 1 = days schedule, 2 = Barclays (default)</t>
        </is>
      </c>
      <c r="D175" s="446" t="n">
        <v>2</v>
      </c>
      <c r="O175" s="335" t="inlineStr">
        <is>
          <t>Selector. 2 keeps the cash flow on Barclays' −83 a year; 1 lets the days schedule drive it</t>
        </is>
      </c>
    </row>
    <row r="176">
      <c r="B176" s="343" t="inlineStr">
        <is>
          <t>Change in working capital, selected (to the cash flow statement)</t>
        </is>
      </c>
      <c r="C176" s="364" t="inlineStr">
        <is>
          <t>$M</t>
        </is>
      </c>
      <c r="I176" s="367">
        <f>IF($D$175=1,I173,I174)</f>
        <v/>
      </c>
      <c r="J176" s="367">
        <f>IF($D$175=1,J173,J174)</f>
        <v/>
      </c>
      <c r="K176" s="367">
        <f>IF($D$175=1,K173,K174)</f>
        <v/>
      </c>
      <c r="L176" s="367">
        <f>IF($D$175=1,L173,L174)</f>
        <v/>
      </c>
      <c r="M176" s="367">
        <f>IF($D$175=1,M173,M174)</f>
        <v/>
      </c>
    </row>
    <row r="177"/>
    <row r="178">
      <c r="B178" s="344" t="inlineStr">
        <is>
          <t>7. Tax (rates; the build lives on the Reverse DCF tab, columns R–X)</t>
        </is>
      </c>
      <c r="C178" s="345" t="n"/>
      <c r="D178" s="345" t="n"/>
      <c r="E178" s="345" t="n"/>
      <c r="F178" s="345" t="n"/>
      <c r="G178" s="345" t="n"/>
      <c r="H178" s="345" t="n"/>
      <c r="I178" s="345" t="n"/>
      <c r="J178" s="345" t="n"/>
      <c r="K178" s="345" t="n"/>
      <c r="L178" s="345" t="n"/>
      <c r="M178" s="345" t="n"/>
      <c r="N178" s="345" t="n"/>
      <c r="O178" s="345" t="n"/>
      <c r="P178" s="345" t="n"/>
      <c r="Q178" s="345" t="n"/>
      <c r="R178" s="345" t="n"/>
      <c r="S178" s="345" t="n"/>
    </row>
    <row r="179">
      <c r="B179" s="339" t="inlineStr">
        <is>
          <t>Structural effective tax rate applied FY27+ (Reverse DCF S33)</t>
        </is>
      </c>
      <c r="D179" s="416">
        <f>'Reverse DCF'!S33</f>
        <v/>
      </c>
      <c r="O179" s="335" t="inlineStr">
        <is>
          <t>21% statutory + state − FDII − excess option benefit (10-K tax note)</t>
        </is>
      </c>
    </row>
    <row r="180">
      <c r="B180" s="339" t="inlineStr">
        <is>
          <t>Barclays-implied FY2027E rate (Reverse DCF S36)</t>
        </is>
      </c>
      <c r="D180" s="416">
        <f>'Reverse DCF'!S36</f>
        <v/>
      </c>
      <c r="O180" s="335" t="inlineStr">
        <is>
          <t>1 − Barclays adj. net income ÷ adj. pre-tax</t>
        </is>
      </c>
    </row>
    <row r="181">
      <c r="B181" s="339" t="inlineStr">
        <is>
          <t>FY2026 actual effective rate (10-K)</t>
        </is>
      </c>
      <c r="D181" s="416">
        <f>'D 10-K FY26'!C33</f>
        <v/>
      </c>
      <c r="O181" s="335" t="inlineStr">
        <is>
          <t>MD&amp;A: 19.3%</t>
        </is>
      </c>
    </row>
    <row r="182"/>
    <row r="183">
      <c r="B183" s="344" t="inlineStr">
        <is>
          <t>8. ACV Auctions acquisition gate (links to the owner's DCF toggle)</t>
        </is>
      </c>
      <c r="C183" s="345" t="n"/>
      <c r="D183" s="345" t="n"/>
      <c r="E183" s="345" t="n"/>
      <c r="F183" s="345" t="n"/>
      <c r="G183" s="345" t="n"/>
      <c r="H183" s="345" t="n"/>
      <c r="I183" s="345" t="n"/>
      <c r="J183" s="345" t="n"/>
      <c r="K183" s="345" t="n"/>
      <c r="L183" s="345" t="n"/>
      <c r="M183" s="345" t="n"/>
      <c r="N183" s="345" t="n"/>
      <c r="O183" s="345" t="n"/>
      <c r="P183" s="345" t="n"/>
      <c r="Q183" s="345" t="n"/>
      <c r="R183" s="345" t="n"/>
      <c r="S183" s="345" t="n"/>
    </row>
    <row r="184">
      <c r="B184" s="339" t="inlineStr">
        <is>
          <t>Toggle (1 = include cash consideration; DCF H115)</t>
        </is>
      </c>
      <c r="D184" s="349">
        <f>DCF!H115</f>
        <v/>
      </c>
    </row>
    <row r="185">
      <c r="B185" s="339" t="inlineStr">
        <is>
          <t>Cash consideration ($M; DCF H116)</t>
        </is>
      </c>
      <c r="D185" s="351">
        <f>DCF!H116</f>
        <v/>
      </c>
    </row>
    <row r="186">
      <c r="B186" s="339" t="inlineStr">
        <is>
          <t>Closes in fiscal year (DCF I117)</t>
        </is>
      </c>
      <c r="D186" s="447">
        <f>DCF!I117</f>
        <v/>
      </c>
    </row>
    <row r="187">
      <c r="B187" s="339" t="inlineStr">
        <is>
          <t>Cash consideration by year (to investing cash flow and goodwill)</t>
        </is>
      </c>
      <c r="C187" s="364" t="inlineStr">
        <is>
          <t>$M</t>
        </is>
      </c>
      <c r="I187" s="366">
        <f>IF(AND($D$184=1,I$5=$D$186),$D$185,0)</f>
        <v/>
      </c>
      <c r="J187" s="366">
        <f>IF(AND($D$184=1,J$5=$D$186),$D$185,0)</f>
        <v/>
      </c>
      <c r="K187" s="366">
        <f>IF(AND($D$184=1,K$5=$D$186),$D$185,0)</f>
        <v/>
      </c>
      <c r="L187" s="366">
        <f>IF(AND($D$184=1,L$5=$D$186),$D$185,0)</f>
        <v/>
      </c>
      <c r="M187" s="366">
        <f>IF(AND($D$184=1,M$5=$D$186),$D$185,0)</f>
        <v/>
      </c>
      <c r="O187" s="335" t="inlineStr">
        <is>
          <t>ACV's revenue and EBITDA contribution is excluded until the deal is classified (plan §2.8); only the cash outflow and goodwill are carried</t>
        </is>
      </c>
    </row>
    <row r="188"/>
    <row r="189">
      <c r="B189" s="344" t="inlineStr">
        <is>
          <t>9. Memo: the owner's DCF operating build</t>
        </is>
      </c>
      <c r="C189" s="345" t="n"/>
      <c r="D189" s="345" t="n"/>
      <c r="E189" s="345" t="n"/>
      <c r="F189" s="345" t="n"/>
      <c r="G189" s="345" t="n"/>
      <c r="H189" s="345" t="n"/>
      <c r="I189" s="345" t="n"/>
      <c r="J189" s="345" t="n"/>
      <c r="K189" s="345" t="n"/>
      <c r="L189" s="345" t="n"/>
      <c r="M189" s="345" t="n"/>
      <c r="N189" s="345" t="n"/>
      <c r="O189" s="345" t="n"/>
      <c r="P189" s="345" t="n"/>
      <c r="Q189" s="345" t="n"/>
      <c r="R189" s="345" t="n"/>
      <c r="S189" s="345" t="n"/>
    </row>
    <row r="190">
      <c r="B190" s="339" t="inlineStr">
        <is>
          <t>DCF operating income (DCF row 24)</t>
        </is>
      </c>
      <c r="C190" s="364" t="inlineStr">
        <is>
          <t>$M</t>
        </is>
      </c>
      <c r="I190" s="351">
        <f>DCF!I24</f>
        <v/>
      </c>
      <c r="J190" s="351">
        <f>DCF!J24</f>
        <v/>
      </c>
      <c r="K190" s="351">
        <f>DCF!K24</f>
        <v/>
      </c>
      <c r="L190" s="351">
        <f>DCF!L24</f>
        <v/>
      </c>
      <c r="M190" s="351">
        <f>DCF!M24</f>
        <v/>
      </c>
    </row>
    <row r="191">
      <c r="B191" s="408" t="inlineStr">
        <is>
          <t>Δ 3SM EBIT − DCF EBIT</t>
        </is>
      </c>
      <c r="C191" s="364" t="inlineStr">
        <is>
          <t>$M</t>
        </is>
      </c>
      <c r="I191" s="366">
        <f>I15-I190</f>
        <v/>
      </c>
      <c r="J191" s="366">
        <f>J15-J190</f>
        <v/>
      </c>
      <c r="K191" s="366">
        <f>K15-K190</f>
        <v/>
      </c>
      <c r="L191" s="366">
        <f>L15-L190</f>
        <v/>
      </c>
      <c r="M191" s="366">
        <f>M15-M190</f>
        <v/>
      </c>
      <c r="O191" s="335" t="inlineStr">
        <is>
          <t>The DCF grows G&amp;A at its own rates (DCF row 22); the 3SM uses the Barclays-implied ratio. Link DCF row 24 here to make them one build</t>
        </is>
      </c>
    </row>
  </sheetData>
  <mergeCells count="2">
    <mergeCell ref="D4:H4"/>
    <mergeCell ref="I4:M4"/>
  </mergeCell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A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3"/>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0"/>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2"/>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0"/>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8"/>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448">
        <f>'3SM'!I17</f>
        <v/>
      </c>
      <c r="J29" s="449">
        <f>'3SM'!J17</f>
        <v/>
      </c>
      <c r="K29" s="449">
        <f>'3SM'!K17</f>
        <v/>
      </c>
      <c r="L29" s="449">
        <f>'3SM'!L17</f>
        <v/>
      </c>
      <c r="M29" s="449">
        <f>'3SM'!M17</f>
        <v/>
      </c>
      <c r="P29" s="335" t="inlineStr">
        <is>
          <t>From the 3SM row 17 (Barclays D&amp;A FY27–29; FY30–31 at the FY29 rate); row 30 is now the implied %</t>
        </is>
      </c>
    </row>
    <row r="30" ht="15" customHeight="1">
      <c r="B30" s="78" t="inlineStr">
        <is>
          <t xml:space="preserve">   as % of revenue</t>
        </is>
      </c>
      <c r="C30" s="73" t="inlineStr">
        <is>
          <t>%</t>
        </is>
      </c>
      <c r="D30" s="98">
        <f>D29/D6</f>
        <v/>
      </c>
      <c r="E30" s="80">
        <f>E29/E6</f>
        <v/>
      </c>
      <c r="F30" s="80">
        <f>F29/F6</f>
        <v/>
      </c>
      <c r="G30" s="80">
        <f>G29/G6</f>
        <v/>
      </c>
      <c r="H30" s="80">
        <f>H29/H6</f>
        <v/>
      </c>
      <c r="I30" s="450">
        <f>I29/I6</f>
        <v/>
      </c>
      <c r="J30" s="451">
        <f>J29/J6</f>
        <v/>
      </c>
      <c r="K30" s="451">
        <f>K29/K6</f>
        <v/>
      </c>
      <c r="L30" s="451">
        <f>L29/L6</f>
        <v/>
      </c>
      <c r="M30" s="451">
        <f>M29/M6</f>
        <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3"/>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3"/>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1"/>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448">
        <f>'3SM'!I94</f>
        <v/>
      </c>
      <c r="J57" s="449">
        <f>'3SM'!J94</f>
        <v/>
      </c>
      <c r="K57" s="449">
        <f>'3SM'!K94</f>
        <v/>
      </c>
      <c r="L57" s="449">
        <f>'3SM'!L94</f>
        <v/>
      </c>
      <c r="M57" s="449">
        <f>'3SM'!M94</f>
        <v/>
      </c>
      <c r="P57" s="335" t="inlineStr">
        <is>
          <t>From the 3SM row 94 (FY26 % of revenue held); row 58 implied</t>
        </is>
      </c>
    </row>
    <row r="58" ht="15" customHeight="1">
      <c r="B58" s="78" t="inlineStr">
        <is>
          <t xml:space="preserve">   as % of revenue</t>
        </is>
      </c>
      <c r="C58" s="73" t="inlineStr">
        <is>
          <t>%</t>
        </is>
      </c>
      <c r="D58" s="98">
        <f>D57/D6</f>
        <v/>
      </c>
      <c r="E58" s="80">
        <f>E57/E6</f>
        <v/>
      </c>
      <c r="F58" s="80">
        <f>F57/F6</f>
        <v/>
      </c>
      <c r="G58" s="80">
        <f>G57/G6</f>
        <v/>
      </c>
      <c r="H58" s="80">
        <f>H57/H6</f>
        <v/>
      </c>
      <c r="I58" s="450">
        <f>I57/I6</f>
        <v/>
      </c>
      <c r="J58" s="451">
        <f>J57/J6</f>
        <v/>
      </c>
      <c r="K58" s="451">
        <f>K57/K6</f>
        <v/>
      </c>
      <c r="L58" s="451">
        <f>L57/L6</f>
        <v/>
      </c>
      <c r="M58" s="451">
        <f>M57/M6</f>
        <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448">
        <f>'3SM'!I99</f>
        <v/>
      </c>
      <c r="J59" s="449">
        <f>'3SM'!J99</f>
        <v/>
      </c>
      <c r="K59" s="449">
        <f>'3SM'!K99</f>
        <v/>
      </c>
      <c r="L59" s="449">
        <f>'3SM'!L99</f>
        <v/>
      </c>
      <c r="M59" s="449">
        <f>'3SM'!M99</f>
        <v/>
      </c>
      <c r="P59" s="335" t="inlineStr">
        <is>
          <t>From the 3SM row 99 (Barclays −500 FY27–29; FY29 ratio after); row 60 implied</t>
        </is>
      </c>
    </row>
    <row r="60" ht="15" customHeight="1">
      <c r="B60" s="223" t="inlineStr">
        <is>
          <t xml:space="preserve">   as % of revenue</t>
        </is>
      </c>
      <c r="C60" s="73" t="inlineStr">
        <is>
          <t>%</t>
        </is>
      </c>
      <c r="D60" s="98">
        <f>-D59/D6</f>
        <v/>
      </c>
      <c r="E60" s="80">
        <f>-E59/E6</f>
        <v/>
      </c>
      <c r="F60" s="80">
        <f>-F59/F6</f>
        <v/>
      </c>
      <c r="G60" s="80">
        <f>-G59/G6</f>
        <v/>
      </c>
      <c r="H60" s="80">
        <f>-H59/H6</f>
        <v/>
      </c>
      <c r="I60" s="450">
        <f>-I59/I6</f>
        <v/>
      </c>
      <c r="J60" s="451">
        <f>-J59/J6</f>
        <v/>
      </c>
      <c r="K60" s="451">
        <f>-K59/K6</f>
        <v/>
      </c>
      <c r="L60" s="451">
        <f>-L59/L6</f>
        <v/>
      </c>
      <c r="M60" s="451">
        <f>-M59/M6</f>
        <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448">
        <f>'3SM'!I96</f>
        <v/>
      </c>
      <c r="J61" s="449">
        <f>'3SM'!J96</f>
        <v/>
      </c>
      <c r="K61" s="449">
        <f>'3SM'!K96</f>
        <v/>
      </c>
      <c r="L61" s="449">
        <f>'3SM'!L96</f>
        <v/>
      </c>
      <c r="M61" s="449">
        <f>'3SM'!M96</f>
        <v/>
      </c>
      <c r="P61" s="335" t="inlineStr">
        <is>
          <t>From the 3SM row 96 (selected ΔNWC method, 3SM D175); row 62 implied</t>
        </is>
      </c>
    </row>
    <row r="62" ht="15" customHeight="1">
      <c r="B62" s="219" t="inlineStr">
        <is>
          <t xml:space="preserve">   NWC as % of Δrevenue</t>
        </is>
      </c>
      <c r="C62" s="73" t="inlineStr">
        <is>
          <t>%</t>
        </is>
      </c>
      <c r="D62" s="86" t="n"/>
      <c r="E62" s="87" t="n"/>
      <c r="F62" s="87" t="n"/>
      <c r="G62" s="87" t="n"/>
      <c r="H62" s="87" t="n"/>
      <c r="I62" s="450">
        <f>IFERROR(-I61/(I6-H6),0)</f>
        <v/>
      </c>
      <c r="J62" s="451">
        <f>IFERROR(-J61/(J6-I6),0)</f>
        <v/>
      </c>
      <c r="K62" s="451">
        <f>IFERROR(-K61/(K6-J6),0)</f>
        <v/>
      </c>
      <c r="L62" s="451">
        <f>IFERROR(-L61/(L6-K6),0)</f>
        <v/>
      </c>
      <c r="M62" s="451">
        <f>IFERROR(-M61/(M6-L6),0)</f>
        <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5"/>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69"/>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7"/>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89"/>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4"/>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1"/>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29"/>
    <row r="130"/>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A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3"/>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416">
        <f>'D 10-K FY26'!E34/1834.977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416">
        <f>'D 10-K FY26'!C34/1834.977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416">
        <f>'D 10-K FY26'!D34/1834.977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FY26'!C33</f>
        <v/>
      </c>
      <c r="T34" s="416">
        <f>'D 10-K FY26'!D33</f>
        <v/>
      </c>
    </row>
    <row r="35" ht="15" customHeight="1">
      <c r="B35" s="87" t="inlineStr">
        <is>
          <t>WACC</t>
        </is>
      </c>
      <c r="H35" s="179">
        <f>DCF!H88</f>
        <v/>
      </c>
      <c r="R35" s="347" t="inlineStr">
        <is>
          <t>Cash taxes paid ÷ pre-tax income, FY2026 / FY2025</t>
        </is>
      </c>
      <c r="S35" s="416">
        <f>'D 10-K FY26'!C32/1834.977</f>
        <v/>
      </c>
      <c r="T35" s="416">
        <f>'D 10-K FY26'!D32/1895.581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2"/>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4"/>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4"/>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8"/>
    <row r="69" ht="15" customHeight="1">
      <c r="B69" s="63" t="n"/>
    </row>
    <row r="70"/>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007030A0"/>
    <outlinePr summaryBelow="1" summaryRight="1"/>
    <pageSetUpPr/>
  </sheetPr>
  <dimension ref="A1:B3"/>
  <sheetViews>
    <sheetView showGridLines="0" workbookViewId="0">
      <selection activeCell="A1" sqref="A1"/>
    </sheetView>
  </sheetViews>
  <sheetFormatPr baseColWidth="8" defaultRowHeight="15"/>
  <cols>
    <col width="40" customWidth="1" min="2" max="2"/>
  </cols>
  <sheetData>
    <row r="1"/>
    <row r="2"/>
    <row r="3">
      <c r="B3" s="370" t="inlineStr">
        <is>
          <t>RPM ENGINES -----&gt;</t>
        </is>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50">
        <f>SUMIFS('E1a Fleet (roll)'!E$7:E$190,'E1a Fleet (roll)'!$A$7:$A$190,"Car",'E1a Fleet (roll)'!$C$7:$C$190,0)</f>
        <v/>
      </c>
      <c r="E19" s="350">
        <f>SUMIFS('E1a Fleet (roll)'!F$7:F$190,'E1a Fleet (roll)'!$A$7:$A$190,"Car",'E1a Fleet (roll)'!$C$7:$C$190,0)</f>
        <v/>
      </c>
      <c r="F19" s="350">
        <f>SUMIFS('E1a Fleet (roll)'!G$7:G$190,'E1a Fleet (roll)'!$A$7:$A$190,"Car",'E1a Fleet (roll)'!$C$7:$C$190,0)</f>
        <v/>
      </c>
      <c r="G19" s="350">
        <f>SUMIFS('E1a Fleet (roll)'!H$7:H$190,'E1a Fleet (roll)'!$A$7:$A$190,"Car",'E1a Fleet (roll)'!$C$7:$C$190,0)</f>
        <v/>
      </c>
      <c r="H19" s="350">
        <f>SUMIFS('E1a Fleet (roll)'!I$7:I$190,'E1a Fleet (roll)'!$A$7:$A$190,"Car",'E1a Fleet (roll)'!$C$7:$C$190,0)</f>
        <v/>
      </c>
      <c r="I19" s="350">
        <f>SUMIFS('E1a Fleet (roll)'!J$7:J$190,'E1a Fleet (roll)'!$A$7:$A$190,"Car",'E1a Fleet (roll)'!$C$7:$C$190,0)</f>
        <v/>
      </c>
      <c r="J19" s="350">
        <f>SUMIFS('E1a Fleet (roll)'!K$7:K$190,'E1a Fleet (roll)'!$A$7:$A$190,"Car",'E1a Fleet (roll)'!$C$7:$C$190,0)</f>
        <v/>
      </c>
      <c r="K19" s="350">
        <f>SUMIFS('E1a Fleet (roll)'!L$7:L$190,'E1a Fleet (roll)'!$A$7:$A$190,"Car",'E1a Fleet (roll)'!$C$7:$C$190,0)</f>
        <v/>
      </c>
      <c r="L19" s="350">
        <f>SUMIFS('E1a Fleet (roll)'!M$7:M$190,'E1a Fleet (roll)'!$A$7:$A$190,"Car",'E1a Fleet (roll)'!$C$7:$C$190,0)</f>
        <v/>
      </c>
      <c r="M19" s="350">
        <f>SUMIFS('E1a Fleet (roll)'!N$7:N$190,'E1a Fleet (roll)'!$A$7:$A$190,"Car",'E1a Fleet (roll)'!$C$7:$C$190,0)</f>
        <v/>
      </c>
    </row>
    <row r="20">
      <c r="B20" s="381" t="inlineStr">
        <is>
          <t>Car — 1–3 years</t>
        </is>
      </c>
      <c r="C20" s="364" t="inlineStr">
        <is>
          <t>000s</t>
        </is>
      </c>
      <c r="D20" s="350">
        <f>SUMIFS('E1a Fleet (roll)'!E$7:E$190,'E1a Fleet (roll)'!$A$7:$A$190,"Car",'E1a Fleet (roll)'!$C$7:$C$190,1)</f>
        <v/>
      </c>
      <c r="E20" s="350">
        <f>SUMIFS('E1a Fleet (roll)'!F$7:F$190,'E1a Fleet (roll)'!$A$7:$A$190,"Car",'E1a Fleet (roll)'!$C$7:$C$190,1)</f>
        <v/>
      </c>
      <c r="F20" s="350">
        <f>SUMIFS('E1a Fleet (roll)'!G$7:G$190,'E1a Fleet (roll)'!$A$7:$A$190,"Car",'E1a Fleet (roll)'!$C$7:$C$190,1)</f>
        <v/>
      </c>
      <c r="G20" s="350">
        <f>SUMIFS('E1a Fleet (roll)'!H$7:H$190,'E1a Fleet (roll)'!$A$7:$A$190,"Car",'E1a Fleet (roll)'!$C$7:$C$190,1)</f>
        <v/>
      </c>
      <c r="H20" s="350">
        <f>SUMIFS('E1a Fleet (roll)'!I$7:I$190,'E1a Fleet (roll)'!$A$7:$A$190,"Car",'E1a Fleet (roll)'!$C$7:$C$190,1)</f>
        <v/>
      </c>
      <c r="I20" s="350">
        <f>SUMIFS('E1a Fleet (roll)'!J$7:J$190,'E1a Fleet (roll)'!$A$7:$A$190,"Car",'E1a Fleet (roll)'!$C$7:$C$190,1)</f>
        <v/>
      </c>
      <c r="J20" s="350">
        <f>SUMIFS('E1a Fleet (roll)'!K$7:K$190,'E1a Fleet (roll)'!$A$7:$A$190,"Car",'E1a Fleet (roll)'!$C$7:$C$190,1)</f>
        <v/>
      </c>
      <c r="K20" s="350">
        <f>SUMIFS('E1a Fleet (roll)'!L$7:L$190,'E1a Fleet (roll)'!$A$7:$A$190,"Car",'E1a Fleet (roll)'!$C$7:$C$190,1)</f>
        <v/>
      </c>
      <c r="L20" s="350">
        <f>SUMIFS('E1a Fleet (roll)'!M$7:M$190,'E1a Fleet (roll)'!$A$7:$A$190,"Car",'E1a Fleet (roll)'!$C$7:$C$190,1)</f>
        <v/>
      </c>
      <c r="M20" s="350">
        <f>SUMIFS('E1a Fleet (roll)'!N$7:N$190,'E1a Fleet (roll)'!$A$7:$A$190,"Car",'E1a Fleet (roll)'!$C$7:$C$190,1)</f>
        <v/>
      </c>
    </row>
    <row r="21">
      <c r="B21" s="381" t="inlineStr">
        <is>
          <t>Car — 4–6 years</t>
        </is>
      </c>
      <c r="C21" s="364" t="inlineStr">
        <is>
          <t>000s</t>
        </is>
      </c>
      <c r="D21" s="350">
        <f>SUMIFS('E1a Fleet (roll)'!E$7:E$190,'E1a Fleet (roll)'!$A$7:$A$190,"Car",'E1a Fleet (roll)'!$C$7:$C$190,2)</f>
        <v/>
      </c>
      <c r="E21" s="350">
        <f>SUMIFS('E1a Fleet (roll)'!F$7:F$190,'E1a Fleet (roll)'!$A$7:$A$190,"Car",'E1a Fleet (roll)'!$C$7:$C$190,2)</f>
        <v/>
      </c>
      <c r="F21" s="350">
        <f>SUMIFS('E1a Fleet (roll)'!G$7:G$190,'E1a Fleet (roll)'!$A$7:$A$190,"Car",'E1a Fleet (roll)'!$C$7:$C$190,2)</f>
        <v/>
      </c>
      <c r="G21" s="350">
        <f>SUMIFS('E1a Fleet (roll)'!H$7:H$190,'E1a Fleet (roll)'!$A$7:$A$190,"Car",'E1a Fleet (roll)'!$C$7:$C$190,2)</f>
        <v/>
      </c>
      <c r="H21" s="350">
        <f>SUMIFS('E1a Fleet (roll)'!I$7:I$190,'E1a Fleet (roll)'!$A$7:$A$190,"Car",'E1a Fleet (roll)'!$C$7:$C$190,2)</f>
        <v/>
      </c>
      <c r="I21" s="350">
        <f>SUMIFS('E1a Fleet (roll)'!J$7:J$190,'E1a Fleet (roll)'!$A$7:$A$190,"Car",'E1a Fleet (roll)'!$C$7:$C$190,2)</f>
        <v/>
      </c>
      <c r="J21" s="350">
        <f>SUMIFS('E1a Fleet (roll)'!K$7:K$190,'E1a Fleet (roll)'!$A$7:$A$190,"Car",'E1a Fleet (roll)'!$C$7:$C$190,2)</f>
        <v/>
      </c>
      <c r="K21" s="350">
        <f>SUMIFS('E1a Fleet (roll)'!L$7:L$190,'E1a Fleet (roll)'!$A$7:$A$190,"Car",'E1a Fleet (roll)'!$C$7:$C$190,2)</f>
        <v/>
      </c>
      <c r="L21" s="350">
        <f>SUMIFS('E1a Fleet (roll)'!M$7:M$190,'E1a Fleet (roll)'!$A$7:$A$190,"Car",'E1a Fleet (roll)'!$C$7:$C$190,2)</f>
        <v/>
      </c>
      <c r="M21" s="350">
        <f>SUMIFS('E1a Fleet (roll)'!N$7:N$190,'E1a Fleet (roll)'!$A$7:$A$190,"Car",'E1a Fleet (roll)'!$C$7:$C$190,2)</f>
        <v/>
      </c>
    </row>
    <row r="22">
      <c r="B22" s="381" t="inlineStr">
        <is>
          <t>Car — 7+ years</t>
        </is>
      </c>
      <c r="C22" s="364" t="inlineStr">
        <is>
          <t>000s</t>
        </is>
      </c>
      <c r="D22" s="350">
        <f>SUMIFS('E1a Fleet (roll)'!E$7:E$190,'E1a Fleet (roll)'!$A$7:$A$190,"Car",'E1a Fleet (roll)'!$C$7:$C$190,3)</f>
        <v/>
      </c>
      <c r="E22" s="350">
        <f>SUMIFS('E1a Fleet (roll)'!F$7:F$190,'E1a Fleet (roll)'!$A$7:$A$190,"Car",'E1a Fleet (roll)'!$C$7:$C$190,3)</f>
        <v/>
      </c>
      <c r="F22" s="350">
        <f>SUMIFS('E1a Fleet (roll)'!G$7:G$190,'E1a Fleet (roll)'!$A$7:$A$190,"Car",'E1a Fleet (roll)'!$C$7:$C$190,3)</f>
        <v/>
      </c>
      <c r="G22" s="350">
        <f>SUMIFS('E1a Fleet (roll)'!H$7:H$190,'E1a Fleet (roll)'!$A$7:$A$190,"Car",'E1a Fleet (roll)'!$C$7:$C$190,3)</f>
        <v/>
      </c>
      <c r="H22" s="350">
        <f>SUMIFS('E1a Fleet (roll)'!I$7:I$190,'E1a Fleet (roll)'!$A$7:$A$190,"Car",'E1a Fleet (roll)'!$C$7:$C$190,3)</f>
        <v/>
      </c>
      <c r="I22" s="350">
        <f>SUMIFS('E1a Fleet (roll)'!J$7:J$190,'E1a Fleet (roll)'!$A$7:$A$190,"Car",'E1a Fleet (roll)'!$C$7:$C$190,3)</f>
        <v/>
      </c>
      <c r="J22" s="350">
        <f>SUMIFS('E1a Fleet (roll)'!K$7:K$190,'E1a Fleet (roll)'!$A$7:$A$190,"Car",'E1a Fleet (roll)'!$C$7:$C$190,3)</f>
        <v/>
      </c>
      <c r="K22" s="350">
        <f>SUMIFS('E1a Fleet (roll)'!L$7:L$190,'E1a Fleet (roll)'!$A$7:$A$190,"Car",'E1a Fleet (roll)'!$C$7:$C$190,3)</f>
        <v/>
      </c>
      <c r="L22" s="350">
        <f>SUMIFS('E1a Fleet (roll)'!M$7:M$190,'E1a Fleet (roll)'!$A$7:$A$190,"Car",'E1a Fleet (roll)'!$C$7:$C$190,3)</f>
        <v/>
      </c>
      <c r="M22" s="350">
        <f>SUMIFS('E1a Fleet (roll)'!N$7:N$190,'E1a Fleet (roll)'!$A$7:$A$190,"Car",'E1a Fleet (roll)'!$C$7:$C$190,3)</f>
        <v/>
      </c>
    </row>
    <row r="23">
      <c r="B23" s="339" t="inlineStr">
        <is>
          <t>Utility vehicle (SUV) — 0 (current or newer)</t>
        </is>
      </c>
      <c r="C23" s="364" t="inlineStr">
        <is>
          <t>000s</t>
        </is>
      </c>
      <c r="D23" s="350">
        <f>SUMIFS('E1a Fleet (roll)'!E$7:E$190,'E1a Fleet (roll)'!$A$7:$A$190,"SUV",'E1a Fleet (roll)'!$C$7:$C$190,0)</f>
        <v/>
      </c>
      <c r="E23" s="350">
        <f>SUMIFS('E1a Fleet (roll)'!F$7:F$190,'E1a Fleet (roll)'!$A$7:$A$190,"SUV",'E1a Fleet (roll)'!$C$7:$C$190,0)</f>
        <v/>
      </c>
      <c r="F23" s="350">
        <f>SUMIFS('E1a Fleet (roll)'!G$7:G$190,'E1a Fleet (roll)'!$A$7:$A$190,"SUV",'E1a Fleet (roll)'!$C$7:$C$190,0)</f>
        <v/>
      </c>
      <c r="G23" s="350">
        <f>SUMIFS('E1a Fleet (roll)'!H$7:H$190,'E1a Fleet (roll)'!$A$7:$A$190,"SUV",'E1a Fleet (roll)'!$C$7:$C$190,0)</f>
        <v/>
      </c>
      <c r="H23" s="350">
        <f>SUMIFS('E1a Fleet (roll)'!I$7:I$190,'E1a Fleet (roll)'!$A$7:$A$190,"SUV",'E1a Fleet (roll)'!$C$7:$C$190,0)</f>
        <v/>
      </c>
      <c r="I23" s="350">
        <f>SUMIFS('E1a Fleet (roll)'!J$7:J$190,'E1a Fleet (roll)'!$A$7:$A$190,"SUV",'E1a Fleet (roll)'!$C$7:$C$190,0)</f>
        <v/>
      </c>
      <c r="J23" s="350">
        <f>SUMIFS('E1a Fleet (roll)'!K$7:K$190,'E1a Fleet (roll)'!$A$7:$A$190,"SUV",'E1a Fleet (roll)'!$C$7:$C$190,0)</f>
        <v/>
      </c>
      <c r="K23" s="350">
        <f>SUMIFS('E1a Fleet (roll)'!L$7:L$190,'E1a Fleet (roll)'!$A$7:$A$190,"SUV",'E1a Fleet (roll)'!$C$7:$C$190,0)</f>
        <v/>
      </c>
      <c r="L23" s="350">
        <f>SUMIFS('E1a Fleet (roll)'!M$7:M$190,'E1a Fleet (roll)'!$A$7:$A$190,"SUV",'E1a Fleet (roll)'!$C$7:$C$190,0)</f>
        <v/>
      </c>
      <c r="M23" s="350">
        <f>SUMIFS('E1a Fleet (roll)'!N$7:N$190,'E1a Fleet (roll)'!$A$7:$A$190,"SUV",'E1a Fleet (roll)'!$C$7:$C$190,0)</f>
        <v/>
      </c>
    </row>
    <row r="24">
      <c r="B24" s="381" t="inlineStr">
        <is>
          <t>Utility vehicle (SUV) — 1–3 years</t>
        </is>
      </c>
      <c r="C24" s="364" t="inlineStr">
        <is>
          <t>000s</t>
        </is>
      </c>
      <c r="D24" s="350">
        <f>SUMIFS('E1a Fleet (roll)'!E$7:E$190,'E1a Fleet (roll)'!$A$7:$A$190,"SUV",'E1a Fleet (roll)'!$C$7:$C$190,1)</f>
        <v/>
      </c>
      <c r="E24" s="350">
        <f>SUMIFS('E1a Fleet (roll)'!F$7:F$190,'E1a Fleet (roll)'!$A$7:$A$190,"SUV",'E1a Fleet (roll)'!$C$7:$C$190,1)</f>
        <v/>
      </c>
      <c r="F24" s="350">
        <f>SUMIFS('E1a Fleet (roll)'!G$7:G$190,'E1a Fleet (roll)'!$A$7:$A$190,"SUV",'E1a Fleet (roll)'!$C$7:$C$190,1)</f>
        <v/>
      </c>
      <c r="G24" s="350">
        <f>SUMIFS('E1a Fleet (roll)'!H$7:H$190,'E1a Fleet (roll)'!$A$7:$A$190,"SUV",'E1a Fleet (roll)'!$C$7:$C$190,1)</f>
        <v/>
      </c>
      <c r="H24" s="350">
        <f>SUMIFS('E1a Fleet (roll)'!I$7:I$190,'E1a Fleet (roll)'!$A$7:$A$190,"SUV",'E1a Fleet (roll)'!$C$7:$C$190,1)</f>
        <v/>
      </c>
      <c r="I24" s="350">
        <f>SUMIFS('E1a Fleet (roll)'!J$7:J$190,'E1a Fleet (roll)'!$A$7:$A$190,"SUV",'E1a Fleet (roll)'!$C$7:$C$190,1)</f>
        <v/>
      </c>
      <c r="J24" s="350">
        <f>SUMIFS('E1a Fleet (roll)'!K$7:K$190,'E1a Fleet (roll)'!$A$7:$A$190,"SUV",'E1a Fleet (roll)'!$C$7:$C$190,1)</f>
        <v/>
      </c>
      <c r="K24" s="350">
        <f>SUMIFS('E1a Fleet (roll)'!L$7:L$190,'E1a Fleet (roll)'!$A$7:$A$190,"SUV",'E1a Fleet (roll)'!$C$7:$C$190,1)</f>
        <v/>
      </c>
      <c r="L24" s="350">
        <f>SUMIFS('E1a Fleet (roll)'!M$7:M$190,'E1a Fleet (roll)'!$A$7:$A$190,"SUV",'E1a Fleet (roll)'!$C$7:$C$190,1)</f>
        <v/>
      </c>
      <c r="M24" s="350">
        <f>SUMIFS('E1a Fleet (roll)'!N$7:N$190,'E1a Fleet (roll)'!$A$7:$A$190,"SUV",'E1a Fleet (roll)'!$C$7:$C$190,1)</f>
        <v/>
      </c>
    </row>
    <row r="25">
      <c r="B25" s="381" t="inlineStr">
        <is>
          <t>Utility vehicle (SUV) — 4–6 years</t>
        </is>
      </c>
      <c r="C25" s="364" t="inlineStr">
        <is>
          <t>000s</t>
        </is>
      </c>
      <c r="D25" s="350">
        <f>SUMIFS('E1a Fleet (roll)'!E$7:E$190,'E1a Fleet (roll)'!$A$7:$A$190,"SUV",'E1a Fleet (roll)'!$C$7:$C$190,2)</f>
        <v/>
      </c>
      <c r="E25" s="350">
        <f>SUMIFS('E1a Fleet (roll)'!F$7:F$190,'E1a Fleet (roll)'!$A$7:$A$190,"SUV",'E1a Fleet (roll)'!$C$7:$C$190,2)</f>
        <v/>
      </c>
      <c r="F25" s="350">
        <f>SUMIFS('E1a Fleet (roll)'!G$7:G$190,'E1a Fleet (roll)'!$A$7:$A$190,"SUV",'E1a Fleet (roll)'!$C$7:$C$190,2)</f>
        <v/>
      </c>
      <c r="G25" s="350">
        <f>SUMIFS('E1a Fleet (roll)'!H$7:H$190,'E1a Fleet (roll)'!$A$7:$A$190,"SUV",'E1a Fleet (roll)'!$C$7:$C$190,2)</f>
        <v/>
      </c>
      <c r="H25" s="350">
        <f>SUMIFS('E1a Fleet (roll)'!I$7:I$190,'E1a Fleet (roll)'!$A$7:$A$190,"SUV",'E1a Fleet (roll)'!$C$7:$C$190,2)</f>
        <v/>
      </c>
      <c r="I25" s="350">
        <f>SUMIFS('E1a Fleet (roll)'!J$7:J$190,'E1a Fleet (roll)'!$A$7:$A$190,"SUV",'E1a Fleet (roll)'!$C$7:$C$190,2)</f>
        <v/>
      </c>
      <c r="J25" s="350">
        <f>SUMIFS('E1a Fleet (roll)'!K$7:K$190,'E1a Fleet (roll)'!$A$7:$A$190,"SUV",'E1a Fleet (roll)'!$C$7:$C$190,2)</f>
        <v/>
      </c>
      <c r="K25" s="350">
        <f>SUMIFS('E1a Fleet (roll)'!L$7:L$190,'E1a Fleet (roll)'!$A$7:$A$190,"SUV",'E1a Fleet (roll)'!$C$7:$C$190,2)</f>
        <v/>
      </c>
      <c r="L25" s="350">
        <f>SUMIFS('E1a Fleet (roll)'!M$7:M$190,'E1a Fleet (roll)'!$A$7:$A$190,"SUV",'E1a Fleet (roll)'!$C$7:$C$190,2)</f>
        <v/>
      </c>
      <c r="M25" s="350">
        <f>SUMIFS('E1a Fleet (roll)'!N$7:N$190,'E1a Fleet (roll)'!$A$7:$A$190,"SUV",'E1a Fleet (roll)'!$C$7:$C$190,2)</f>
        <v/>
      </c>
    </row>
    <row r="26">
      <c r="B26" s="381" t="inlineStr">
        <is>
          <t>Utility vehicle (SUV) — 7+ years</t>
        </is>
      </c>
      <c r="C26" s="364" t="inlineStr">
        <is>
          <t>000s</t>
        </is>
      </c>
      <c r="D26" s="350">
        <f>SUMIFS('E1a Fleet (roll)'!E$7:E$190,'E1a Fleet (roll)'!$A$7:$A$190,"SUV",'E1a Fleet (roll)'!$C$7:$C$190,3)</f>
        <v/>
      </c>
      <c r="E26" s="350">
        <f>SUMIFS('E1a Fleet (roll)'!F$7:F$190,'E1a Fleet (roll)'!$A$7:$A$190,"SUV",'E1a Fleet (roll)'!$C$7:$C$190,3)</f>
        <v/>
      </c>
      <c r="F26" s="350">
        <f>SUMIFS('E1a Fleet (roll)'!G$7:G$190,'E1a Fleet (roll)'!$A$7:$A$190,"SUV",'E1a Fleet (roll)'!$C$7:$C$190,3)</f>
        <v/>
      </c>
      <c r="G26" s="350">
        <f>SUMIFS('E1a Fleet (roll)'!H$7:H$190,'E1a Fleet (roll)'!$A$7:$A$190,"SUV",'E1a Fleet (roll)'!$C$7:$C$190,3)</f>
        <v/>
      </c>
      <c r="H26" s="350">
        <f>SUMIFS('E1a Fleet (roll)'!I$7:I$190,'E1a Fleet (roll)'!$A$7:$A$190,"SUV",'E1a Fleet (roll)'!$C$7:$C$190,3)</f>
        <v/>
      </c>
      <c r="I26" s="350">
        <f>SUMIFS('E1a Fleet (roll)'!J$7:J$190,'E1a Fleet (roll)'!$A$7:$A$190,"SUV",'E1a Fleet (roll)'!$C$7:$C$190,3)</f>
        <v/>
      </c>
      <c r="J26" s="350">
        <f>SUMIFS('E1a Fleet (roll)'!K$7:K$190,'E1a Fleet (roll)'!$A$7:$A$190,"SUV",'E1a Fleet (roll)'!$C$7:$C$190,3)</f>
        <v/>
      </c>
      <c r="K26" s="350">
        <f>SUMIFS('E1a Fleet (roll)'!L$7:L$190,'E1a Fleet (roll)'!$A$7:$A$190,"SUV",'E1a Fleet (roll)'!$C$7:$C$190,3)</f>
        <v/>
      </c>
      <c r="L26" s="350">
        <f>SUMIFS('E1a Fleet (roll)'!M$7:M$190,'E1a Fleet (roll)'!$A$7:$A$190,"SUV",'E1a Fleet (roll)'!$C$7:$C$190,3)</f>
        <v/>
      </c>
      <c r="M26" s="350">
        <f>SUMIFS('E1a Fleet (roll)'!N$7:N$190,'E1a Fleet (roll)'!$A$7:$A$190,"SUV",'E1a Fleet (roll)'!$C$7:$C$190,3)</f>
        <v/>
      </c>
    </row>
    <row r="27">
      <c r="B27" s="339" t="inlineStr">
        <is>
          <t>Pickup — 0 (current or newer)</t>
        </is>
      </c>
      <c r="C27" s="364" t="inlineStr">
        <is>
          <t>000s</t>
        </is>
      </c>
      <c r="D27" s="350">
        <f>SUMIFS('E1a Fleet (roll)'!E$7:E$190,'E1a Fleet (roll)'!$A$7:$A$190,"Pickup",'E1a Fleet (roll)'!$C$7:$C$190,0)</f>
        <v/>
      </c>
      <c r="E27" s="350">
        <f>SUMIFS('E1a Fleet (roll)'!F$7:F$190,'E1a Fleet (roll)'!$A$7:$A$190,"Pickup",'E1a Fleet (roll)'!$C$7:$C$190,0)</f>
        <v/>
      </c>
      <c r="F27" s="350">
        <f>SUMIFS('E1a Fleet (roll)'!G$7:G$190,'E1a Fleet (roll)'!$A$7:$A$190,"Pickup",'E1a Fleet (roll)'!$C$7:$C$190,0)</f>
        <v/>
      </c>
      <c r="G27" s="350">
        <f>SUMIFS('E1a Fleet (roll)'!H$7:H$190,'E1a Fleet (roll)'!$A$7:$A$190,"Pickup",'E1a Fleet (roll)'!$C$7:$C$190,0)</f>
        <v/>
      </c>
      <c r="H27" s="350">
        <f>SUMIFS('E1a Fleet (roll)'!I$7:I$190,'E1a Fleet (roll)'!$A$7:$A$190,"Pickup",'E1a Fleet (roll)'!$C$7:$C$190,0)</f>
        <v/>
      </c>
      <c r="I27" s="350">
        <f>SUMIFS('E1a Fleet (roll)'!J$7:J$190,'E1a Fleet (roll)'!$A$7:$A$190,"Pickup",'E1a Fleet (roll)'!$C$7:$C$190,0)</f>
        <v/>
      </c>
      <c r="J27" s="350">
        <f>SUMIFS('E1a Fleet (roll)'!K$7:K$190,'E1a Fleet (roll)'!$A$7:$A$190,"Pickup",'E1a Fleet (roll)'!$C$7:$C$190,0)</f>
        <v/>
      </c>
      <c r="K27" s="350">
        <f>SUMIFS('E1a Fleet (roll)'!L$7:L$190,'E1a Fleet (roll)'!$A$7:$A$190,"Pickup",'E1a Fleet (roll)'!$C$7:$C$190,0)</f>
        <v/>
      </c>
      <c r="L27" s="350">
        <f>SUMIFS('E1a Fleet (roll)'!M$7:M$190,'E1a Fleet (roll)'!$A$7:$A$190,"Pickup",'E1a Fleet (roll)'!$C$7:$C$190,0)</f>
        <v/>
      </c>
      <c r="M27" s="350">
        <f>SUMIFS('E1a Fleet (roll)'!N$7:N$190,'E1a Fleet (roll)'!$A$7:$A$190,"Pickup",'E1a Fleet (roll)'!$C$7:$C$190,0)</f>
        <v/>
      </c>
    </row>
    <row r="28">
      <c r="B28" s="381" t="inlineStr">
        <is>
          <t>Pickup — 1–3 years</t>
        </is>
      </c>
      <c r="C28" s="364" t="inlineStr">
        <is>
          <t>000s</t>
        </is>
      </c>
      <c r="D28" s="350">
        <f>SUMIFS('E1a Fleet (roll)'!E$7:E$190,'E1a Fleet (roll)'!$A$7:$A$190,"Pickup",'E1a Fleet (roll)'!$C$7:$C$190,1)</f>
        <v/>
      </c>
      <c r="E28" s="350">
        <f>SUMIFS('E1a Fleet (roll)'!F$7:F$190,'E1a Fleet (roll)'!$A$7:$A$190,"Pickup",'E1a Fleet (roll)'!$C$7:$C$190,1)</f>
        <v/>
      </c>
      <c r="F28" s="350">
        <f>SUMIFS('E1a Fleet (roll)'!G$7:G$190,'E1a Fleet (roll)'!$A$7:$A$190,"Pickup",'E1a Fleet (roll)'!$C$7:$C$190,1)</f>
        <v/>
      </c>
      <c r="G28" s="350">
        <f>SUMIFS('E1a Fleet (roll)'!H$7:H$190,'E1a Fleet (roll)'!$A$7:$A$190,"Pickup",'E1a Fleet (roll)'!$C$7:$C$190,1)</f>
        <v/>
      </c>
      <c r="H28" s="350">
        <f>SUMIFS('E1a Fleet (roll)'!I$7:I$190,'E1a Fleet (roll)'!$A$7:$A$190,"Pickup",'E1a Fleet (roll)'!$C$7:$C$190,1)</f>
        <v/>
      </c>
      <c r="I28" s="350">
        <f>SUMIFS('E1a Fleet (roll)'!J$7:J$190,'E1a Fleet (roll)'!$A$7:$A$190,"Pickup",'E1a Fleet (roll)'!$C$7:$C$190,1)</f>
        <v/>
      </c>
      <c r="J28" s="350">
        <f>SUMIFS('E1a Fleet (roll)'!K$7:K$190,'E1a Fleet (roll)'!$A$7:$A$190,"Pickup",'E1a Fleet (roll)'!$C$7:$C$190,1)</f>
        <v/>
      </c>
      <c r="K28" s="350">
        <f>SUMIFS('E1a Fleet (roll)'!L$7:L$190,'E1a Fleet (roll)'!$A$7:$A$190,"Pickup",'E1a Fleet (roll)'!$C$7:$C$190,1)</f>
        <v/>
      </c>
      <c r="L28" s="350">
        <f>SUMIFS('E1a Fleet (roll)'!M$7:M$190,'E1a Fleet (roll)'!$A$7:$A$190,"Pickup",'E1a Fleet (roll)'!$C$7:$C$190,1)</f>
        <v/>
      </c>
      <c r="M28" s="350">
        <f>SUMIFS('E1a Fleet (roll)'!N$7:N$190,'E1a Fleet (roll)'!$A$7:$A$190,"Pickup",'E1a Fleet (roll)'!$C$7:$C$190,1)</f>
        <v/>
      </c>
    </row>
    <row r="29">
      <c r="B29" s="381" t="inlineStr">
        <is>
          <t>Pickup — 4–6 years</t>
        </is>
      </c>
      <c r="C29" s="364" t="inlineStr">
        <is>
          <t>000s</t>
        </is>
      </c>
      <c r="D29" s="350">
        <f>SUMIFS('E1a Fleet (roll)'!E$7:E$190,'E1a Fleet (roll)'!$A$7:$A$190,"Pickup",'E1a Fleet (roll)'!$C$7:$C$190,2)</f>
        <v/>
      </c>
      <c r="E29" s="350">
        <f>SUMIFS('E1a Fleet (roll)'!F$7:F$190,'E1a Fleet (roll)'!$A$7:$A$190,"Pickup",'E1a Fleet (roll)'!$C$7:$C$190,2)</f>
        <v/>
      </c>
      <c r="F29" s="350">
        <f>SUMIFS('E1a Fleet (roll)'!G$7:G$190,'E1a Fleet (roll)'!$A$7:$A$190,"Pickup",'E1a Fleet (roll)'!$C$7:$C$190,2)</f>
        <v/>
      </c>
      <c r="G29" s="350">
        <f>SUMIFS('E1a Fleet (roll)'!H$7:H$190,'E1a Fleet (roll)'!$A$7:$A$190,"Pickup",'E1a Fleet (roll)'!$C$7:$C$190,2)</f>
        <v/>
      </c>
      <c r="H29" s="350">
        <f>SUMIFS('E1a Fleet (roll)'!I$7:I$190,'E1a Fleet (roll)'!$A$7:$A$190,"Pickup",'E1a Fleet (roll)'!$C$7:$C$190,2)</f>
        <v/>
      </c>
      <c r="I29" s="350">
        <f>SUMIFS('E1a Fleet (roll)'!J$7:J$190,'E1a Fleet (roll)'!$A$7:$A$190,"Pickup",'E1a Fleet (roll)'!$C$7:$C$190,2)</f>
        <v/>
      </c>
      <c r="J29" s="350">
        <f>SUMIFS('E1a Fleet (roll)'!K$7:K$190,'E1a Fleet (roll)'!$A$7:$A$190,"Pickup",'E1a Fleet (roll)'!$C$7:$C$190,2)</f>
        <v/>
      </c>
      <c r="K29" s="350">
        <f>SUMIFS('E1a Fleet (roll)'!L$7:L$190,'E1a Fleet (roll)'!$A$7:$A$190,"Pickup",'E1a Fleet (roll)'!$C$7:$C$190,2)</f>
        <v/>
      </c>
      <c r="L29" s="350">
        <f>SUMIFS('E1a Fleet (roll)'!M$7:M$190,'E1a Fleet (roll)'!$A$7:$A$190,"Pickup",'E1a Fleet (roll)'!$C$7:$C$190,2)</f>
        <v/>
      </c>
      <c r="M29" s="350">
        <f>SUMIFS('E1a Fleet (roll)'!N$7:N$190,'E1a Fleet (roll)'!$A$7:$A$190,"Pickup",'E1a Fleet (roll)'!$C$7:$C$190,2)</f>
        <v/>
      </c>
    </row>
    <row r="30">
      <c r="B30" s="381" t="inlineStr">
        <is>
          <t>Pickup — 7+ years</t>
        </is>
      </c>
      <c r="C30" s="364" t="inlineStr">
        <is>
          <t>000s</t>
        </is>
      </c>
      <c r="D30" s="350">
        <f>SUMIFS('E1a Fleet (roll)'!E$7:E$190,'E1a Fleet (roll)'!$A$7:$A$190,"Pickup",'E1a Fleet (roll)'!$C$7:$C$190,3)</f>
        <v/>
      </c>
      <c r="E30" s="350">
        <f>SUMIFS('E1a Fleet (roll)'!F$7:F$190,'E1a Fleet (roll)'!$A$7:$A$190,"Pickup",'E1a Fleet (roll)'!$C$7:$C$190,3)</f>
        <v/>
      </c>
      <c r="F30" s="350">
        <f>SUMIFS('E1a Fleet (roll)'!G$7:G$190,'E1a Fleet (roll)'!$A$7:$A$190,"Pickup",'E1a Fleet (roll)'!$C$7:$C$190,3)</f>
        <v/>
      </c>
      <c r="G30" s="350">
        <f>SUMIFS('E1a Fleet (roll)'!H$7:H$190,'E1a Fleet (roll)'!$A$7:$A$190,"Pickup",'E1a Fleet (roll)'!$C$7:$C$190,3)</f>
        <v/>
      </c>
      <c r="H30" s="350">
        <f>SUMIFS('E1a Fleet (roll)'!I$7:I$190,'E1a Fleet (roll)'!$A$7:$A$190,"Pickup",'E1a Fleet (roll)'!$C$7:$C$190,3)</f>
        <v/>
      </c>
      <c r="I30" s="350">
        <f>SUMIFS('E1a Fleet (roll)'!J$7:J$190,'E1a Fleet (roll)'!$A$7:$A$190,"Pickup",'E1a Fleet (roll)'!$C$7:$C$190,3)</f>
        <v/>
      </c>
      <c r="J30" s="350">
        <f>SUMIFS('E1a Fleet (roll)'!K$7:K$190,'E1a Fleet (roll)'!$A$7:$A$190,"Pickup",'E1a Fleet (roll)'!$C$7:$C$190,3)</f>
        <v/>
      </c>
      <c r="K30" s="350">
        <f>SUMIFS('E1a Fleet (roll)'!L$7:L$190,'E1a Fleet (roll)'!$A$7:$A$190,"Pickup",'E1a Fleet (roll)'!$C$7:$C$190,3)</f>
        <v/>
      </c>
      <c r="L30" s="350">
        <f>SUMIFS('E1a Fleet (roll)'!M$7:M$190,'E1a Fleet (roll)'!$A$7:$A$190,"Pickup",'E1a Fleet (roll)'!$C$7:$C$190,3)</f>
        <v/>
      </c>
      <c r="M30" s="350">
        <f>SUMIFS('E1a Fleet (roll)'!N$7:N$190,'E1a Fleet (roll)'!$A$7:$A$190,"Pickup",'E1a Fleet (roll)'!$C$7:$C$190,3)</f>
        <v/>
      </c>
    </row>
    <row r="31">
      <c r="B31" s="339" t="inlineStr">
        <is>
          <t>Van / minivan — 0 (current or newer)</t>
        </is>
      </c>
      <c r="C31" s="364" t="inlineStr">
        <is>
          <t>000s</t>
        </is>
      </c>
      <c r="D31" s="350">
        <f>SUMIFS('E1a Fleet (roll)'!E$7:E$190,'E1a Fleet (roll)'!$A$7:$A$190,"Van",'E1a Fleet (roll)'!$C$7:$C$190,0)</f>
        <v/>
      </c>
      <c r="E31" s="350">
        <f>SUMIFS('E1a Fleet (roll)'!F$7:F$190,'E1a Fleet (roll)'!$A$7:$A$190,"Van",'E1a Fleet (roll)'!$C$7:$C$190,0)</f>
        <v/>
      </c>
      <c r="F31" s="350">
        <f>SUMIFS('E1a Fleet (roll)'!G$7:G$190,'E1a Fleet (roll)'!$A$7:$A$190,"Van",'E1a Fleet (roll)'!$C$7:$C$190,0)</f>
        <v/>
      </c>
      <c r="G31" s="350">
        <f>SUMIFS('E1a Fleet (roll)'!H$7:H$190,'E1a Fleet (roll)'!$A$7:$A$190,"Van",'E1a Fleet (roll)'!$C$7:$C$190,0)</f>
        <v/>
      </c>
      <c r="H31" s="350">
        <f>SUMIFS('E1a Fleet (roll)'!I$7:I$190,'E1a Fleet (roll)'!$A$7:$A$190,"Van",'E1a Fleet (roll)'!$C$7:$C$190,0)</f>
        <v/>
      </c>
      <c r="I31" s="350">
        <f>SUMIFS('E1a Fleet (roll)'!J$7:J$190,'E1a Fleet (roll)'!$A$7:$A$190,"Van",'E1a Fleet (roll)'!$C$7:$C$190,0)</f>
        <v/>
      </c>
      <c r="J31" s="350">
        <f>SUMIFS('E1a Fleet (roll)'!K$7:K$190,'E1a Fleet (roll)'!$A$7:$A$190,"Van",'E1a Fleet (roll)'!$C$7:$C$190,0)</f>
        <v/>
      </c>
      <c r="K31" s="350">
        <f>SUMIFS('E1a Fleet (roll)'!L$7:L$190,'E1a Fleet (roll)'!$A$7:$A$190,"Van",'E1a Fleet (roll)'!$C$7:$C$190,0)</f>
        <v/>
      </c>
      <c r="L31" s="350">
        <f>SUMIFS('E1a Fleet (roll)'!M$7:M$190,'E1a Fleet (roll)'!$A$7:$A$190,"Van",'E1a Fleet (roll)'!$C$7:$C$190,0)</f>
        <v/>
      </c>
      <c r="M31" s="350">
        <f>SUMIFS('E1a Fleet (roll)'!N$7:N$190,'E1a Fleet (roll)'!$A$7:$A$190,"Van",'E1a Fleet (roll)'!$C$7:$C$190,0)</f>
        <v/>
      </c>
    </row>
    <row r="32">
      <c r="B32" s="381" t="inlineStr">
        <is>
          <t>Van / minivan — 1–3 years</t>
        </is>
      </c>
      <c r="C32" s="364" t="inlineStr">
        <is>
          <t>000s</t>
        </is>
      </c>
      <c r="D32" s="350">
        <f>SUMIFS('E1a Fleet (roll)'!E$7:E$190,'E1a Fleet (roll)'!$A$7:$A$190,"Van",'E1a Fleet (roll)'!$C$7:$C$190,1)</f>
        <v/>
      </c>
      <c r="E32" s="350">
        <f>SUMIFS('E1a Fleet (roll)'!F$7:F$190,'E1a Fleet (roll)'!$A$7:$A$190,"Van",'E1a Fleet (roll)'!$C$7:$C$190,1)</f>
        <v/>
      </c>
      <c r="F32" s="350">
        <f>SUMIFS('E1a Fleet (roll)'!G$7:G$190,'E1a Fleet (roll)'!$A$7:$A$190,"Van",'E1a Fleet (roll)'!$C$7:$C$190,1)</f>
        <v/>
      </c>
      <c r="G32" s="350">
        <f>SUMIFS('E1a Fleet (roll)'!H$7:H$190,'E1a Fleet (roll)'!$A$7:$A$190,"Van",'E1a Fleet (roll)'!$C$7:$C$190,1)</f>
        <v/>
      </c>
      <c r="H32" s="350">
        <f>SUMIFS('E1a Fleet (roll)'!I$7:I$190,'E1a Fleet (roll)'!$A$7:$A$190,"Van",'E1a Fleet (roll)'!$C$7:$C$190,1)</f>
        <v/>
      </c>
      <c r="I32" s="350">
        <f>SUMIFS('E1a Fleet (roll)'!J$7:J$190,'E1a Fleet (roll)'!$A$7:$A$190,"Van",'E1a Fleet (roll)'!$C$7:$C$190,1)</f>
        <v/>
      </c>
      <c r="J32" s="350">
        <f>SUMIFS('E1a Fleet (roll)'!K$7:K$190,'E1a Fleet (roll)'!$A$7:$A$190,"Van",'E1a Fleet (roll)'!$C$7:$C$190,1)</f>
        <v/>
      </c>
      <c r="K32" s="350">
        <f>SUMIFS('E1a Fleet (roll)'!L$7:L$190,'E1a Fleet (roll)'!$A$7:$A$190,"Van",'E1a Fleet (roll)'!$C$7:$C$190,1)</f>
        <v/>
      </c>
      <c r="L32" s="350">
        <f>SUMIFS('E1a Fleet (roll)'!M$7:M$190,'E1a Fleet (roll)'!$A$7:$A$190,"Van",'E1a Fleet (roll)'!$C$7:$C$190,1)</f>
        <v/>
      </c>
      <c r="M32" s="350">
        <f>SUMIFS('E1a Fleet (roll)'!N$7:N$190,'E1a Fleet (roll)'!$A$7:$A$190,"Van",'E1a Fleet (roll)'!$C$7:$C$190,1)</f>
        <v/>
      </c>
    </row>
    <row r="33">
      <c r="B33" s="381" t="inlineStr">
        <is>
          <t>Van / minivan — 4–6 years</t>
        </is>
      </c>
      <c r="C33" s="364" t="inlineStr">
        <is>
          <t>000s</t>
        </is>
      </c>
      <c r="D33" s="350">
        <f>SUMIFS('E1a Fleet (roll)'!E$7:E$190,'E1a Fleet (roll)'!$A$7:$A$190,"Van",'E1a Fleet (roll)'!$C$7:$C$190,2)</f>
        <v/>
      </c>
      <c r="E33" s="350">
        <f>SUMIFS('E1a Fleet (roll)'!F$7:F$190,'E1a Fleet (roll)'!$A$7:$A$190,"Van",'E1a Fleet (roll)'!$C$7:$C$190,2)</f>
        <v/>
      </c>
      <c r="F33" s="350">
        <f>SUMIFS('E1a Fleet (roll)'!G$7:G$190,'E1a Fleet (roll)'!$A$7:$A$190,"Van",'E1a Fleet (roll)'!$C$7:$C$190,2)</f>
        <v/>
      </c>
      <c r="G33" s="350">
        <f>SUMIFS('E1a Fleet (roll)'!H$7:H$190,'E1a Fleet (roll)'!$A$7:$A$190,"Van",'E1a Fleet (roll)'!$C$7:$C$190,2)</f>
        <v/>
      </c>
      <c r="H33" s="350">
        <f>SUMIFS('E1a Fleet (roll)'!I$7:I$190,'E1a Fleet (roll)'!$A$7:$A$190,"Van",'E1a Fleet (roll)'!$C$7:$C$190,2)</f>
        <v/>
      </c>
      <c r="I33" s="350">
        <f>SUMIFS('E1a Fleet (roll)'!J$7:J$190,'E1a Fleet (roll)'!$A$7:$A$190,"Van",'E1a Fleet (roll)'!$C$7:$C$190,2)</f>
        <v/>
      </c>
      <c r="J33" s="350">
        <f>SUMIFS('E1a Fleet (roll)'!K$7:K$190,'E1a Fleet (roll)'!$A$7:$A$190,"Van",'E1a Fleet (roll)'!$C$7:$C$190,2)</f>
        <v/>
      </c>
      <c r="K33" s="350">
        <f>SUMIFS('E1a Fleet (roll)'!L$7:L$190,'E1a Fleet (roll)'!$A$7:$A$190,"Van",'E1a Fleet (roll)'!$C$7:$C$190,2)</f>
        <v/>
      </c>
      <c r="L33" s="350">
        <f>SUMIFS('E1a Fleet (roll)'!M$7:M$190,'E1a Fleet (roll)'!$A$7:$A$190,"Van",'E1a Fleet (roll)'!$C$7:$C$190,2)</f>
        <v/>
      </c>
      <c r="M33" s="350">
        <f>SUMIFS('E1a Fleet (roll)'!N$7:N$190,'E1a Fleet (roll)'!$A$7:$A$190,"Van",'E1a Fleet (roll)'!$C$7:$C$190,2)</f>
        <v/>
      </c>
    </row>
    <row r="34">
      <c r="B34" s="381" t="inlineStr">
        <is>
          <t>Van / minivan — 7+ years</t>
        </is>
      </c>
      <c r="C34" s="364" t="inlineStr">
        <is>
          <t>000s</t>
        </is>
      </c>
      <c r="D34" s="350">
        <f>SUMIFS('E1a Fleet (roll)'!E$7:E$190,'E1a Fleet (roll)'!$A$7:$A$190,"Van",'E1a Fleet (roll)'!$C$7:$C$190,3)</f>
        <v/>
      </c>
      <c r="E34" s="350">
        <f>SUMIFS('E1a Fleet (roll)'!F$7:F$190,'E1a Fleet (roll)'!$A$7:$A$190,"Van",'E1a Fleet (roll)'!$C$7:$C$190,3)</f>
        <v/>
      </c>
      <c r="F34" s="350">
        <f>SUMIFS('E1a Fleet (roll)'!G$7:G$190,'E1a Fleet (roll)'!$A$7:$A$190,"Van",'E1a Fleet (roll)'!$C$7:$C$190,3)</f>
        <v/>
      </c>
      <c r="G34" s="350">
        <f>SUMIFS('E1a Fleet (roll)'!H$7:H$190,'E1a Fleet (roll)'!$A$7:$A$190,"Van",'E1a Fleet (roll)'!$C$7:$C$190,3)</f>
        <v/>
      </c>
      <c r="H34" s="350">
        <f>SUMIFS('E1a Fleet (roll)'!I$7:I$190,'E1a Fleet (roll)'!$A$7:$A$190,"Van",'E1a Fleet (roll)'!$C$7:$C$190,3)</f>
        <v/>
      </c>
      <c r="I34" s="350">
        <f>SUMIFS('E1a Fleet (roll)'!J$7:J$190,'E1a Fleet (roll)'!$A$7:$A$190,"Van",'E1a Fleet (roll)'!$C$7:$C$190,3)</f>
        <v/>
      </c>
      <c r="J34" s="350">
        <f>SUMIFS('E1a Fleet (roll)'!K$7:K$190,'E1a Fleet (roll)'!$A$7:$A$190,"Van",'E1a Fleet (roll)'!$C$7:$C$190,3)</f>
        <v/>
      </c>
      <c r="K34" s="350">
        <f>SUMIFS('E1a Fleet (roll)'!L$7:L$190,'E1a Fleet (roll)'!$A$7:$A$190,"Van",'E1a Fleet (roll)'!$C$7:$C$190,3)</f>
        <v/>
      </c>
      <c r="L34" s="350">
        <f>SUMIFS('E1a Fleet (roll)'!M$7:M$190,'E1a Fleet (roll)'!$A$7:$A$190,"Van",'E1a Fleet (roll)'!$C$7:$C$190,3)</f>
        <v/>
      </c>
      <c r="M34" s="35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455">
        <f>SUMIFS('E1a Fleet (roll)'!D$7:D$190,'E1a Fleet (roll)'!$C$7:$C$190,3)/D35</f>
        <v/>
      </c>
      <c r="E36" s="455">
        <f>SUMIFS('E1a Fleet (roll)'!E$7:E$190,'E1a Fleet (roll)'!$C$7:$C$190,3)/E35</f>
        <v/>
      </c>
      <c r="F36" s="455">
        <f>SUMIFS('E1a Fleet (roll)'!F$7:F$190,'E1a Fleet (roll)'!$C$7:$C$190,3)/F35</f>
        <v/>
      </c>
      <c r="G36" s="455">
        <f>SUMIFS('E1a Fleet (roll)'!G$7:G$190,'E1a Fleet (roll)'!$C$7:$C$190,3)/G35</f>
        <v/>
      </c>
      <c r="H36" s="455">
        <f>SUMIFS('E1a Fleet (roll)'!H$7:H$190,'E1a Fleet (roll)'!$C$7:$C$190,3)/H35</f>
        <v/>
      </c>
      <c r="I36" s="455">
        <f>SUMIFS('E1a Fleet (roll)'!I$7:I$190,'E1a Fleet (roll)'!$C$7:$C$190,3)/I35</f>
        <v/>
      </c>
      <c r="J36" s="455">
        <f>SUMIFS('E1a Fleet (roll)'!J$7:J$190,'E1a Fleet (roll)'!$C$7:$C$190,3)/J35</f>
        <v/>
      </c>
      <c r="K36" s="455">
        <f>SUMIFS('E1a Fleet (roll)'!K$7:K$190,'E1a Fleet (roll)'!$C$7:$C$190,3)/K35</f>
        <v/>
      </c>
      <c r="L36" s="455">
        <f>SUMIFS('E1a Fleet (roll)'!L$7:L$190,'E1a Fleet (roll)'!$C$7:$C$190,3)/L35</f>
        <v/>
      </c>
      <c r="M36" s="455">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46">
        <f>SUMIFS('E1a Fleet (roll)'!P$7:P$190,'E1a Fleet (roll)'!$A$7:$A$190,"Car",'E1a Fleet (roll)'!$C$7:$C$190,0)/SUM('E1a Fleet (roll)'!P$7:P$190)</f>
        <v/>
      </c>
      <c r="E40" s="346">
        <f>SUMIFS('E1a Fleet (roll)'!Q$7:Q$190,'E1a Fleet (roll)'!$A$7:$A$190,"Car",'E1a Fleet (roll)'!$C$7:$C$190,0)/SUM('E1a Fleet (roll)'!Q$7:Q$190)</f>
        <v/>
      </c>
      <c r="F40" s="346">
        <f>SUMIFS('E1a Fleet (roll)'!R$7:R$190,'E1a Fleet (roll)'!$A$7:$A$190,"Car",'E1a Fleet (roll)'!$C$7:$C$190,0)/SUM('E1a Fleet (roll)'!R$7:R$190)</f>
        <v/>
      </c>
      <c r="G40" s="346">
        <f>SUMIFS('E1a Fleet (roll)'!S$7:S$190,'E1a Fleet (roll)'!$A$7:$A$190,"Car",'E1a Fleet (roll)'!$C$7:$C$190,0)/SUM('E1a Fleet (roll)'!S$7:S$190)</f>
        <v/>
      </c>
      <c r="H40" s="346">
        <f>SUMIFS('E1a Fleet (roll)'!T$7:T$190,'E1a Fleet (roll)'!$A$7:$A$190,"Car",'E1a Fleet (roll)'!$C$7:$C$190,0)/SUM('E1a Fleet (roll)'!T$7:T$190)</f>
        <v/>
      </c>
      <c r="I40" s="346">
        <f>SUMIFS('E1a Fleet (roll)'!U$7:U$190,'E1a Fleet (roll)'!$A$7:$A$190,"Car",'E1a Fleet (roll)'!$C$7:$C$190,0)/SUM('E1a Fleet (roll)'!U$7:U$190)</f>
        <v/>
      </c>
      <c r="J40" s="346">
        <f>SUMIFS('E1a Fleet (roll)'!V$7:V$190,'E1a Fleet (roll)'!$A$7:$A$190,"Car",'E1a Fleet (roll)'!$C$7:$C$190,0)/SUM('E1a Fleet (roll)'!V$7:V$190)</f>
        <v/>
      </c>
      <c r="K40" s="346">
        <f>SUMIFS('E1a Fleet (roll)'!W$7:W$190,'E1a Fleet (roll)'!$A$7:$A$190,"Car",'E1a Fleet (roll)'!$C$7:$C$190,0)/SUM('E1a Fleet (roll)'!W$7:W$190)</f>
        <v/>
      </c>
      <c r="L40" s="346">
        <f>SUMIFS('E1a Fleet (roll)'!X$7:X$190,'E1a Fleet (roll)'!$A$7:$A$190,"Car",'E1a Fleet (roll)'!$C$7:$C$190,0)/SUM('E1a Fleet (roll)'!X$7:X$190)</f>
        <v/>
      </c>
      <c r="M40" s="346">
        <f>SUMIFS('E1a Fleet (roll)'!Y$7:Y$190,'E1a Fleet (roll)'!$A$7:$A$190,"Car",'E1a Fleet (roll)'!$C$7:$C$190,0)/SUM('E1a Fleet (roll)'!Y$7:Y$190)</f>
        <v/>
      </c>
    </row>
    <row r="41">
      <c r="B41" s="381" t="inlineStr">
        <is>
          <t>Model: Car — 1–3 years</t>
        </is>
      </c>
      <c r="C41" s="364" t="inlineStr">
        <is>
          <t>%</t>
        </is>
      </c>
      <c r="D41" s="346">
        <f>SUMIFS('E1a Fleet (roll)'!P$7:P$190,'E1a Fleet (roll)'!$A$7:$A$190,"Car",'E1a Fleet (roll)'!$C$7:$C$190,1)/SUM('E1a Fleet (roll)'!P$7:P$190)</f>
        <v/>
      </c>
      <c r="E41" s="346">
        <f>SUMIFS('E1a Fleet (roll)'!Q$7:Q$190,'E1a Fleet (roll)'!$A$7:$A$190,"Car",'E1a Fleet (roll)'!$C$7:$C$190,1)/SUM('E1a Fleet (roll)'!Q$7:Q$190)</f>
        <v/>
      </c>
      <c r="F41" s="346">
        <f>SUMIFS('E1a Fleet (roll)'!R$7:R$190,'E1a Fleet (roll)'!$A$7:$A$190,"Car",'E1a Fleet (roll)'!$C$7:$C$190,1)/SUM('E1a Fleet (roll)'!R$7:R$190)</f>
        <v/>
      </c>
      <c r="G41" s="346">
        <f>SUMIFS('E1a Fleet (roll)'!S$7:S$190,'E1a Fleet (roll)'!$A$7:$A$190,"Car",'E1a Fleet (roll)'!$C$7:$C$190,1)/SUM('E1a Fleet (roll)'!S$7:S$190)</f>
        <v/>
      </c>
      <c r="H41" s="346">
        <f>SUMIFS('E1a Fleet (roll)'!T$7:T$190,'E1a Fleet (roll)'!$A$7:$A$190,"Car",'E1a Fleet (roll)'!$C$7:$C$190,1)/SUM('E1a Fleet (roll)'!T$7:T$190)</f>
        <v/>
      </c>
      <c r="I41" s="346">
        <f>SUMIFS('E1a Fleet (roll)'!U$7:U$190,'E1a Fleet (roll)'!$A$7:$A$190,"Car",'E1a Fleet (roll)'!$C$7:$C$190,1)/SUM('E1a Fleet (roll)'!U$7:U$190)</f>
        <v/>
      </c>
      <c r="J41" s="346">
        <f>SUMIFS('E1a Fleet (roll)'!V$7:V$190,'E1a Fleet (roll)'!$A$7:$A$190,"Car",'E1a Fleet (roll)'!$C$7:$C$190,1)/SUM('E1a Fleet (roll)'!V$7:V$190)</f>
        <v/>
      </c>
      <c r="K41" s="346">
        <f>SUMIFS('E1a Fleet (roll)'!W$7:W$190,'E1a Fleet (roll)'!$A$7:$A$190,"Car",'E1a Fleet (roll)'!$C$7:$C$190,1)/SUM('E1a Fleet (roll)'!W$7:W$190)</f>
        <v/>
      </c>
      <c r="L41" s="346">
        <f>SUMIFS('E1a Fleet (roll)'!X$7:X$190,'E1a Fleet (roll)'!$A$7:$A$190,"Car",'E1a Fleet (roll)'!$C$7:$C$190,1)/SUM('E1a Fleet (roll)'!X$7:X$190)</f>
        <v/>
      </c>
      <c r="M41" s="346">
        <f>SUMIFS('E1a Fleet (roll)'!Y$7:Y$190,'E1a Fleet (roll)'!$A$7:$A$190,"Car",'E1a Fleet (roll)'!$C$7:$C$190,1)/SUM('E1a Fleet (roll)'!Y$7:Y$190)</f>
        <v/>
      </c>
    </row>
    <row r="42">
      <c r="B42" s="381" t="inlineStr">
        <is>
          <t>Model: Car — 4–6 years</t>
        </is>
      </c>
      <c r="C42" s="364" t="inlineStr">
        <is>
          <t>%</t>
        </is>
      </c>
      <c r="D42" s="346">
        <f>SUMIFS('E1a Fleet (roll)'!P$7:P$190,'E1a Fleet (roll)'!$A$7:$A$190,"Car",'E1a Fleet (roll)'!$C$7:$C$190,2)/SUM('E1a Fleet (roll)'!P$7:P$190)</f>
        <v/>
      </c>
      <c r="E42" s="346">
        <f>SUMIFS('E1a Fleet (roll)'!Q$7:Q$190,'E1a Fleet (roll)'!$A$7:$A$190,"Car",'E1a Fleet (roll)'!$C$7:$C$190,2)/SUM('E1a Fleet (roll)'!Q$7:Q$190)</f>
        <v/>
      </c>
      <c r="F42" s="346">
        <f>SUMIFS('E1a Fleet (roll)'!R$7:R$190,'E1a Fleet (roll)'!$A$7:$A$190,"Car",'E1a Fleet (roll)'!$C$7:$C$190,2)/SUM('E1a Fleet (roll)'!R$7:R$190)</f>
        <v/>
      </c>
      <c r="G42" s="346">
        <f>SUMIFS('E1a Fleet (roll)'!S$7:S$190,'E1a Fleet (roll)'!$A$7:$A$190,"Car",'E1a Fleet (roll)'!$C$7:$C$190,2)/SUM('E1a Fleet (roll)'!S$7:S$190)</f>
        <v/>
      </c>
      <c r="H42" s="346">
        <f>SUMIFS('E1a Fleet (roll)'!T$7:T$190,'E1a Fleet (roll)'!$A$7:$A$190,"Car",'E1a Fleet (roll)'!$C$7:$C$190,2)/SUM('E1a Fleet (roll)'!T$7:T$190)</f>
        <v/>
      </c>
      <c r="I42" s="346">
        <f>SUMIFS('E1a Fleet (roll)'!U$7:U$190,'E1a Fleet (roll)'!$A$7:$A$190,"Car",'E1a Fleet (roll)'!$C$7:$C$190,2)/SUM('E1a Fleet (roll)'!U$7:U$190)</f>
        <v/>
      </c>
      <c r="J42" s="346">
        <f>SUMIFS('E1a Fleet (roll)'!V$7:V$190,'E1a Fleet (roll)'!$A$7:$A$190,"Car",'E1a Fleet (roll)'!$C$7:$C$190,2)/SUM('E1a Fleet (roll)'!V$7:V$190)</f>
        <v/>
      </c>
      <c r="K42" s="346">
        <f>SUMIFS('E1a Fleet (roll)'!W$7:W$190,'E1a Fleet (roll)'!$A$7:$A$190,"Car",'E1a Fleet (roll)'!$C$7:$C$190,2)/SUM('E1a Fleet (roll)'!W$7:W$190)</f>
        <v/>
      </c>
      <c r="L42" s="346">
        <f>SUMIFS('E1a Fleet (roll)'!X$7:X$190,'E1a Fleet (roll)'!$A$7:$A$190,"Car",'E1a Fleet (roll)'!$C$7:$C$190,2)/SUM('E1a Fleet (roll)'!X$7:X$190)</f>
        <v/>
      </c>
      <c r="M42" s="346">
        <f>SUMIFS('E1a Fleet (roll)'!Y$7:Y$190,'E1a Fleet (roll)'!$A$7:$A$190,"Car",'E1a Fleet (roll)'!$C$7:$C$190,2)/SUM('E1a Fleet (roll)'!Y$7:Y$190)</f>
        <v/>
      </c>
    </row>
    <row r="43">
      <c r="B43" s="381" t="inlineStr">
        <is>
          <t>Model: Car — 7+ years</t>
        </is>
      </c>
      <c r="C43" s="364" t="inlineStr">
        <is>
          <t>%</t>
        </is>
      </c>
      <c r="D43" s="346">
        <f>SUMIFS('E1a Fleet (roll)'!P$7:P$190,'E1a Fleet (roll)'!$A$7:$A$190,"Car",'E1a Fleet (roll)'!$C$7:$C$190,3)/SUM('E1a Fleet (roll)'!P$7:P$190)</f>
        <v/>
      </c>
      <c r="E43" s="346">
        <f>SUMIFS('E1a Fleet (roll)'!Q$7:Q$190,'E1a Fleet (roll)'!$A$7:$A$190,"Car",'E1a Fleet (roll)'!$C$7:$C$190,3)/SUM('E1a Fleet (roll)'!Q$7:Q$190)</f>
        <v/>
      </c>
      <c r="F43" s="346">
        <f>SUMIFS('E1a Fleet (roll)'!R$7:R$190,'E1a Fleet (roll)'!$A$7:$A$190,"Car",'E1a Fleet (roll)'!$C$7:$C$190,3)/SUM('E1a Fleet (roll)'!R$7:R$190)</f>
        <v/>
      </c>
      <c r="G43" s="346">
        <f>SUMIFS('E1a Fleet (roll)'!S$7:S$190,'E1a Fleet (roll)'!$A$7:$A$190,"Car",'E1a Fleet (roll)'!$C$7:$C$190,3)/SUM('E1a Fleet (roll)'!S$7:S$190)</f>
        <v/>
      </c>
      <c r="H43" s="346">
        <f>SUMIFS('E1a Fleet (roll)'!T$7:T$190,'E1a Fleet (roll)'!$A$7:$A$190,"Car",'E1a Fleet (roll)'!$C$7:$C$190,3)/SUM('E1a Fleet (roll)'!T$7:T$190)</f>
        <v/>
      </c>
      <c r="I43" s="346">
        <f>SUMIFS('E1a Fleet (roll)'!U$7:U$190,'E1a Fleet (roll)'!$A$7:$A$190,"Car",'E1a Fleet (roll)'!$C$7:$C$190,3)/SUM('E1a Fleet (roll)'!U$7:U$190)</f>
        <v/>
      </c>
      <c r="J43" s="346">
        <f>SUMIFS('E1a Fleet (roll)'!V$7:V$190,'E1a Fleet (roll)'!$A$7:$A$190,"Car",'E1a Fleet (roll)'!$C$7:$C$190,3)/SUM('E1a Fleet (roll)'!V$7:V$190)</f>
        <v/>
      </c>
      <c r="K43" s="346">
        <f>SUMIFS('E1a Fleet (roll)'!W$7:W$190,'E1a Fleet (roll)'!$A$7:$A$190,"Car",'E1a Fleet (roll)'!$C$7:$C$190,3)/SUM('E1a Fleet (roll)'!W$7:W$190)</f>
        <v/>
      </c>
      <c r="L43" s="346">
        <f>SUMIFS('E1a Fleet (roll)'!X$7:X$190,'E1a Fleet (roll)'!$A$7:$A$190,"Car",'E1a Fleet (roll)'!$C$7:$C$190,3)/SUM('E1a Fleet (roll)'!X$7:X$190)</f>
        <v/>
      </c>
      <c r="M43" s="346">
        <f>SUMIFS('E1a Fleet (roll)'!Y$7:Y$190,'E1a Fleet (roll)'!$A$7:$A$190,"Car",'E1a Fleet (roll)'!$C$7:$C$190,3)/SUM('E1a Fleet (roll)'!Y$7:Y$190)</f>
        <v/>
      </c>
    </row>
    <row r="44">
      <c r="B44" s="339" t="inlineStr">
        <is>
          <t>Model: Utility vehicle (SUV) — 0 (current or newer)</t>
        </is>
      </c>
      <c r="C44" s="364" t="inlineStr">
        <is>
          <t>%</t>
        </is>
      </c>
      <c r="D44" s="346">
        <f>SUMIFS('E1a Fleet (roll)'!P$7:P$190,'E1a Fleet (roll)'!$A$7:$A$190,"SUV",'E1a Fleet (roll)'!$C$7:$C$190,0)/SUM('E1a Fleet (roll)'!P$7:P$190)</f>
        <v/>
      </c>
      <c r="E44" s="346">
        <f>SUMIFS('E1a Fleet (roll)'!Q$7:Q$190,'E1a Fleet (roll)'!$A$7:$A$190,"SUV",'E1a Fleet (roll)'!$C$7:$C$190,0)/SUM('E1a Fleet (roll)'!Q$7:Q$190)</f>
        <v/>
      </c>
      <c r="F44" s="346">
        <f>SUMIFS('E1a Fleet (roll)'!R$7:R$190,'E1a Fleet (roll)'!$A$7:$A$190,"SUV",'E1a Fleet (roll)'!$C$7:$C$190,0)/SUM('E1a Fleet (roll)'!R$7:R$190)</f>
        <v/>
      </c>
      <c r="G44" s="346">
        <f>SUMIFS('E1a Fleet (roll)'!S$7:S$190,'E1a Fleet (roll)'!$A$7:$A$190,"SUV",'E1a Fleet (roll)'!$C$7:$C$190,0)/SUM('E1a Fleet (roll)'!S$7:S$190)</f>
        <v/>
      </c>
      <c r="H44" s="346">
        <f>SUMIFS('E1a Fleet (roll)'!T$7:T$190,'E1a Fleet (roll)'!$A$7:$A$190,"SUV",'E1a Fleet (roll)'!$C$7:$C$190,0)/SUM('E1a Fleet (roll)'!T$7:T$190)</f>
        <v/>
      </c>
      <c r="I44" s="346">
        <f>SUMIFS('E1a Fleet (roll)'!U$7:U$190,'E1a Fleet (roll)'!$A$7:$A$190,"SUV",'E1a Fleet (roll)'!$C$7:$C$190,0)/SUM('E1a Fleet (roll)'!U$7:U$190)</f>
        <v/>
      </c>
      <c r="J44" s="346">
        <f>SUMIFS('E1a Fleet (roll)'!V$7:V$190,'E1a Fleet (roll)'!$A$7:$A$190,"SUV",'E1a Fleet (roll)'!$C$7:$C$190,0)/SUM('E1a Fleet (roll)'!V$7:V$190)</f>
        <v/>
      </c>
      <c r="K44" s="346">
        <f>SUMIFS('E1a Fleet (roll)'!W$7:W$190,'E1a Fleet (roll)'!$A$7:$A$190,"SUV",'E1a Fleet (roll)'!$C$7:$C$190,0)/SUM('E1a Fleet (roll)'!W$7:W$190)</f>
        <v/>
      </c>
      <c r="L44" s="346">
        <f>SUMIFS('E1a Fleet (roll)'!X$7:X$190,'E1a Fleet (roll)'!$A$7:$A$190,"SUV",'E1a Fleet (roll)'!$C$7:$C$190,0)/SUM('E1a Fleet (roll)'!X$7:X$190)</f>
        <v/>
      </c>
      <c r="M44" s="346">
        <f>SUMIFS('E1a Fleet (roll)'!Y$7:Y$190,'E1a Fleet (roll)'!$A$7:$A$190,"SUV",'E1a Fleet (roll)'!$C$7:$C$190,0)/SUM('E1a Fleet (roll)'!Y$7:Y$190)</f>
        <v/>
      </c>
    </row>
    <row r="45">
      <c r="B45" s="381" t="inlineStr">
        <is>
          <t>Model: Utility vehicle (SUV) — 1–3 years</t>
        </is>
      </c>
      <c r="C45" s="364" t="inlineStr">
        <is>
          <t>%</t>
        </is>
      </c>
      <c r="D45" s="346">
        <f>SUMIFS('E1a Fleet (roll)'!P$7:P$190,'E1a Fleet (roll)'!$A$7:$A$190,"SUV",'E1a Fleet (roll)'!$C$7:$C$190,1)/SUM('E1a Fleet (roll)'!P$7:P$190)</f>
        <v/>
      </c>
      <c r="E45" s="346">
        <f>SUMIFS('E1a Fleet (roll)'!Q$7:Q$190,'E1a Fleet (roll)'!$A$7:$A$190,"SUV",'E1a Fleet (roll)'!$C$7:$C$190,1)/SUM('E1a Fleet (roll)'!Q$7:Q$190)</f>
        <v/>
      </c>
      <c r="F45" s="346">
        <f>SUMIFS('E1a Fleet (roll)'!R$7:R$190,'E1a Fleet (roll)'!$A$7:$A$190,"SUV",'E1a Fleet (roll)'!$C$7:$C$190,1)/SUM('E1a Fleet (roll)'!R$7:R$190)</f>
        <v/>
      </c>
      <c r="G45" s="346">
        <f>SUMIFS('E1a Fleet (roll)'!S$7:S$190,'E1a Fleet (roll)'!$A$7:$A$190,"SUV",'E1a Fleet (roll)'!$C$7:$C$190,1)/SUM('E1a Fleet (roll)'!S$7:S$190)</f>
        <v/>
      </c>
      <c r="H45" s="346">
        <f>SUMIFS('E1a Fleet (roll)'!T$7:T$190,'E1a Fleet (roll)'!$A$7:$A$190,"SUV",'E1a Fleet (roll)'!$C$7:$C$190,1)/SUM('E1a Fleet (roll)'!T$7:T$190)</f>
        <v/>
      </c>
      <c r="I45" s="346">
        <f>SUMIFS('E1a Fleet (roll)'!U$7:U$190,'E1a Fleet (roll)'!$A$7:$A$190,"SUV",'E1a Fleet (roll)'!$C$7:$C$190,1)/SUM('E1a Fleet (roll)'!U$7:U$190)</f>
        <v/>
      </c>
      <c r="J45" s="346">
        <f>SUMIFS('E1a Fleet (roll)'!V$7:V$190,'E1a Fleet (roll)'!$A$7:$A$190,"SUV",'E1a Fleet (roll)'!$C$7:$C$190,1)/SUM('E1a Fleet (roll)'!V$7:V$190)</f>
        <v/>
      </c>
      <c r="K45" s="346">
        <f>SUMIFS('E1a Fleet (roll)'!W$7:W$190,'E1a Fleet (roll)'!$A$7:$A$190,"SUV",'E1a Fleet (roll)'!$C$7:$C$190,1)/SUM('E1a Fleet (roll)'!W$7:W$190)</f>
        <v/>
      </c>
      <c r="L45" s="346">
        <f>SUMIFS('E1a Fleet (roll)'!X$7:X$190,'E1a Fleet (roll)'!$A$7:$A$190,"SUV",'E1a Fleet (roll)'!$C$7:$C$190,1)/SUM('E1a Fleet (roll)'!X$7:X$190)</f>
        <v/>
      </c>
      <c r="M45" s="346">
        <f>SUMIFS('E1a Fleet (roll)'!Y$7:Y$190,'E1a Fleet (roll)'!$A$7:$A$190,"SUV",'E1a Fleet (roll)'!$C$7:$C$190,1)/SUM('E1a Fleet (roll)'!Y$7:Y$190)</f>
        <v/>
      </c>
    </row>
    <row r="46">
      <c r="B46" s="381" t="inlineStr">
        <is>
          <t>Model: Utility vehicle (SUV) — 4–6 years</t>
        </is>
      </c>
      <c r="C46" s="364" t="inlineStr">
        <is>
          <t>%</t>
        </is>
      </c>
      <c r="D46" s="346">
        <f>SUMIFS('E1a Fleet (roll)'!P$7:P$190,'E1a Fleet (roll)'!$A$7:$A$190,"SUV",'E1a Fleet (roll)'!$C$7:$C$190,2)/SUM('E1a Fleet (roll)'!P$7:P$190)</f>
        <v/>
      </c>
      <c r="E46" s="346">
        <f>SUMIFS('E1a Fleet (roll)'!Q$7:Q$190,'E1a Fleet (roll)'!$A$7:$A$190,"SUV",'E1a Fleet (roll)'!$C$7:$C$190,2)/SUM('E1a Fleet (roll)'!Q$7:Q$190)</f>
        <v/>
      </c>
      <c r="F46" s="346">
        <f>SUMIFS('E1a Fleet (roll)'!R$7:R$190,'E1a Fleet (roll)'!$A$7:$A$190,"SUV",'E1a Fleet (roll)'!$C$7:$C$190,2)/SUM('E1a Fleet (roll)'!R$7:R$190)</f>
        <v/>
      </c>
      <c r="G46" s="346">
        <f>SUMIFS('E1a Fleet (roll)'!S$7:S$190,'E1a Fleet (roll)'!$A$7:$A$190,"SUV",'E1a Fleet (roll)'!$C$7:$C$190,2)/SUM('E1a Fleet (roll)'!S$7:S$190)</f>
        <v/>
      </c>
      <c r="H46" s="346">
        <f>SUMIFS('E1a Fleet (roll)'!T$7:T$190,'E1a Fleet (roll)'!$A$7:$A$190,"SUV",'E1a Fleet (roll)'!$C$7:$C$190,2)/SUM('E1a Fleet (roll)'!T$7:T$190)</f>
        <v/>
      </c>
      <c r="I46" s="346">
        <f>SUMIFS('E1a Fleet (roll)'!U$7:U$190,'E1a Fleet (roll)'!$A$7:$A$190,"SUV",'E1a Fleet (roll)'!$C$7:$C$190,2)/SUM('E1a Fleet (roll)'!U$7:U$190)</f>
        <v/>
      </c>
      <c r="J46" s="346">
        <f>SUMIFS('E1a Fleet (roll)'!V$7:V$190,'E1a Fleet (roll)'!$A$7:$A$190,"SUV",'E1a Fleet (roll)'!$C$7:$C$190,2)/SUM('E1a Fleet (roll)'!V$7:V$190)</f>
        <v/>
      </c>
      <c r="K46" s="346">
        <f>SUMIFS('E1a Fleet (roll)'!W$7:W$190,'E1a Fleet (roll)'!$A$7:$A$190,"SUV",'E1a Fleet (roll)'!$C$7:$C$190,2)/SUM('E1a Fleet (roll)'!W$7:W$190)</f>
        <v/>
      </c>
      <c r="L46" s="346">
        <f>SUMIFS('E1a Fleet (roll)'!X$7:X$190,'E1a Fleet (roll)'!$A$7:$A$190,"SUV",'E1a Fleet (roll)'!$C$7:$C$190,2)/SUM('E1a Fleet (roll)'!X$7:X$190)</f>
        <v/>
      </c>
      <c r="M46" s="346">
        <f>SUMIFS('E1a Fleet (roll)'!Y$7:Y$190,'E1a Fleet (roll)'!$A$7:$A$190,"SUV",'E1a Fleet (roll)'!$C$7:$C$190,2)/SUM('E1a Fleet (roll)'!Y$7:Y$190)</f>
        <v/>
      </c>
    </row>
    <row r="47">
      <c r="B47" s="381" t="inlineStr">
        <is>
          <t>Model: Utility vehicle (SUV) — 7+ years</t>
        </is>
      </c>
      <c r="C47" s="364" t="inlineStr">
        <is>
          <t>%</t>
        </is>
      </c>
      <c r="D47" s="346">
        <f>SUMIFS('E1a Fleet (roll)'!P$7:P$190,'E1a Fleet (roll)'!$A$7:$A$190,"SUV",'E1a Fleet (roll)'!$C$7:$C$190,3)/SUM('E1a Fleet (roll)'!P$7:P$190)</f>
        <v/>
      </c>
      <c r="E47" s="346">
        <f>SUMIFS('E1a Fleet (roll)'!Q$7:Q$190,'E1a Fleet (roll)'!$A$7:$A$190,"SUV",'E1a Fleet (roll)'!$C$7:$C$190,3)/SUM('E1a Fleet (roll)'!Q$7:Q$190)</f>
        <v/>
      </c>
      <c r="F47" s="346">
        <f>SUMIFS('E1a Fleet (roll)'!R$7:R$190,'E1a Fleet (roll)'!$A$7:$A$190,"SUV",'E1a Fleet (roll)'!$C$7:$C$190,3)/SUM('E1a Fleet (roll)'!R$7:R$190)</f>
        <v/>
      </c>
      <c r="G47" s="346">
        <f>SUMIFS('E1a Fleet (roll)'!S$7:S$190,'E1a Fleet (roll)'!$A$7:$A$190,"SUV",'E1a Fleet (roll)'!$C$7:$C$190,3)/SUM('E1a Fleet (roll)'!S$7:S$190)</f>
        <v/>
      </c>
      <c r="H47" s="346">
        <f>SUMIFS('E1a Fleet (roll)'!T$7:T$190,'E1a Fleet (roll)'!$A$7:$A$190,"SUV",'E1a Fleet (roll)'!$C$7:$C$190,3)/SUM('E1a Fleet (roll)'!T$7:T$190)</f>
        <v/>
      </c>
      <c r="I47" s="346">
        <f>SUMIFS('E1a Fleet (roll)'!U$7:U$190,'E1a Fleet (roll)'!$A$7:$A$190,"SUV",'E1a Fleet (roll)'!$C$7:$C$190,3)/SUM('E1a Fleet (roll)'!U$7:U$190)</f>
        <v/>
      </c>
      <c r="J47" s="346">
        <f>SUMIFS('E1a Fleet (roll)'!V$7:V$190,'E1a Fleet (roll)'!$A$7:$A$190,"SUV",'E1a Fleet (roll)'!$C$7:$C$190,3)/SUM('E1a Fleet (roll)'!V$7:V$190)</f>
        <v/>
      </c>
      <c r="K47" s="346">
        <f>SUMIFS('E1a Fleet (roll)'!W$7:W$190,'E1a Fleet (roll)'!$A$7:$A$190,"SUV",'E1a Fleet (roll)'!$C$7:$C$190,3)/SUM('E1a Fleet (roll)'!W$7:W$190)</f>
        <v/>
      </c>
      <c r="L47" s="346">
        <f>SUMIFS('E1a Fleet (roll)'!X$7:X$190,'E1a Fleet (roll)'!$A$7:$A$190,"SUV",'E1a Fleet (roll)'!$C$7:$C$190,3)/SUM('E1a Fleet (roll)'!X$7:X$190)</f>
        <v/>
      </c>
      <c r="M47" s="346">
        <f>SUMIFS('E1a Fleet (roll)'!Y$7:Y$190,'E1a Fleet (roll)'!$A$7:$A$190,"SUV",'E1a Fleet (roll)'!$C$7:$C$190,3)/SUM('E1a Fleet (roll)'!Y$7:Y$190)</f>
        <v/>
      </c>
    </row>
    <row r="48">
      <c r="B48" s="339" t="inlineStr">
        <is>
          <t>Model: Pickup — 0 (current or newer)</t>
        </is>
      </c>
      <c r="C48" s="364" t="inlineStr">
        <is>
          <t>%</t>
        </is>
      </c>
      <c r="D48" s="346">
        <f>SUMIFS('E1a Fleet (roll)'!P$7:P$190,'E1a Fleet (roll)'!$A$7:$A$190,"Pickup",'E1a Fleet (roll)'!$C$7:$C$190,0)/SUM('E1a Fleet (roll)'!P$7:P$190)</f>
        <v/>
      </c>
      <c r="E48" s="346">
        <f>SUMIFS('E1a Fleet (roll)'!Q$7:Q$190,'E1a Fleet (roll)'!$A$7:$A$190,"Pickup",'E1a Fleet (roll)'!$C$7:$C$190,0)/SUM('E1a Fleet (roll)'!Q$7:Q$190)</f>
        <v/>
      </c>
      <c r="F48" s="346">
        <f>SUMIFS('E1a Fleet (roll)'!R$7:R$190,'E1a Fleet (roll)'!$A$7:$A$190,"Pickup",'E1a Fleet (roll)'!$C$7:$C$190,0)/SUM('E1a Fleet (roll)'!R$7:R$190)</f>
        <v/>
      </c>
      <c r="G48" s="346">
        <f>SUMIFS('E1a Fleet (roll)'!S$7:S$190,'E1a Fleet (roll)'!$A$7:$A$190,"Pickup",'E1a Fleet (roll)'!$C$7:$C$190,0)/SUM('E1a Fleet (roll)'!S$7:S$190)</f>
        <v/>
      </c>
      <c r="H48" s="346">
        <f>SUMIFS('E1a Fleet (roll)'!T$7:T$190,'E1a Fleet (roll)'!$A$7:$A$190,"Pickup",'E1a Fleet (roll)'!$C$7:$C$190,0)/SUM('E1a Fleet (roll)'!T$7:T$190)</f>
        <v/>
      </c>
      <c r="I48" s="346">
        <f>SUMIFS('E1a Fleet (roll)'!U$7:U$190,'E1a Fleet (roll)'!$A$7:$A$190,"Pickup",'E1a Fleet (roll)'!$C$7:$C$190,0)/SUM('E1a Fleet (roll)'!U$7:U$190)</f>
        <v/>
      </c>
      <c r="J48" s="346">
        <f>SUMIFS('E1a Fleet (roll)'!V$7:V$190,'E1a Fleet (roll)'!$A$7:$A$190,"Pickup",'E1a Fleet (roll)'!$C$7:$C$190,0)/SUM('E1a Fleet (roll)'!V$7:V$190)</f>
        <v/>
      </c>
      <c r="K48" s="346">
        <f>SUMIFS('E1a Fleet (roll)'!W$7:W$190,'E1a Fleet (roll)'!$A$7:$A$190,"Pickup",'E1a Fleet (roll)'!$C$7:$C$190,0)/SUM('E1a Fleet (roll)'!W$7:W$190)</f>
        <v/>
      </c>
      <c r="L48" s="346">
        <f>SUMIFS('E1a Fleet (roll)'!X$7:X$190,'E1a Fleet (roll)'!$A$7:$A$190,"Pickup",'E1a Fleet (roll)'!$C$7:$C$190,0)/SUM('E1a Fleet (roll)'!X$7:X$190)</f>
        <v/>
      </c>
      <c r="M48" s="346">
        <f>SUMIFS('E1a Fleet (roll)'!Y$7:Y$190,'E1a Fleet (roll)'!$A$7:$A$190,"Pickup",'E1a Fleet (roll)'!$C$7:$C$190,0)/SUM('E1a Fleet (roll)'!Y$7:Y$190)</f>
        <v/>
      </c>
    </row>
    <row r="49">
      <c r="B49" s="381" t="inlineStr">
        <is>
          <t>Model: Pickup — 1–3 years</t>
        </is>
      </c>
      <c r="C49" s="364" t="inlineStr">
        <is>
          <t>%</t>
        </is>
      </c>
      <c r="D49" s="346">
        <f>SUMIFS('E1a Fleet (roll)'!P$7:P$190,'E1a Fleet (roll)'!$A$7:$A$190,"Pickup",'E1a Fleet (roll)'!$C$7:$C$190,1)/SUM('E1a Fleet (roll)'!P$7:P$190)</f>
        <v/>
      </c>
      <c r="E49" s="346">
        <f>SUMIFS('E1a Fleet (roll)'!Q$7:Q$190,'E1a Fleet (roll)'!$A$7:$A$190,"Pickup",'E1a Fleet (roll)'!$C$7:$C$190,1)/SUM('E1a Fleet (roll)'!Q$7:Q$190)</f>
        <v/>
      </c>
      <c r="F49" s="346">
        <f>SUMIFS('E1a Fleet (roll)'!R$7:R$190,'E1a Fleet (roll)'!$A$7:$A$190,"Pickup",'E1a Fleet (roll)'!$C$7:$C$190,1)/SUM('E1a Fleet (roll)'!R$7:R$190)</f>
        <v/>
      </c>
      <c r="G49" s="346">
        <f>SUMIFS('E1a Fleet (roll)'!S$7:S$190,'E1a Fleet (roll)'!$A$7:$A$190,"Pickup",'E1a Fleet (roll)'!$C$7:$C$190,1)/SUM('E1a Fleet (roll)'!S$7:S$190)</f>
        <v/>
      </c>
      <c r="H49" s="346">
        <f>SUMIFS('E1a Fleet (roll)'!T$7:T$190,'E1a Fleet (roll)'!$A$7:$A$190,"Pickup",'E1a Fleet (roll)'!$C$7:$C$190,1)/SUM('E1a Fleet (roll)'!T$7:T$190)</f>
        <v/>
      </c>
      <c r="I49" s="346">
        <f>SUMIFS('E1a Fleet (roll)'!U$7:U$190,'E1a Fleet (roll)'!$A$7:$A$190,"Pickup",'E1a Fleet (roll)'!$C$7:$C$190,1)/SUM('E1a Fleet (roll)'!U$7:U$190)</f>
        <v/>
      </c>
      <c r="J49" s="346">
        <f>SUMIFS('E1a Fleet (roll)'!V$7:V$190,'E1a Fleet (roll)'!$A$7:$A$190,"Pickup",'E1a Fleet (roll)'!$C$7:$C$190,1)/SUM('E1a Fleet (roll)'!V$7:V$190)</f>
        <v/>
      </c>
      <c r="K49" s="346">
        <f>SUMIFS('E1a Fleet (roll)'!W$7:W$190,'E1a Fleet (roll)'!$A$7:$A$190,"Pickup",'E1a Fleet (roll)'!$C$7:$C$190,1)/SUM('E1a Fleet (roll)'!W$7:W$190)</f>
        <v/>
      </c>
      <c r="L49" s="346">
        <f>SUMIFS('E1a Fleet (roll)'!X$7:X$190,'E1a Fleet (roll)'!$A$7:$A$190,"Pickup",'E1a Fleet (roll)'!$C$7:$C$190,1)/SUM('E1a Fleet (roll)'!X$7:X$190)</f>
        <v/>
      </c>
      <c r="M49" s="346">
        <f>SUMIFS('E1a Fleet (roll)'!Y$7:Y$190,'E1a Fleet (roll)'!$A$7:$A$190,"Pickup",'E1a Fleet (roll)'!$C$7:$C$190,1)/SUM('E1a Fleet (roll)'!Y$7:Y$190)</f>
        <v/>
      </c>
    </row>
    <row r="50">
      <c r="B50" s="381" t="inlineStr">
        <is>
          <t>Model: Pickup — 4–6 years</t>
        </is>
      </c>
      <c r="C50" s="364" t="inlineStr">
        <is>
          <t>%</t>
        </is>
      </c>
      <c r="D50" s="346">
        <f>SUMIFS('E1a Fleet (roll)'!P$7:P$190,'E1a Fleet (roll)'!$A$7:$A$190,"Pickup",'E1a Fleet (roll)'!$C$7:$C$190,2)/SUM('E1a Fleet (roll)'!P$7:P$190)</f>
        <v/>
      </c>
      <c r="E50" s="346">
        <f>SUMIFS('E1a Fleet (roll)'!Q$7:Q$190,'E1a Fleet (roll)'!$A$7:$A$190,"Pickup",'E1a Fleet (roll)'!$C$7:$C$190,2)/SUM('E1a Fleet (roll)'!Q$7:Q$190)</f>
        <v/>
      </c>
      <c r="F50" s="346">
        <f>SUMIFS('E1a Fleet (roll)'!R$7:R$190,'E1a Fleet (roll)'!$A$7:$A$190,"Pickup",'E1a Fleet (roll)'!$C$7:$C$190,2)/SUM('E1a Fleet (roll)'!R$7:R$190)</f>
        <v/>
      </c>
      <c r="G50" s="346">
        <f>SUMIFS('E1a Fleet (roll)'!S$7:S$190,'E1a Fleet (roll)'!$A$7:$A$190,"Pickup",'E1a Fleet (roll)'!$C$7:$C$190,2)/SUM('E1a Fleet (roll)'!S$7:S$190)</f>
        <v/>
      </c>
      <c r="H50" s="346">
        <f>SUMIFS('E1a Fleet (roll)'!T$7:T$190,'E1a Fleet (roll)'!$A$7:$A$190,"Pickup",'E1a Fleet (roll)'!$C$7:$C$190,2)/SUM('E1a Fleet (roll)'!T$7:T$190)</f>
        <v/>
      </c>
      <c r="I50" s="346">
        <f>SUMIFS('E1a Fleet (roll)'!U$7:U$190,'E1a Fleet (roll)'!$A$7:$A$190,"Pickup",'E1a Fleet (roll)'!$C$7:$C$190,2)/SUM('E1a Fleet (roll)'!U$7:U$190)</f>
        <v/>
      </c>
      <c r="J50" s="346">
        <f>SUMIFS('E1a Fleet (roll)'!V$7:V$190,'E1a Fleet (roll)'!$A$7:$A$190,"Pickup",'E1a Fleet (roll)'!$C$7:$C$190,2)/SUM('E1a Fleet (roll)'!V$7:V$190)</f>
        <v/>
      </c>
      <c r="K50" s="346">
        <f>SUMIFS('E1a Fleet (roll)'!W$7:W$190,'E1a Fleet (roll)'!$A$7:$A$190,"Pickup",'E1a Fleet (roll)'!$C$7:$C$190,2)/SUM('E1a Fleet (roll)'!W$7:W$190)</f>
        <v/>
      </c>
      <c r="L50" s="346">
        <f>SUMIFS('E1a Fleet (roll)'!X$7:X$190,'E1a Fleet (roll)'!$A$7:$A$190,"Pickup",'E1a Fleet (roll)'!$C$7:$C$190,2)/SUM('E1a Fleet (roll)'!X$7:X$190)</f>
        <v/>
      </c>
      <c r="M50" s="346">
        <f>SUMIFS('E1a Fleet (roll)'!Y$7:Y$190,'E1a Fleet (roll)'!$A$7:$A$190,"Pickup",'E1a Fleet (roll)'!$C$7:$C$190,2)/SUM('E1a Fleet (roll)'!Y$7:Y$190)</f>
        <v/>
      </c>
    </row>
    <row r="51">
      <c r="B51" s="381" t="inlineStr">
        <is>
          <t>Model: Pickup — 7+ years</t>
        </is>
      </c>
      <c r="C51" s="364" t="inlineStr">
        <is>
          <t>%</t>
        </is>
      </c>
      <c r="D51" s="346">
        <f>SUMIFS('E1a Fleet (roll)'!P$7:P$190,'E1a Fleet (roll)'!$A$7:$A$190,"Pickup",'E1a Fleet (roll)'!$C$7:$C$190,3)/SUM('E1a Fleet (roll)'!P$7:P$190)</f>
        <v/>
      </c>
      <c r="E51" s="346">
        <f>SUMIFS('E1a Fleet (roll)'!Q$7:Q$190,'E1a Fleet (roll)'!$A$7:$A$190,"Pickup",'E1a Fleet (roll)'!$C$7:$C$190,3)/SUM('E1a Fleet (roll)'!Q$7:Q$190)</f>
        <v/>
      </c>
      <c r="F51" s="346">
        <f>SUMIFS('E1a Fleet (roll)'!R$7:R$190,'E1a Fleet (roll)'!$A$7:$A$190,"Pickup",'E1a Fleet (roll)'!$C$7:$C$190,3)/SUM('E1a Fleet (roll)'!R$7:R$190)</f>
        <v/>
      </c>
      <c r="G51" s="346">
        <f>SUMIFS('E1a Fleet (roll)'!S$7:S$190,'E1a Fleet (roll)'!$A$7:$A$190,"Pickup",'E1a Fleet (roll)'!$C$7:$C$190,3)/SUM('E1a Fleet (roll)'!S$7:S$190)</f>
        <v/>
      </c>
      <c r="H51" s="346">
        <f>SUMIFS('E1a Fleet (roll)'!T$7:T$190,'E1a Fleet (roll)'!$A$7:$A$190,"Pickup",'E1a Fleet (roll)'!$C$7:$C$190,3)/SUM('E1a Fleet (roll)'!T$7:T$190)</f>
        <v/>
      </c>
      <c r="I51" s="346">
        <f>SUMIFS('E1a Fleet (roll)'!U$7:U$190,'E1a Fleet (roll)'!$A$7:$A$190,"Pickup",'E1a Fleet (roll)'!$C$7:$C$190,3)/SUM('E1a Fleet (roll)'!U$7:U$190)</f>
        <v/>
      </c>
      <c r="J51" s="346">
        <f>SUMIFS('E1a Fleet (roll)'!V$7:V$190,'E1a Fleet (roll)'!$A$7:$A$190,"Pickup",'E1a Fleet (roll)'!$C$7:$C$190,3)/SUM('E1a Fleet (roll)'!V$7:V$190)</f>
        <v/>
      </c>
      <c r="K51" s="346">
        <f>SUMIFS('E1a Fleet (roll)'!W$7:W$190,'E1a Fleet (roll)'!$A$7:$A$190,"Pickup",'E1a Fleet (roll)'!$C$7:$C$190,3)/SUM('E1a Fleet (roll)'!W$7:W$190)</f>
        <v/>
      </c>
      <c r="L51" s="346">
        <f>SUMIFS('E1a Fleet (roll)'!X$7:X$190,'E1a Fleet (roll)'!$A$7:$A$190,"Pickup",'E1a Fleet (roll)'!$C$7:$C$190,3)/SUM('E1a Fleet (roll)'!X$7:X$190)</f>
        <v/>
      </c>
      <c r="M51" s="346">
        <f>SUMIFS('E1a Fleet (roll)'!Y$7:Y$190,'E1a Fleet (roll)'!$A$7:$A$190,"Pickup",'E1a Fleet (roll)'!$C$7:$C$190,3)/SUM('E1a Fleet (roll)'!Y$7:Y$190)</f>
        <v/>
      </c>
    </row>
    <row r="52">
      <c r="B52" s="339" t="inlineStr">
        <is>
          <t>Model: Van / minivan — 0 (current or newer)</t>
        </is>
      </c>
      <c r="C52" s="364" t="inlineStr">
        <is>
          <t>%</t>
        </is>
      </c>
      <c r="D52" s="346">
        <f>SUMIFS('E1a Fleet (roll)'!P$7:P$190,'E1a Fleet (roll)'!$A$7:$A$190,"Van",'E1a Fleet (roll)'!$C$7:$C$190,0)/SUM('E1a Fleet (roll)'!P$7:P$190)</f>
        <v/>
      </c>
      <c r="E52" s="346">
        <f>SUMIFS('E1a Fleet (roll)'!Q$7:Q$190,'E1a Fleet (roll)'!$A$7:$A$190,"Van",'E1a Fleet (roll)'!$C$7:$C$190,0)/SUM('E1a Fleet (roll)'!Q$7:Q$190)</f>
        <v/>
      </c>
      <c r="F52" s="346">
        <f>SUMIFS('E1a Fleet (roll)'!R$7:R$190,'E1a Fleet (roll)'!$A$7:$A$190,"Van",'E1a Fleet (roll)'!$C$7:$C$190,0)/SUM('E1a Fleet (roll)'!R$7:R$190)</f>
        <v/>
      </c>
      <c r="G52" s="346">
        <f>SUMIFS('E1a Fleet (roll)'!S$7:S$190,'E1a Fleet (roll)'!$A$7:$A$190,"Van",'E1a Fleet (roll)'!$C$7:$C$190,0)/SUM('E1a Fleet (roll)'!S$7:S$190)</f>
        <v/>
      </c>
      <c r="H52" s="346">
        <f>SUMIFS('E1a Fleet (roll)'!T$7:T$190,'E1a Fleet (roll)'!$A$7:$A$190,"Van",'E1a Fleet (roll)'!$C$7:$C$190,0)/SUM('E1a Fleet (roll)'!T$7:T$190)</f>
        <v/>
      </c>
      <c r="I52" s="346">
        <f>SUMIFS('E1a Fleet (roll)'!U$7:U$190,'E1a Fleet (roll)'!$A$7:$A$190,"Van",'E1a Fleet (roll)'!$C$7:$C$190,0)/SUM('E1a Fleet (roll)'!U$7:U$190)</f>
        <v/>
      </c>
      <c r="J52" s="346">
        <f>SUMIFS('E1a Fleet (roll)'!V$7:V$190,'E1a Fleet (roll)'!$A$7:$A$190,"Van",'E1a Fleet (roll)'!$C$7:$C$190,0)/SUM('E1a Fleet (roll)'!V$7:V$190)</f>
        <v/>
      </c>
      <c r="K52" s="346">
        <f>SUMIFS('E1a Fleet (roll)'!W$7:W$190,'E1a Fleet (roll)'!$A$7:$A$190,"Van",'E1a Fleet (roll)'!$C$7:$C$190,0)/SUM('E1a Fleet (roll)'!W$7:W$190)</f>
        <v/>
      </c>
      <c r="L52" s="346">
        <f>SUMIFS('E1a Fleet (roll)'!X$7:X$190,'E1a Fleet (roll)'!$A$7:$A$190,"Van",'E1a Fleet (roll)'!$C$7:$C$190,0)/SUM('E1a Fleet (roll)'!X$7:X$190)</f>
        <v/>
      </c>
      <c r="M52" s="346">
        <f>SUMIFS('E1a Fleet (roll)'!Y$7:Y$190,'E1a Fleet (roll)'!$A$7:$A$190,"Van",'E1a Fleet (roll)'!$C$7:$C$190,0)/SUM('E1a Fleet (roll)'!Y$7:Y$190)</f>
        <v/>
      </c>
    </row>
    <row r="53">
      <c r="B53" s="381" t="inlineStr">
        <is>
          <t>Model: Van / minivan — 1–3 years</t>
        </is>
      </c>
      <c r="C53" s="364" t="inlineStr">
        <is>
          <t>%</t>
        </is>
      </c>
      <c r="D53" s="346">
        <f>SUMIFS('E1a Fleet (roll)'!P$7:P$190,'E1a Fleet (roll)'!$A$7:$A$190,"Van",'E1a Fleet (roll)'!$C$7:$C$190,1)/SUM('E1a Fleet (roll)'!P$7:P$190)</f>
        <v/>
      </c>
      <c r="E53" s="346">
        <f>SUMIFS('E1a Fleet (roll)'!Q$7:Q$190,'E1a Fleet (roll)'!$A$7:$A$190,"Van",'E1a Fleet (roll)'!$C$7:$C$190,1)/SUM('E1a Fleet (roll)'!Q$7:Q$190)</f>
        <v/>
      </c>
      <c r="F53" s="346">
        <f>SUMIFS('E1a Fleet (roll)'!R$7:R$190,'E1a Fleet (roll)'!$A$7:$A$190,"Van",'E1a Fleet (roll)'!$C$7:$C$190,1)/SUM('E1a Fleet (roll)'!R$7:R$190)</f>
        <v/>
      </c>
      <c r="G53" s="346">
        <f>SUMIFS('E1a Fleet (roll)'!S$7:S$190,'E1a Fleet (roll)'!$A$7:$A$190,"Van",'E1a Fleet (roll)'!$C$7:$C$190,1)/SUM('E1a Fleet (roll)'!S$7:S$190)</f>
        <v/>
      </c>
      <c r="H53" s="346">
        <f>SUMIFS('E1a Fleet (roll)'!T$7:T$190,'E1a Fleet (roll)'!$A$7:$A$190,"Van",'E1a Fleet (roll)'!$C$7:$C$190,1)/SUM('E1a Fleet (roll)'!T$7:T$190)</f>
        <v/>
      </c>
      <c r="I53" s="346">
        <f>SUMIFS('E1a Fleet (roll)'!U$7:U$190,'E1a Fleet (roll)'!$A$7:$A$190,"Van",'E1a Fleet (roll)'!$C$7:$C$190,1)/SUM('E1a Fleet (roll)'!U$7:U$190)</f>
        <v/>
      </c>
      <c r="J53" s="346">
        <f>SUMIFS('E1a Fleet (roll)'!V$7:V$190,'E1a Fleet (roll)'!$A$7:$A$190,"Van",'E1a Fleet (roll)'!$C$7:$C$190,1)/SUM('E1a Fleet (roll)'!V$7:V$190)</f>
        <v/>
      </c>
      <c r="K53" s="346">
        <f>SUMIFS('E1a Fleet (roll)'!W$7:W$190,'E1a Fleet (roll)'!$A$7:$A$190,"Van",'E1a Fleet (roll)'!$C$7:$C$190,1)/SUM('E1a Fleet (roll)'!W$7:W$190)</f>
        <v/>
      </c>
      <c r="L53" s="346">
        <f>SUMIFS('E1a Fleet (roll)'!X$7:X$190,'E1a Fleet (roll)'!$A$7:$A$190,"Van",'E1a Fleet (roll)'!$C$7:$C$190,1)/SUM('E1a Fleet (roll)'!X$7:X$190)</f>
        <v/>
      </c>
      <c r="M53" s="346">
        <f>SUMIFS('E1a Fleet (roll)'!Y$7:Y$190,'E1a Fleet (roll)'!$A$7:$A$190,"Van",'E1a Fleet (roll)'!$C$7:$C$190,1)/SUM('E1a Fleet (roll)'!Y$7:Y$190)</f>
        <v/>
      </c>
    </row>
    <row r="54">
      <c r="B54" s="381" t="inlineStr">
        <is>
          <t>Model: Van / minivan — 4–6 years</t>
        </is>
      </c>
      <c r="C54" s="364" t="inlineStr">
        <is>
          <t>%</t>
        </is>
      </c>
      <c r="D54" s="346">
        <f>SUMIFS('E1a Fleet (roll)'!P$7:P$190,'E1a Fleet (roll)'!$A$7:$A$190,"Van",'E1a Fleet (roll)'!$C$7:$C$190,2)/SUM('E1a Fleet (roll)'!P$7:P$190)</f>
        <v/>
      </c>
      <c r="E54" s="346">
        <f>SUMIFS('E1a Fleet (roll)'!Q$7:Q$190,'E1a Fleet (roll)'!$A$7:$A$190,"Van",'E1a Fleet (roll)'!$C$7:$C$190,2)/SUM('E1a Fleet (roll)'!Q$7:Q$190)</f>
        <v/>
      </c>
      <c r="F54" s="346">
        <f>SUMIFS('E1a Fleet (roll)'!R$7:R$190,'E1a Fleet (roll)'!$A$7:$A$190,"Van",'E1a Fleet (roll)'!$C$7:$C$190,2)/SUM('E1a Fleet (roll)'!R$7:R$190)</f>
        <v/>
      </c>
      <c r="G54" s="346">
        <f>SUMIFS('E1a Fleet (roll)'!S$7:S$190,'E1a Fleet (roll)'!$A$7:$A$190,"Van",'E1a Fleet (roll)'!$C$7:$C$190,2)/SUM('E1a Fleet (roll)'!S$7:S$190)</f>
        <v/>
      </c>
      <c r="H54" s="346">
        <f>SUMIFS('E1a Fleet (roll)'!T$7:T$190,'E1a Fleet (roll)'!$A$7:$A$190,"Van",'E1a Fleet (roll)'!$C$7:$C$190,2)/SUM('E1a Fleet (roll)'!T$7:T$190)</f>
        <v/>
      </c>
      <c r="I54" s="346">
        <f>SUMIFS('E1a Fleet (roll)'!U$7:U$190,'E1a Fleet (roll)'!$A$7:$A$190,"Van",'E1a Fleet (roll)'!$C$7:$C$190,2)/SUM('E1a Fleet (roll)'!U$7:U$190)</f>
        <v/>
      </c>
      <c r="J54" s="346">
        <f>SUMIFS('E1a Fleet (roll)'!V$7:V$190,'E1a Fleet (roll)'!$A$7:$A$190,"Van",'E1a Fleet (roll)'!$C$7:$C$190,2)/SUM('E1a Fleet (roll)'!V$7:V$190)</f>
        <v/>
      </c>
      <c r="K54" s="346">
        <f>SUMIFS('E1a Fleet (roll)'!W$7:W$190,'E1a Fleet (roll)'!$A$7:$A$190,"Van",'E1a Fleet (roll)'!$C$7:$C$190,2)/SUM('E1a Fleet (roll)'!W$7:W$190)</f>
        <v/>
      </c>
      <c r="L54" s="346">
        <f>SUMIFS('E1a Fleet (roll)'!X$7:X$190,'E1a Fleet (roll)'!$A$7:$A$190,"Van",'E1a Fleet (roll)'!$C$7:$C$190,2)/SUM('E1a Fleet (roll)'!X$7:X$190)</f>
        <v/>
      </c>
      <c r="M54" s="346">
        <f>SUMIFS('E1a Fleet (roll)'!Y$7:Y$190,'E1a Fleet (roll)'!$A$7:$A$190,"Van",'E1a Fleet (roll)'!$C$7:$C$190,2)/SUM('E1a Fleet (roll)'!Y$7:Y$190)</f>
        <v/>
      </c>
    </row>
    <row r="55">
      <c r="B55" s="381" t="inlineStr">
        <is>
          <t>Model: Van / minivan — 7+ years</t>
        </is>
      </c>
      <c r="C55" s="364" t="inlineStr">
        <is>
          <t>%</t>
        </is>
      </c>
      <c r="D55" s="346">
        <f>SUMIFS('E1a Fleet (roll)'!P$7:P$190,'E1a Fleet (roll)'!$A$7:$A$190,"Van",'E1a Fleet (roll)'!$C$7:$C$190,3)/SUM('E1a Fleet (roll)'!P$7:P$190)</f>
        <v/>
      </c>
      <c r="E55" s="346">
        <f>SUMIFS('E1a Fleet (roll)'!Q$7:Q$190,'E1a Fleet (roll)'!$A$7:$A$190,"Van",'E1a Fleet (roll)'!$C$7:$C$190,3)/SUM('E1a Fleet (roll)'!Q$7:Q$190)</f>
        <v/>
      </c>
      <c r="F55" s="346">
        <f>SUMIFS('E1a Fleet (roll)'!R$7:R$190,'E1a Fleet (roll)'!$A$7:$A$190,"Van",'E1a Fleet (roll)'!$C$7:$C$190,3)/SUM('E1a Fleet (roll)'!R$7:R$190)</f>
        <v/>
      </c>
      <c r="G55" s="346">
        <f>SUMIFS('E1a Fleet (roll)'!S$7:S$190,'E1a Fleet (roll)'!$A$7:$A$190,"Van",'E1a Fleet (roll)'!$C$7:$C$190,3)/SUM('E1a Fleet (roll)'!S$7:S$190)</f>
        <v/>
      </c>
      <c r="H55" s="346">
        <f>SUMIFS('E1a Fleet (roll)'!T$7:T$190,'E1a Fleet (roll)'!$A$7:$A$190,"Van",'E1a Fleet (roll)'!$C$7:$C$190,3)/SUM('E1a Fleet (roll)'!T$7:T$190)</f>
        <v/>
      </c>
      <c r="I55" s="346">
        <f>SUMIFS('E1a Fleet (roll)'!U$7:U$190,'E1a Fleet (roll)'!$A$7:$A$190,"Van",'E1a Fleet (roll)'!$C$7:$C$190,3)/SUM('E1a Fleet (roll)'!U$7:U$190)</f>
        <v/>
      </c>
      <c r="J55" s="346">
        <f>SUMIFS('E1a Fleet (roll)'!V$7:V$190,'E1a Fleet (roll)'!$A$7:$A$190,"Van",'E1a Fleet (roll)'!$C$7:$C$190,3)/SUM('E1a Fleet (roll)'!V$7:V$190)</f>
        <v/>
      </c>
      <c r="K55" s="346">
        <f>SUMIFS('E1a Fleet (roll)'!W$7:W$190,'E1a Fleet (roll)'!$A$7:$A$190,"Van",'E1a Fleet (roll)'!$C$7:$C$190,3)/SUM('E1a Fleet (roll)'!W$7:W$190)</f>
        <v/>
      </c>
      <c r="L55" s="346">
        <f>SUMIFS('E1a Fleet (roll)'!X$7:X$190,'E1a Fleet (roll)'!$A$7:$A$190,"Van",'E1a Fleet (roll)'!$C$7:$C$190,3)/SUM('E1a Fleet (roll)'!X$7:X$190)</f>
        <v/>
      </c>
      <c r="M55" s="346">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8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82">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s="456" t="n">
        <v>0</v>
      </c>
      <c r="C7" s="456" t="n">
        <v>0</v>
      </c>
      <c r="D7" s="348">
        <f>IF($B7=0,'E1 Fleet'!$D$93,1)*EXP(-'E1 Fleet'!$D$94*MAX($B7-6,0))</f>
        <v/>
      </c>
      <c r="E7" s="350">
        <f>IFERROR(INDEX('D Fleet'!$C$5:$C$63,MATCH(E$3-$B7,'D Fleet'!$B$5:$B$63,0)),0)*IFERROR(INDEX('D Fleet'!$J$5:$J$36,INT(($B7/E$4))+1)+(($B7/E$4)-INT(($B7/E$4)))*(INDEX('D Fleet'!$J$5:$J$36,INT(($B7/E$4))+2)-INDEX('D Fleet'!$J$5:$J$36,INT(($B7/E$4))+1)),0)</f>
        <v/>
      </c>
      <c r="F7" s="350">
        <f>IFERROR(INDEX('D Fleet'!$C$5:$C$63,MATCH(F$3-$B7,'D Fleet'!$B$5:$B$63,0)),0)*IFERROR(INDEX('D Fleet'!$J$5:$J$36,INT(($B7/F$4))+1)+(($B7/F$4)-INT(($B7/F$4)))*(INDEX('D Fleet'!$J$5:$J$36,INT(($B7/F$4))+2)-INDEX('D Fleet'!$J$5:$J$36,INT(($B7/F$4))+1)),0)</f>
        <v/>
      </c>
      <c r="G7" s="350">
        <f>IFERROR(INDEX('D Fleet'!$C$5:$C$63,MATCH(G$3-$B7,'D Fleet'!$B$5:$B$63,0)),0)*IFERROR(INDEX('D Fleet'!$J$5:$J$36,INT(($B7/G$4))+1)+(($B7/G$4)-INT(($B7/G$4)))*(INDEX('D Fleet'!$J$5:$J$36,INT(($B7/G$4))+2)-INDEX('D Fleet'!$J$5:$J$36,INT(($B7/G$4))+1)),0)</f>
        <v/>
      </c>
      <c r="H7" s="350">
        <f>IFERROR(INDEX('D Fleet'!$C$5:$C$63,MATCH(H$3-$B7,'D Fleet'!$B$5:$B$63,0)),0)*IFERROR(INDEX('D Fleet'!$J$5:$J$36,INT(($B7/H$4))+1)+(($B7/H$4)-INT(($B7/H$4)))*(INDEX('D Fleet'!$J$5:$J$36,INT(($B7/H$4))+2)-INDEX('D Fleet'!$J$5:$J$36,INT(($B7/H$4))+1)),0)</f>
        <v/>
      </c>
      <c r="I7" s="350">
        <f>IFERROR(INDEX('D Fleet'!$C$5:$C$63,MATCH(I$3-$B7,'D Fleet'!$B$5:$B$63,0)),0)*IFERROR(INDEX('D Fleet'!$J$5:$J$36,INT(($B7/I$4))+1)+(($B7/I$4)-INT(($B7/I$4)))*(INDEX('D Fleet'!$J$5:$J$36,INT(($B7/I$4))+2)-INDEX('D Fleet'!$J$5:$J$36,INT(($B7/I$4))+1)),0)</f>
        <v/>
      </c>
      <c r="J7" s="350">
        <f>IFERROR(INDEX('D Fleet'!$C$5:$C$63,MATCH(J$3-$B7,'D Fleet'!$B$5:$B$63,0)),0)*IFERROR(INDEX('D Fleet'!$J$5:$J$36,INT(($B7/J$4))+1)+(($B7/J$4)-INT(($B7/J$4)))*(INDEX('D Fleet'!$J$5:$J$36,INT(($B7/J$4))+2)-INDEX('D Fleet'!$J$5:$J$36,INT(($B7/J$4))+1)),0)</f>
        <v/>
      </c>
      <c r="K7" s="350">
        <f>IFERROR(INDEX('D Fleet'!$C$5:$C$63,MATCH(K$3-$B7,'D Fleet'!$B$5:$B$63,0)),0)*IFERROR(INDEX('D Fleet'!$J$5:$J$36,INT(($B7/K$4))+1)+(($B7/K$4)-INT(($B7/K$4)))*(INDEX('D Fleet'!$J$5:$J$36,INT(($B7/K$4))+2)-INDEX('D Fleet'!$J$5:$J$36,INT(($B7/K$4))+1)),0)</f>
        <v/>
      </c>
      <c r="L7" s="350">
        <f>IFERROR(INDEX('D Fleet'!$C$5:$C$63,MATCH(L$3-$B7,'D Fleet'!$B$5:$B$63,0)),0)*IFERROR(INDEX('D Fleet'!$J$5:$J$36,INT(($B7/L$4))+1)+(($B7/L$4)-INT(($B7/L$4)))*(INDEX('D Fleet'!$J$5:$J$36,INT(($B7/L$4))+2)-INDEX('D Fleet'!$J$5:$J$36,INT(($B7/L$4))+1)),0)</f>
        <v/>
      </c>
      <c r="M7" s="350">
        <f>IFERROR(INDEX('D Fleet'!$C$5:$C$63,MATCH(M$3-$B7,'D Fleet'!$B$5:$B$63,0)),0)*IFERROR(INDEX('D Fleet'!$J$5:$J$36,INT(($B7/M$4))+1)+(($B7/M$4)-INT(($B7/M$4)))*(INDEX('D Fleet'!$J$5:$J$36,INT(($B7/M$4))+2)-INDEX('D Fleet'!$J$5:$J$36,INT(($B7/M$4))+1)),0)</f>
        <v/>
      </c>
      <c r="N7" s="350">
        <f>IFERROR(INDEX('D Fleet'!$C$5:$C$63,MATCH(N$3-$B7,'D Fleet'!$B$5:$B$63,0)),0)*IFERROR(INDEX('D Fleet'!$J$5:$J$36,INT(($B7/N$4))+1)+(($B7/N$4)-INT(($B7/N$4)))*(INDEX('D Fleet'!$J$5:$J$36,INT(($B7/N$4))+2)-INDEX('D Fleet'!$J$5:$J$36,INT(($B7/N$4))+1)),0)</f>
        <v/>
      </c>
      <c r="P7" s="350">
        <f>E7*$D7*'E1 Fleet'!$D$97</f>
        <v/>
      </c>
      <c r="Q7" s="350">
        <f>F7*$D7*'E1 Fleet'!$D$97</f>
        <v/>
      </c>
      <c r="R7" s="350">
        <f>G7*$D7*'E1 Fleet'!$D$97</f>
        <v/>
      </c>
      <c r="S7" s="350">
        <f>H7*$D7*'E1 Fleet'!$D$97</f>
        <v/>
      </c>
      <c r="T7" s="350">
        <f>I7*$D7*'E1 Fleet'!$D$97</f>
        <v/>
      </c>
      <c r="U7" s="350">
        <f>J7*$D7*'E1 Fleet'!$D$97</f>
        <v/>
      </c>
      <c r="V7" s="350">
        <f>K7*$D7*'E1 Fleet'!$D$97</f>
        <v/>
      </c>
      <c r="W7" s="350">
        <f>L7*$D7*'E1 Fleet'!$D$97</f>
        <v/>
      </c>
      <c r="X7" s="350">
        <f>M7*$D7*'E1 Fleet'!$D$97</f>
        <v/>
      </c>
      <c r="Y7" s="350">
        <f>N7*$D7*'E1 Fleet'!$D$97</f>
        <v/>
      </c>
    </row>
    <row r="8">
      <c r="A8" t="inlineStr">
        <is>
          <t>Car</t>
        </is>
      </c>
      <c r="B8" s="456" t="n">
        <v>1</v>
      </c>
      <c r="C8" s="456" t="n">
        <v>1</v>
      </c>
      <c r="D8" s="348">
        <f>IF($B8=0,'E1 Fleet'!$D$93,1)*EXP(-'E1 Fleet'!$D$94*MAX($B8-6,0))</f>
        <v/>
      </c>
      <c r="E8" s="350">
        <f>IFERROR(INDEX('D Fleet'!$C$5:$C$63,MATCH(E$3-$B8,'D Fleet'!$B$5:$B$63,0)),0)*IFERROR(INDEX('D Fleet'!$J$5:$J$36,INT(($B8/E$4))+1)+(($B8/E$4)-INT(($B8/E$4)))*(INDEX('D Fleet'!$J$5:$J$36,INT(($B8/E$4))+2)-INDEX('D Fleet'!$J$5:$J$36,INT(($B8/E$4))+1)),0)</f>
        <v/>
      </c>
      <c r="F8" s="350">
        <f>IFERROR(INDEX('D Fleet'!$C$5:$C$63,MATCH(F$3-$B8,'D Fleet'!$B$5:$B$63,0)),0)*IFERROR(INDEX('D Fleet'!$J$5:$J$36,INT(($B8/F$4))+1)+(($B8/F$4)-INT(($B8/F$4)))*(INDEX('D Fleet'!$J$5:$J$36,INT(($B8/F$4))+2)-INDEX('D Fleet'!$J$5:$J$36,INT(($B8/F$4))+1)),0)</f>
        <v/>
      </c>
      <c r="G8" s="350">
        <f>IFERROR(INDEX('D Fleet'!$C$5:$C$63,MATCH(G$3-$B8,'D Fleet'!$B$5:$B$63,0)),0)*IFERROR(INDEX('D Fleet'!$J$5:$J$36,INT(($B8/G$4))+1)+(($B8/G$4)-INT(($B8/G$4)))*(INDEX('D Fleet'!$J$5:$J$36,INT(($B8/G$4))+2)-INDEX('D Fleet'!$J$5:$J$36,INT(($B8/G$4))+1)),0)</f>
        <v/>
      </c>
      <c r="H8" s="350">
        <f>IFERROR(INDEX('D Fleet'!$C$5:$C$63,MATCH(H$3-$B8,'D Fleet'!$B$5:$B$63,0)),0)*IFERROR(INDEX('D Fleet'!$J$5:$J$36,INT(($B8/H$4))+1)+(($B8/H$4)-INT(($B8/H$4)))*(INDEX('D Fleet'!$J$5:$J$36,INT(($B8/H$4))+2)-INDEX('D Fleet'!$J$5:$J$36,INT(($B8/H$4))+1)),0)</f>
        <v/>
      </c>
      <c r="I8" s="350">
        <f>IFERROR(INDEX('D Fleet'!$C$5:$C$63,MATCH(I$3-$B8,'D Fleet'!$B$5:$B$63,0)),0)*IFERROR(INDEX('D Fleet'!$J$5:$J$36,INT(($B8/I$4))+1)+(($B8/I$4)-INT(($B8/I$4)))*(INDEX('D Fleet'!$J$5:$J$36,INT(($B8/I$4))+2)-INDEX('D Fleet'!$J$5:$J$36,INT(($B8/I$4))+1)),0)</f>
        <v/>
      </c>
      <c r="J8" s="350">
        <f>IFERROR(INDEX('D Fleet'!$C$5:$C$63,MATCH(J$3-$B8,'D Fleet'!$B$5:$B$63,0)),0)*IFERROR(INDEX('D Fleet'!$J$5:$J$36,INT(($B8/J$4))+1)+(($B8/J$4)-INT(($B8/J$4)))*(INDEX('D Fleet'!$J$5:$J$36,INT(($B8/J$4))+2)-INDEX('D Fleet'!$J$5:$J$36,INT(($B8/J$4))+1)),0)</f>
        <v/>
      </c>
      <c r="K8" s="350">
        <f>IFERROR(INDEX('D Fleet'!$C$5:$C$63,MATCH(K$3-$B8,'D Fleet'!$B$5:$B$63,0)),0)*IFERROR(INDEX('D Fleet'!$J$5:$J$36,INT(($B8/K$4))+1)+(($B8/K$4)-INT(($B8/K$4)))*(INDEX('D Fleet'!$J$5:$J$36,INT(($B8/K$4))+2)-INDEX('D Fleet'!$J$5:$J$36,INT(($B8/K$4))+1)),0)</f>
        <v/>
      </c>
      <c r="L8" s="350">
        <f>IFERROR(INDEX('D Fleet'!$C$5:$C$63,MATCH(L$3-$B8,'D Fleet'!$B$5:$B$63,0)),0)*IFERROR(INDEX('D Fleet'!$J$5:$J$36,INT(($B8/L$4))+1)+(($B8/L$4)-INT(($B8/L$4)))*(INDEX('D Fleet'!$J$5:$J$36,INT(($B8/L$4))+2)-INDEX('D Fleet'!$J$5:$J$36,INT(($B8/L$4))+1)),0)</f>
        <v/>
      </c>
      <c r="M8" s="350">
        <f>IFERROR(INDEX('D Fleet'!$C$5:$C$63,MATCH(M$3-$B8,'D Fleet'!$B$5:$B$63,0)),0)*IFERROR(INDEX('D Fleet'!$J$5:$J$36,INT(($B8/M$4))+1)+(($B8/M$4)-INT(($B8/M$4)))*(INDEX('D Fleet'!$J$5:$J$36,INT(($B8/M$4))+2)-INDEX('D Fleet'!$J$5:$J$36,INT(($B8/M$4))+1)),0)</f>
        <v/>
      </c>
      <c r="N8" s="350">
        <f>IFERROR(INDEX('D Fleet'!$C$5:$C$63,MATCH(N$3-$B8,'D Fleet'!$B$5:$B$63,0)),0)*IFERROR(INDEX('D Fleet'!$J$5:$J$36,INT(($B8/N$4))+1)+(($B8/N$4)-INT(($B8/N$4)))*(INDEX('D Fleet'!$J$5:$J$36,INT(($B8/N$4))+2)-INDEX('D Fleet'!$J$5:$J$36,INT(($B8/N$4))+1)),0)</f>
        <v/>
      </c>
      <c r="P8" s="350">
        <f>E8*$D8*'E1 Fleet'!$D$97</f>
        <v/>
      </c>
      <c r="Q8" s="350">
        <f>F8*$D8*'E1 Fleet'!$D$97</f>
        <v/>
      </c>
      <c r="R8" s="350">
        <f>G8*$D8*'E1 Fleet'!$D$97</f>
        <v/>
      </c>
      <c r="S8" s="350">
        <f>H8*$D8*'E1 Fleet'!$D$97</f>
        <v/>
      </c>
      <c r="T8" s="350">
        <f>I8*$D8*'E1 Fleet'!$D$97</f>
        <v/>
      </c>
      <c r="U8" s="350">
        <f>J8*$D8*'E1 Fleet'!$D$97</f>
        <v/>
      </c>
      <c r="V8" s="350">
        <f>K8*$D8*'E1 Fleet'!$D$97</f>
        <v/>
      </c>
      <c r="W8" s="350">
        <f>L8*$D8*'E1 Fleet'!$D$97</f>
        <v/>
      </c>
      <c r="X8" s="350">
        <f>M8*$D8*'E1 Fleet'!$D$97</f>
        <v/>
      </c>
      <c r="Y8" s="350">
        <f>N8*$D8*'E1 Fleet'!$D$97</f>
        <v/>
      </c>
    </row>
    <row r="9">
      <c r="A9" t="inlineStr">
        <is>
          <t>Car</t>
        </is>
      </c>
      <c r="B9" s="456" t="n">
        <v>2</v>
      </c>
      <c r="C9" s="456" t="n">
        <v>1</v>
      </c>
      <c r="D9" s="348">
        <f>IF($B9=0,'E1 Fleet'!$D$93,1)*EXP(-'E1 Fleet'!$D$94*MAX($B9-6,0))</f>
        <v/>
      </c>
      <c r="E9" s="350">
        <f>IFERROR(INDEX('D Fleet'!$C$5:$C$63,MATCH(E$3-$B9,'D Fleet'!$B$5:$B$63,0)),0)*IFERROR(INDEX('D Fleet'!$J$5:$J$36,INT(($B9/E$4))+1)+(($B9/E$4)-INT(($B9/E$4)))*(INDEX('D Fleet'!$J$5:$J$36,INT(($B9/E$4))+2)-INDEX('D Fleet'!$J$5:$J$36,INT(($B9/E$4))+1)),0)</f>
        <v/>
      </c>
      <c r="F9" s="350">
        <f>IFERROR(INDEX('D Fleet'!$C$5:$C$63,MATCH(F$3-$B9,'D Fleet'!$B$5:$B$63,0)),0)*IFERROR(INDEX('D Fleet'!$J$5:$J$36,INT(($B9/F$4))+1)+(($B9/F$4)-INT(($B9/F$4)))*(INDEX('D Fleet'!$J$5:$J$36,INT(($B9/F$4))+2)-INDEX('D Fleet'!$J$5:$J$36,INT(($B9/F$4))+1)),0)</f>
        <v/>
      </c>
      <c r="G9" s="350">
        <f>IFERROR(INDEX('D Fleet'!$C$5:$C$63,MATCH(G$3-$B9,'D Fleet'!$B$5:$B$63,0)),0)*IFERROR(INDEX('D Fleet'!$J$5:$J$36,INT(($B9/G$4))+1)+(($B9/G$4)-INT(($B9/G$4)))*(INDEX('D Fleet'!$J$5:$J$36,INT(($B9/G$4))+2)-INDEX('D Fleet'!$J$5:$J$36,INT(($B9/G$4))+1)),0)</f>
        <v/>
      </c>
      <c r="H9" s="350">
        <f>IFERROR(INDEX('D Fleet'!$C$5:$C$63,MATCH(H$3-$B9,'D Fleet'!$B$5:$B$63,0)),0)*IFERROR(INDEX('D Fleet'!$J$5:$J$36,INT(($B9/H$4))+1)+(($B9/H$4)-INT(($B9/H$4)))*(INDEX('D Fleet'!$J$5:$J$36,INT(($B9/H$4))+2)-INDEX('D Fleet'!$J$5:$J$36,INT(($B9/H$4))+1)),0)</f>
        <v/>
      </c>
      <c r="I9" s="350">
        <f>IFERROR(INDEX('D Fleet'!$C$5:$C$63,MATCH(I$3-$B9,'D Fleet'!$B$5:$B$63,0)),0)*IFERROR(INDEX('D Fleet'!$J$5:$J$36,INT(($B9/I$4))+1)+(($B9/I$4)-INT(($B9/I$4)))*(INDEX('D Fleet'!$J$5:$J$36,INT(($B9/I$4))+2)-INDEX('D Fleet'!$J$5:$J$36,INT(($B9/I$4))+1)),0)</f>
        <v/>
      </c>
      <c r="J9" s="350">
        <f>IFERROR(INDEX('D Fleet'!$C$5:$C$63,MATCH(J$3-$B9,'D Fleet'!$B$5:$B$63,0)),0)*IFERROR(INDEX('D Fleet'!$J$5:$J$36,INT(($B9/J$4))+1)+(($B9/J$4)-INT(($B9/J$4)))*(INDEX('D Fleet'!$J$5:$J$36,INT(($B9/J$4))+2)-INDEX('D Fleet'!$J$5:$J$36,INT(($B9/J$4))+1)),0)</f>
        <v/>
      </c>
      <c r="K9" s="350">
        <f>IFERROR(INDEX('D Fleet'!$C$5:$C$63,MATCH(K$3-$B9,'D Fleet'!$B$5:$B$63,0)),0)*IFERROR(INDEX('D Fleet'!$J$5:$J$36,INT(($B9/K$4))+1)+(($B9/K$4)-INT(($B9/K$4)))*(INDEX('D Fleet'!$J$5:$J$36,INT(($B9/K$4))+2)-INDEX('D Fleet'!$J$5:$J$36,INT(($B9/K$4))+1)),0)</f>
        <v/>
      </c>
      <c r="L9" s="350">
        <f>IFERROR(INDEX('D Fleet'!$C$5:$C$63,MATCH(L$3-$B9,'D Fleet'!$B$5:$B$63,0)),0)*IFERROR(INDEX('D Fleet'!$J$5:$J$36,INT(($B9/L$4))+1)+(($B9/L$4)-INT(($B9/L$4)))*(INDEX('D Fleet'!$J$5:$J$36,INT(($B9/L$4))+2)-INDEX('D Fleet'!$J$5:$J$36,INT(($B9/L$4))+1)),0)</f>
        <v/>
      </c>
      <c r="M9" s="350">
        <f>IFERROR(INDEX('D Fleet'!$C$5:$C$63,MATCH(M$3-$B9,'D Fleet'!$B$5:$B$63,0)),0)*IFERROR(INDEX('D Fleet'!$J$5:$J$36,INT(($B9/M$4))+1)+(($B9/M$4)-INT(($B9/M$4)))*(INDEX('D Fleet'!$J$5:$J$36,INT(($B9/M$4))+2)-INDEX('D Fleet'!$J$5:$J$36,INT(($B9/M$4))+1)),0)</f>
        <v/>
      </c>
      <c r="N9" s="350">
        <f>IFERROR(INDEX('D Fleet'!$C$5:$C$63,MATCH(N$3-$B9,'D Fleet'!$B$5:$B$63,0)),0)*IFERROR(INDEX('D Fleet'!$J$5:$J$36,INT(($B9/N$4))+1)+(($B9/N$4)-INT(($B9/N$4)))*(INDEX('D Fleet'!$J$5:$J$36,INT(($B9/N$4))+2)-INDEX('D Fleet'!$J$5:$J$36,INT(($B9/N$4))+1)),0)</f>
        <v/>
      </c>
      <c r="P9" s="350">
        <f>E9*$D9*'E1 Fleet'!$D$97</f>
        <v/>
      </c>
      <c r="Q9" s="350">
        <f>F9*$D9*'E1 Fleet'!$D$97</f>
        <v/>
      </c>
      <c r="R9" s="350">
        <f>G9*$D9*'E1 Fleet'!$D$97</f>
        <v/>
      </c>
      <c r="S9" s="350">
        <f>H9*$D9*'E1 Fleet'!$D$97</f>
        <v/>
      </c>
      <c r="T9" s="350">
        <f>I9*$D9*'E1 Fleet'!$D$97</f>
        <v/>
      </c>
      <c r="U9" s="350">
        <f>J9*$D9*'E1 Fleet'!$D$97</f>
        <v/>
      </c>
      <c r="V9" s="350">
        <f>K9*$D9*'E1 Fleet'!$D$97</f>
        <v/>
      </c>
      <c r="W9" s="350">
        <f>L9*$D9*'E1 Fleet'!$D$97</f>
        <v/>
      </c>
      <c r="X9" s="350">
        <f>M9*$D9*'E1 Fleet'!$D$97</f>
        <v/>
      </c>
      <c r="Y9" s="350">
        <f>N9*$D9*'E1 Fleet'!$D$97</f>
        <v/>
      </c>
    </row>
    <row r="10">
      <c r="A10" t="inlineStr">
        <is>
          <t>Car</t>
        </is>
      </c>
      <c r="B10" s="456" t="n">
        <v>3</v>
      </c>
      <c r="C10" s="456" t="n">
        <v>1</v>
      </c>
      <c r="D10" s="348">
        <f>IF($B10=0,'E1 Fleet'!$D$93,1)*EXP(-'E1 Fleet'!$D$94*MAX($B10-6,0))</f>
        <v/>
      </c>
      <c r="E10" s="350">
        <f>IFERROR(INDEX('D Fleet'!$C$5:$C$63,MATCH(E$3-$B10,'D Fleet'!$B$5:$B$63,0)),0)*IFERROR(INDEX('D Fleet'!$J$5:$J$36,INT(($B10/E$4))+1)+(($B10/E$4)-INT(($B10/E$4)))*(INDEX('D Fleet'!$J$5:$J$36,INT(($B10/E$4))+2)-INDEX('D Fleet'!$J$5:$J$36,INT(($B10/E$4))+1)),0)</f>
        <v/>
      </c>
      <c r="F10" s="350">
        <f>IFERROR(INDEX('D Fleet'!$C$5:$C$63,MATCH(F$3-$B10,'D Fleet'!$B$5:$B$63,0)),0)*IFERROR(INDEX('D Fleet'!$J$5:$J$36,INT(($B10/F$4))+1)+(($B10/F$4)-INT(($B10/F$4)))*(INDEX('D Fleet'!$J$5:$J$36,INT(($B10/F$4))+2)-INDEX('D Fleet'!$J$5:$J$36,INT(($B10/F$4))+1)),0)</f>
        <v/>
      </c>
      <c r="G10" s="350">
        <f>IFERROR(INDEX('D Fleet'!$C$5:$C$63,MATCH(G$3-$B10,'D Fleet'!$B$5:$B$63,0)),0)*IFERROR(INDEX('D Fleet'!$J$5:$J$36,INT(($B10/G$4))+1)+(($B10/G$4)-INT(($B10/G$4)))*(INDEX('D Fleet'!$J$5:$J$36,INT(($B10/G$4))+2)-INDEX('D Fleet'!$J$5:$J$36,INT(($B10/G$4))+1)),0)</f>
        <v/>
      </c>
      <c r="H10" s="350">
        <f>IFERROR(INDEX('D Fleet'!$C$5:$C$63,MATCH(H$3-$B10,'D Fleet'!$B$5:$B$63,0)),0)*IFERROR(INDEX('D Fleet'!$J$5:$J$36,INT(($B10/H$4))+1)+(($B10/H$4)-INT(($B10/H$4)))*(INDEX('D Fleet'!$J$5:$J$36,INT(($B10/H$4))+2)-INDEX('D Fleet'!$J$5:$J$36,INT(($B10/H$4))+1)),0)</f>
        <v/>
      </c>
      <c r="I10" s="350">
        <f>IFERROR(INDEX('D Fleet'!$C$5:$C$63,MATCH(I$3-$B10,'D Fleet'!$B$5:$B$63,0)),0)*IFERROR(INDEX('D Fleet'!$J$5:$J$36,INT(($B10/I$4))+1)+(($B10/I$4)-INT(($B10/I$4)))*(INDEX('D Fleet'!$J$5:$J$36,INT(($B10/I$4))+2)-INDEX('D Fleet'!$J$5:$J$36,INT(($B10/I$4))+1)),0)</f>
        <v/>
      </c>
      <c r="J10" s="350">
        <f>IFERROR(INDEX('D Fleet'!$C$5:$C$63,MATCH(J$3-$B10,'D Fleet'!$B$5:$B$63,0)),0)*IFERROR(INDEX('D Fleet'!$J$5:$J$36,INT(($B10/J$4))+1)+(($B10/J$4)-INT(($B10/J$4)))*(INDEX('D Fleet'!$J$5:$J$36,INT(($B10/J$4))+2)-INDEX('D Fleet'!$J$5:$J$36,INT(($B10/J$4))+1)),0)</f>
        <v/>
      </c>
      <c r="K10" s="350">
        <f>IFERROR(INDEX('D Fleet'!$C$5:$C$63,MATCH(K$3-$B10,'D Fleet'!$B$5:$B$63,0)),0)*IFERROR(INDEX('D Fleet'!$J$5:$J$36,INT(($B10/K$4))+1)+(($B10/K$4)-INT(($B10/K$4)))*(INDEX('D Fleet'!$J$5:$J$36,INT(($B10/K$4))+2)-INDEX('D Fleet'!$J$5:$J$36,INT(($B10/K$4))+1)),0)</f>
        <v/>
      </c>
      <c r="L10" s="350">
        <f>IFERROR(INDEX('D Fleet'!$C$5:$C$63,MATCH(L$3-$B10,'D Fleet'!$B$5:$B$63,0)),0)*IFERROR(INDEX('D Fleet'!$J$5:$J$36,INT(($B10/L$4))+1)+(($B10/L$4)-INT(($B10/L$4)))*(INDEX('D Fleet'!$J$5:$J$36,INT(($B10/L$4))+2)-INDEX('D Fleet'!$J$5:$J$36,INT(($B10/L$4))+1)),0)</f>
        <v/>
      </c>
      <c r="M10" s="350">
        <f>IFERROR(INDEX('D Fleet'!$C$5:$C$63,MATCH(M$3-$B10,'D Fleet'!$B$5:$B$63,0)),0)*IFERROR(INDEX('D Fleet'!$J$5:$J$36,INT(($B10/M$4))+1)+(($B10/M$4)-INT(($B10/M$4)))*(INDEX('D Fleet'!$J$5:$J$36,INT(($B10/M$4))+2)-INDEX('D Fleet'!$J$5:$J$36,INT(($B10/M$4))+1)),0)</f>
        <v/>
      </c>
      <c r="N10" s="350">
        <f>IFERROR(INDEX('D Fleet'!$C$5:$C$63,MATCH(N$3-$B10,'D Fleet'!$B$5:$B$63,0)),0)*IFERROR(INDEX('D Fleet'!$J$5:$J$36,INT(($B10/N$4))+1)+(($B10/N$4)-INT(($B10/N$4)))*(INDEX('D Fleet'!$J$5:$J$36,INT(($B10/N$4))+2)-INDEX('D Fleet'!$J$5:$J$36,INT(($B10/N$4))+1)),0)</f>
        <v/>
      </c>
      <c r="P10" s="350">
        <f>E10*$D10*'E1 Fleet'!$D$97</f>
        <v/>
      </c>
      <c r="Q10" s="350">
        <f>F10*$D10*'E1 Fleet'!$D$97</f>
        <v/>
      </c>
      <c r="R10" s="350">
        <f>G10*$D10*'E1 Fleet'!$D$97</f>
        <v/>
      </c>
      <c r="S10" s="350">
        <f>H10*$D10*'E1 Fleet'!$D$97</f>
        <v/>
      </c>
      <c r="T10" s="350">
        <f>I10*$D10*'E1 Fleet'!$D$97</f>
        <v/>
      </c>
      <c r="U10" s="350">
        <f>J10*$D10*'E1 Fleet'!$D$97</f>
        <v/>
      </c>
      <c r="V10" s="350">
        <f>K10*$D10*'E1 Fleet'!$D$97</f>
        <v/>
      </c>
      <c r="W10" s="350">
        <f>L10*$D10*'E1 Fleet'!$D$97</f>
        <v/>
      </c>
      <c r="X10" s="350">
        <f>M10*$D10*'E1 Fleet'!$D$97</f>
        <v/>
      </c>
      <c r="Y10" s="350">
        <f>N10*$D10*'E1 Fleet'!$D$97</f>
        <v/>
      </c>
    </row>
    <row r="11">
      <c r="A11" t="inlineStr">
        <is>
          <t>Car</t>
        </is>
      </c>
      <c r="B11" s="456" t="n">
        <v>4</v>
      </c>
      <c r="C11" s="456" t="n">
        <v>2</v>
      </c>
      <c r="D11" s="348">
        <f>IF($B11=0,'E1 Fleet'!$D$93,1)*EXP(-'E1 Fleet'!$D$94*MAX($B11-6,0))</f>
        <v/>
      </c>
      <c r="E11" s="350">
        <f>IFERROR(INDEX('D Fleet'!$C$5:$C$63,MATCH(E$3-$B11,'D Fleet'!$B$5:$B$63,0)),0)*IFERROR(INDEX('D Fleet'!$J$5:$J$36,INT(($B11/E$4))+1)+(($B11/E$4)-INT(($B11/E$4)))*(INDEX('D Fleet'!$J$5:$J$36,INT(($B11/E$4))+2)-INDEX('D Fleet'!$J$5:$J$36,INT(($B11/E$4))+1)),0)</f>
        <v/>
      </c>
      <c r="F11" s="350">
        <f>IFERROR(INDEX('D Fleet'!$C$5:$C$63,MATCH(F$3-$B11,'D Fleet'!$B$5:$B$63,0)),0)*IFERROR(INDEX('D Fleet'!$J$5:$J$36,INT(($B11/F$4))+1)+(($B11/F$4)-INT(($B11/F$4)))*(INDEX('D Fleet'!$J$5:$J$36,INT(($B11/F$4))+2)-INDEX('D Fleet'!$J$5:$J$36,INT(($B11/F$4))+1)),0)</f>
        <v/>
      </c>
      <c r="G11" s="350">
        <f>IFERROR(INDEX('D Fleet'!$C$5:$C$63,MATCH(G$3-$B11,'D Fleet'!$B$5:$B$63,0)),0)*IFERROR(INDEX('D Fleet'!$J$5:$J$36,INT(($B11/G$4))+1)+(($B11/G$4)-INT(($B11/G$4)))*(INDEX('D Fleet'!$J$5:$J$36,INT(($B11/G$4))+2)-INDEX('D Fleet'!$J$5:$J$36,INT(($B11/G$4))+1)),0)</f>
        <v/>
      </c>
      <c r="H11" s="350">
        <f>IFERROR(INDEX('D Fleet'!$C$5:$C$63,MATCH(H$3-$B11,'D Fleet'!$B$5:$B$63,0)),0)*IFERROR(INDEX('D Fleet'!$J$5:$J$36,INT(($B11/H$4))+1)+(($B11/H$4)-INT(($B11/H$4)))*(INDEX('D Fleet'!$J$5:$J$36,INT(($B11/H$4))+2)-INDEX('D Fleet'!$J$5:$J$36,INT(($B11/H$4))+1)),0)</f>
        <v/>
      </c>
      <c r="I11" s="350">
        <f>IFERROR(INDEX('D Fleet'!$C$5:$C$63,MATCH(I$3-$B11,'D Fleet'!$B$5:$B$63,0)),0)*IFERROR(INDEX('D Fleet'!$J$5:$J$36,INT(($B11/I$4))+1)+(($B11/I$4)-INT(($B11/I$4)))*(INDEX('D Fleet'!$J$5:$J$36,INT(($B11/I$4))+2)-INDEX('D Fleet'!$J$5:$J$36,INT(($B11/I$4))+1)),0)</f>
        <v/>
      </c>
      <c r="J11" s="350">
        <f>IFERROR(INDEX('D Fleet'!$C$5:$C$63,MATCH(J$3-$B11,'D Fleet'!$B$5:$B$63,0)),0)*IFERROR(INDEX('D Fleet'!$J$5:$J$36,INT(($B11/J$4))+1)+(($B11/J$4)-INT(($B11/J$4)))*(INDEX('D Fleet'!$J$5:$J$36,INT(($B11/J$4))+2)-INDEX('D Fleet'!$J$5:$J$36,INT(($B11/J$4))+1)),0)</f>
        <v/>
      </c>
      <c r="K11" s="350">
        <f>IFERROR(INDEX('D Fleet'!$C$5:$C$63,MATCH(K$3-$B11,'D Fleet'!$B$5:$B$63,0)),0)*IFERROR(INDEX('D Fleet'!$J$5:$J$36,INT(($B11/K$4))+1)+(($B11/K$4)-INT(($B11/K$4)))*(INDEX('D Fleet'!$J$5:$J$36,INT(($B11/K$4))+2)-INDEX('D Fleet'!$J$5:$J$36,INT(($B11/K$4))+1)),0)</f>
        <v/>
      </c>
      <c r="L11" s="350">
        <f>IFERROR(INDEX('D Fleet'!$C$5:$C$63,MATCH(L$3-$B11,'D Fleet'!$B$5:$B$63,0)),0)*IFERROR(INDEX('D Fleet'!$J$5:$J$36,INT(($B11/L$4))+1)+(($B11/L$4)-INT(($B11/L$4)))*(INDEX('D Fleet'!$J$5:$J$36,INT(($B11/L$4))+2)-INDEX('D Fleet'!$J$5:$J$36,INT(($B11/L$4))+1)),0)</f>
        <v/>
      </c>
      <c r="M11" s="350">
        <f>IFERROR(INDEX('D Fleet'!$C$5:$C$63,MATCH(M$3-$B11,'D Fleet'!$B$5:$B$63,0)),0)*IFERROR(INDEX('D Fleet'!$J$5:$J$36,INT(($B11/M$4))+1)+(($B11/M$4)-INT(($B11/M$4)))*(INDEX('D Fleet'!$J$5:$J$36,INT(($B11/M$4))+2)-INDEX('D Fleet'!$J$5:$J$36,INT(($B11/M$4))+1)),0)</f>
        <v/>
      </c>
      <c r="N11" s="350">
        <f>IFERROR(INDEX('D Fleet'!$C$5:$C$63,MATCH(N$3-$B11,'D Fleet'!$B$5:$B$63,0)),0)*IFERROR(INDEX('D Fleet'!$J$5:$J$36,INT(($B11/N$4))+1)+(($B11/N$4)-INT(($B11/N$4)))*(INDEX('D Fleet'!$J$5:$J$36,INT(($B11/N$4))+2)-INDEX('D Fleet'!$J$5:$J$36,INT(($B11/N$4))+1)),0)</f>
        <v/>
      </c>
      <c r="P11" s="350">
        <f>E11*$D11*'E1 Fleet'!$D$97</f>
        <v/>
      </c>
      <c r="Q11" s="350">
        <f>F11*$D11*'E1 Fleet'!$D$97</f>
        <v/>
      </c>
      <c r="R11" s="350">
        <f>G11*$D11*'E1 Fleet'!$D$97</f>
        <v/>
      </c>
      <c r="S11" s="350">
        <f>H11*$D11*'E1 Fleet'!$D$97</f>
        <v/>
      </c>
      <c r="T11" s="350">
        <f>I11*$D11*'E1 Fleet'!$D$97</f>
        <v/>
      </c>
      <c r="U11" s="350">
        <f>J11*$D11*'E1 Fleet'!$D$97</f>
        <v/>
      </c>
      <c r="V11" s="350">
        <f>K11*$D11*'E1 Fleet'!$D$97</f>
        <v/>
      </c>
      <c r="W11" s="350">
        <f>L11*$D11*'E1 Fleet'!$D$97</f>
        <v/>
      </c>
      <c r="X11" s="350">
        <f>M11*$D11*'E1 Fleet'!$D$97</f>
        <v/>
      </c>
      <c r="Y11" s="350">
        <f>N11*$D11*'E1 Fleet'!$D$97</f>
        <v/>
      </c>
    </row>
    <row r="12">
      <c r="A12" t="inlineStr">
        <is>
          <t>Car</t>
        </is>
      </c>
      <c r="B12" s="456" t="n">
        <v>5</v>
      </c>
      <c r="C12" s="456" t="n">
        <v>2</v>
      </c>
      <c r="D12" s="348">
        <f>IF($B12=0,'E1 Fleet'!$D$93,1)*EXP(-'E1 Fleet'!$D$94*MAX($B12-6,0))</f>
        <v/>
      </c>
      <c r="E12" s="350">
        <f>IFERROR(INDEX('D Fleet'!$C$5:$C$63,MATCH(E$3-$B12,'D Fleet'!$B$5:$B$63,0)),0)*IFERROR(INDEX('D Fleet'!$J$5:$J$36,INT(($B12/E$4))+1)+(($B12/E$4)-INT(($B12/E$4)))*(INDEX('D Fleet'!$J$5:$J$36,INT(($B12/E$4))+2)-INDEX('D Fleet'!$J$5:$J$36,INT(($B12/E$4))+1)),0)</f>
        <v/>
      </c>
      <c r="F12" s="350">
        <f>IFERROR(INDEX('D Fleet'!$C$5:$C$63,MATCH(F$3-$B12,'D Fleet'!$B$5:$B$63,0)),0)*IFERROR(INDEX('D Fleet'!$J$5:$J$36,INT(($B12/F$4))+1)+(($B12/F$4)-INT(($B12/F$4)))*(INDEX('D Fleet'!$J$5:$J$36,INT(($B12/F$4))+2)-INDEX('D Fleet'!$J$5:$J$36,INT(($B12/F$4))+1)),0)</f>
        <v/>
      </c>
      <c r="G12" s="350">
        <f>IFERROR(INDEX('D Fleet'!$C$5:$C$63,MATCH(G$3-$B12,'D Fleet'!$B$5:$B$63,0)),0)*IFERROR(INDEX('D Fleet'!$J$5:$J$36,INT(($B12/G$4))+1)+(($B12/G$4)-INT(($B12/G$4)))*(INDEX('D Fleet'!$J$5:$J$36,INT(($B12/G$4))+2)-INDEX('D Fleet'!$J$5:$J$36,INT(($B12/G$4))+1)),0)</f>
        <v/>
      </c>
      <c r="H12" s="350">
        <f>IFERROR(INDEX('D Fleet'!$C$5:$C$63,MATCH(H$3-$B12,'D Fleet'!$B$5:$B$63,0)),0)*IFERROR(INDEX('D Fleet'!$J$5:$J$36,INT(($B12/H$4))+1)+(($B12/H$4)-INT(($B12/H$4)))*(INDEX('D Fleet'!$J$5:$J$36,INT(($B12/H$4))+2)-INDEX('D Fleet'!$J$5:$J$36,INT(($B12/H$4))+1)),0)</f>
        <v/>
      </c>
      <c r="I12" s="350">
        <f>IFERROR(INDEX('D Fleet'!$C$5:$C$63,MATCH(I$3-$B12,'D Fleet'!$B$5:$B$63,0)),0)*IFERROR(INDEX('D Fleet'!$J$5:$J$36,INT(($B12/I$4))+1)+(($B12/I$4)-INT(($B12/I$4)))*(INDEX('D Fleet'!$J$5:$J$36,INT(($B12/I$4))+2)-INDEX('D Fleet'!$J$5:$J$36,INT(($B12/I$4))+1)),0)</f>
        <v/>
      </c>
      <c r="J12" s="350">
        <f>IFERROR(INDEX('D Fleet'!$C$5:$C$63,MATCH(J$3-$B12,'D Fleet'!$B$5:$B$63,0)),0)*IFERROR(INDEX('D Fleet'!$J$5:$J$36,INT(($B12/J$4))+1)+(($B12/J$4)-INT(($B12/J$4)))*(INDEX('D Fleet'!$J$5:$J$36,INT(($B12/J$4))+2)-INDEX('D Fleet'!$J$5:$J$36,INT(($B12/J$4))+1)),0)</f>
        <v/>
      </c>
      <c r="K12" s="350">
        <f>IFERROR(INDEX('D Fleet'!$C$5:$C$63,MATCH(K$3-$B12,'D Fleet'!$B$5:$B$63,0)),0)*IFERROR(INDEX('D Fleet'!$J$5:$J$36,INT(($B12/K$4))+1)+(($B12/K$4)-INT(($B12/K$4)))*(INDEX('D Fleet'!$J$5:$J$36,INT(($B12/K$4))+2)-INDEX('D Fleet'!$J$5:$J$36,INT(($B12/K$4))+1)),0)</f>
        <v/>
      </c>
      <c r="L12" s="350">
        <f>IFERROR(INDEX('D Fleet'!$C$5:$C$63,MATCH(L$3-$B12,'D Fleet'!$B$5:$B$63,0)),0)*IFERROR(INDEX('D Fleet'!$J$5:$J$36,INT(($B12/L$4))+1)+(($B12/L$4)-INT(($B12/L$4)))*(INDEX('D Fleet'!$J$5:$J$36,INT(($B12/L$4))+2)-INDEX('D Fleet'!$J$5:$J$36,INT(($B12/L$4))+1)),0)</f>
        <v/>
      </c>
      <c r="M12" s="350">
        <f>IFERROR(INDEX('D Fleet'!$C$5:$C$63,MATCH(M$3-$B12,'D Fleet'!$B$5:$B$63,0)),0)*IFERROR(INDEX('D Fleet'!$J$5:$J$36,INT(($B12/M$4))+1)+(($B12/M$4)-INT(($B12/M$4)))*(INDEX('D Fleet'!$J$5:$J$36,INT(($B12/M$4))+2)-INDEX('D Fleet'!$J$5:$J$36,INT(($B12/M$4))+1)),0)</f>
        <v/>
      </c>
      <c r="N12" s="350">
        <f>IFERROR(INDEX('D Fleet'!$C$5:$C$63,MATCH(N$3-$B12,'D Fleet'!$B$5:$B$63,0)),0)*IFERROR(INDEX('D Fleet'!$J$5:$J$36,INT(($B12/N$4))+1)+(($B12/N$4)-INT(($B12/N$4)))*(INDEX('D Fleet'!$J$5:$J$36,INT(($B12/N$4))+2)-INDEX('D Fleet'!$J$5:$J$36,INT(($B12/N$4))+1)),0)</f>
        <v/>
      </c>
      <c r="P12" s="350">
        <f>E12*$D12*'E1 Fleet'!$D$97</f>
        <v/>
      </c>
      <c r="Q12" s="350">
        <f>F12*$D12*'E1 Fleet'!$D$97</f>
        <v/>
      </c>
      <c r="R12" s="350">
        <f>G12*$D12*'E1 Fleet'!$D$97</f>
        <v/>
      </c>
      <c r="S12" s="350">
        <f>H12*$D12*'E1 Fleet'!$D$97</f>
        <v/>
      </c>
      <c r="T12" s="350">
        <f>I12*$D12*'E1 Fleet'!$D$97</f>
        <v/>
      </c>
      <c r="U12" s="350">
        <f>J12*$D12*'E1 Fleet'!$D$97</f>
        <v/>
      </c>
      <c r="V12" s="350">
        <f>K12*$D12*'E1 Fleet'!$D$97</f>
        <v/>
      </c>
      <c r="W12" s="350">
        <f>L12*$D12*'E1 Fleet'!$D$97</f>
        <v/>
      </c>
      <c r="X12" s="350">
        <f>M12*$D12*'E1 Fleet'!$D$97</f>
        <v/>
      </c>
      <c r="Y12" s="350">
        <f>N12*$D12*'E1 Fleet'!$D$97</f>
        <v/>
      </c>
    </row>
    <row r="13">
      <c r="A13" t="inlineStr">
        <is>
          <t>Car</t>
        </is>
      </c>
      <c r="B13" s="456" t="n">
        <v>6</v>
      </c>
      <c r="C13" s="456" t="n">
        <v>2</v>
      </c>
      <c r="D13" s="348">
        <f>IF($B13=0,'E1 Fleet'!$D$93,1)*EXP(-'E1 Fleet'!$D$94*MAX($B13-6,0))</f>
        <v/>
      </c>
      <c r="E13" s="350">
        <f>IFERROR(INDEX('D Fleet'!$C$5:$C$63,MATCH(E$3-$B13,'D Fleet'!$B$5:$B$63,0)),0)*IFERROR(INDEX('D Fleet'!$J$5:$J$36,INT(($B13/E$4))+1)+(($B13/E$4)-INT(($B13/E$4)))*(INDEX('D Fleet'!$J$5:$J$36,INT(($B13/E$4))+2)-INDEX('D Fleet'!$J$5:$J$36,INT(($B13/E$4))+1)),0)</f>
        <v/>
      </c>
      <c r="F13" s="350">
        <f>IFERROR(INDEX('D Fleet'!$C$5:$C$63,MATCH(F$3-$B13,'D Fleet'!$B$5:$B$63,0)),0)*IFERROR(INDEX('D Fleet'!$J$5:$J$36,INT(($B13/F$4))+1)+(($B13/F$4)-INT(($B13/F$4)))*(INDEX('D Fleet'!$J$5:$J$36,INT(($B13/F$4))+2)-INDEX('D Fleet'!$J$5:$J$36,INT(($B13/F$4))+1)),0)</f>
        <v/>
      </c>
      <c r="G13" s="350">
        <f>IFERROR(INDEX('D Fleet'!$C$5:$C$63,MATCH(G$3-$B13,'D Fleet'!$B$5:$B$63,0)),0)*IFERROR(INDEX('D Fleet'!$J$5:$J$36,INT(($B13/G$4))+1)+(($B13/G$4)-INT(($B13/G$4)))*(INDEX('D Fleet'!$J$5:$J$36,INT(($B13/G$4))+2)-INDEX('D Fleet'!$J$5:$J$36,INT(($B13/G$4))+1)),0)</f>
        <v/>
      </c>
      <c r="H13" s="350">
        <f>IFERROR(INDEX('D Fleet'!$C$5:$C$63,MATCH(H$3-$B13,'D Fleet'!$B$5:$B$63,0)),0)*IFERROR(INDEX('D Fleet'!$J$5:$J$36,INT(($B13/H$4))+1)+(($B13/H$4)-INT(($B13/H$4)))*(INDEX('D Fleet'!$J$5:$J$36,INT(($B13/H$4))+2)-INDEX('D Fleet'!$J$5:$J$36,INT(($B13/H$4))+1)),0)</f>
        <v/>
      </c>
      <c r="I13" s="350">
        <f>IFERROR(INDEX('D Fleet'!$C$5:$C$63,MATCH(I$3-$B13,'D Fleet'!$B$5:$B$63,0)),0)*IFERROR(INDEX('D Fleet'!$J$5:$J$36,INT(($B13/I$4))+1)+(($B13/I$4)-INT(($B13/I$4)))*(INDEX('D Fleet'!$J$5:$J$36,INT(($B13/I$4))+2)-INDEX('D Fleet'!$J$5:$J$36,INT(($B13/I$4))+1)),0)</f>
        <v/>
      </c>
      <c r="J13" s="350">
        <f>IFERROR(INDEX('D Fleet'!$C$5:$C$63,MATCH(J$3-$B13,'D Fleet'!$B$5:$B$63,0)),0)*IFERROR(INDEX('D Fleet'!$J$5:$J$36,INT(($B13/J$4))+1)+(($B13/J$4)-INT(($B13/J$4)))*(INDEX('D Fleet'!$J$5:$J$36,INT(($B13/J$4))+2)-INDEX('D Fleet'!$J$5:$J$36,INT(($B13/J$4))+1)),0)</f>
        <v/>
      </c>
      <c r="K13" s="350">
        <f>IFERROR(INDEX('D Fleet'!$C$5:$C$63,MATCH(K$3-$B13,'D Fleet'!$B$5:$B$63,0)),0)*IFERROR(INDEX('D Fleet'!$J$5:$J$36,INT(($B13/K$4))+1)+(($B13/K$4)-INT(($B13/K$4)))*(INDEX('D Fleet'!$J$5:$J$36,INT(($B13/K$4))+2)-INDEX('D Fleet'!$J$5:$J$36,INT(($B13/K$4))+1)),0)</f>
        <v/>
      </c>
      <c r="L13" s="350">
        <f>IFERROR(INDEX('D Fleet'!$C$5:$C$63,MATCH(L$3-$B13,'D Fleet'!$B$5:$B$63,0)),0)*IFERROR(INDEX('D Fleet'!$J$5:$J$36,INT(($B13/L$4))+1)+(($B13/L$4)-INT(($B13/L$4)))*(INDEX('D Fleet'!$J$5:$J$36,INT(($B13/L$4))+2)-INDEX('D Fleet'!$J$5:$J$36,INT(($B13/L$4))+1)),0)</f>
        <v/>
      </c>
      <c r="M13" s="350">
        <f>IFERROR(INDEX('D Fleet'!$C$5:$C$63,MATCH(M$3-$B13,'D Fleet'!$B$5:$B$63,0)),0)*IFERROR(INDEX('D Fleet'!$J$5:$J$36,INT(($B13/M$4))+1)+(($B13/M$4)-INT(($B13/M$4)))*(INDEX('D Fleet'!$J$5:$J$36,INT(($B13/M$4))+2)-INDEX('D Fleet'!$J$5:$J$36,INT(($B13/M$4))+1)),0)</f>
        <v/>
      </c>
      <c r="N13" s="350">
        <f>IFERROR(INDEX('D Fleet'!$C$5:$C$63,MATCH(N$3-$B13,'D Fleet'!$B$5:$B$63,0)),0)*IFERROR(INDEX('D Fleet'!$J$5:$J$36,INT(($B13/N$4))+1)+(($B13/N$4)-INT(($B13/N$4)))*(INDEX('D Fleet'!$J$5:$J$36,INT(($B13/N$4))+2)-INDEX('D Fleet'!$J$5:$J$36,INT(($B13/N$4))+1)),0)</f>
        <v/>
      </c>
      <c r="P13" s="350">
        <f>E13*$D13*'E1 Fleet'!$D$97</f>
        <v/>
      </c>
      <c r="Q13" s="350">
        <f>F13*$D13*'E1 Fleet'!$D$97</f>
        <v/>
      </c>
      <c r="R13" s="350">
        <f>G13*$D13*'E1 Fleet'!$D$97</f>
        <v/>
      </c>
      <c r="S13" s="350">
        <f>H13*$D13*'E1 Fleet'!$D$97</f>
        <v/>
      </c>
      <c r="T13" s="350">
        <f>I13*$D13*'E1 Fleet'!$D$97</f>
        <v/>
      </c>
      <c r="U13" s="350">
        <f>J13*$D13*'E1 Fleet'!$D$97</f>
        <v/>
      </c>
      <c r="V13" s="350">
        <f>K13*$D13*'E1 Fleet'!$D$97</f>
        <v/>
      </c>
      <c r="W13" s="350">
        <f>L13*$D13*'E1 Fleet'!$D$97</f>
        <v/>
      </c>
      <c r="X13" s="350">
        <f>M13*$D13*'E1 Fleet'!$D$97</f>
        <v/>
      </c>
      <c r="Y13" s="350">
        <f>N13*$D13*'E1 Fleet'!$D$97</f>
        <v/>
      </c>
    </row>
    <row r="14">
      <c r="A14" t="inlineStr">
        <is>
          <t>Car</t>
        </is>
      </c>
      <c r="B14" s="456" t="n">
        <v>7</v>
      </c>
      <c r="C14" s="456" t="n">
        <v>3</v>
      </c>
      <c r="D14" s="348">
        <f>IF($B14=0,'E1 Fleet'!$D$93,1)*EXP(-'E1 Fleet'!$D$94*MAX($B14-6,0))</f>
        <v/>
      </c>
      <c r="E14" s="350">
        <f>IFERROR(INDEX('D Fleet'!$C$5:$C$63,MATCH(E$3-$B14,'D Fleet'!$B$5:$B$63,0)),0)*IFERROR(INDEX('D Fleet'!$J$5:$J$36,INT(($B14/E$4))+1)+(($B14/E$4)-INT(($B14/E$4)))*(INDEX('D Fleet'!$J$5:$J$36,INT(($B14/E$4))+2)-INDEX('D Fleet'!$J$5:$J$36,INT(($B14/E$4))+1)),0)</f>
        <v/>
      </c>
      <c r="F14" s="350">
        <f>IFERROR(INDEX('D Fleet'!$C$5:$C$63,MATCH(F$3-$B14,'D Fleet'!$B$5:$B$63,0)),0)*IFERROR(INDEX('D Fleet'!$J$5:$J$36,INT(($B14/F$4))+1)+(($B14/F$4)-INT(($B14/F$4)))*(INDEX('D Fleet'!$J$5:$J$36,INT(($B14/F$4))+2)-INDEX('D Fleet'!$J$5:$J$36,INT(($B14/F$4))+1)),0)</f>
        <v/>
      </c>
      <c r="G14" s="350">
        <f>IFERROR(INDEX('D Fleet'!$C$5:$C$63,MATCH(G$3-$B14,'D Fleet'!$B$5:$B$63,0)),0)*IFERROR(INDEX('D Fleet'!$J$5:$J$36,INT(($B14/G$4))+1)+(($B14/G$4)-INT(($B14/G$4)))*(INDEX('D Fleet'!$J$5:$J$36,INT(($B14/G$4))+2)-INDEX('D Fleet'!$J$5:$J$36,INT(($B14/G$4))+1)),0)</f>
        <v/>
      </c>
      <c r="H14" s="350">
        <f>IFERROR(INDEX('D Fleet'!$C$5:$C$63,MATCH(H$3-$B14,'D Fleet'!$B$5:$B$63,0)),0)*IFERROR(INDEX('D Fleet'!$J$5:$J$36,INT(($B14/H$4))+1)+(($B14/H$4)-INT(($B14/H$4)))*(INDEX('D Fleet'!$J$5:$J$36,INT(($B14/H$4))+2)-INDEX('D Fleet'!$J$5:$J$36,INT(($B14/H$4))+1)),0)</f>
        <v/>
      </c>
      <c r="I14" s="350">
        <f>IFERROR(INDEX('D Fleet'!$C$5:$C$63,MATCH(I$3-$B14,'D Fleet'!$B$5:$B$63,0)),0)*IFERROR(INDEX('D Fleet'!$J$5:$J$36,INT(($B14/I$4))+1)+(($B14/I$4)-INT(($B14/I$4)))*(INDEX('D Fleet'!$J$5:$J$36,INT(($B14/I$4))+2)-INDEX('D Fleet'!$J$5:$J$36,INT(($B14/I$4))+1)),0)</f>
        <v/>
      </c>
      <c r="J14" s="350">
        <f>IFERROR(INDEX('D Fleet'!$C$5:$C$63,MATCH(J$3-$B14,'D Fleet'!$B$5:$B$63,0)),0)*IFERROR(INDEX('D Fleet'!$J$5:$J$36,INT(($B14/J$4))+1)+(($B14/J$4)-INT(($B14/J$4)))*(INDEX('D Fleet'!$J$5:$J$36,INT(($B14/J$4))+2)-INDEX('D Fleet'!$J$5:$J$36,INT(($B14/J$4))+1)),0)</f>
        <v/>
      </c>
      <c r="K14" s="350">
        <f>IFERROR(INDEX('D Fleet'!$C$5:$C$63,MATCH(K$3-$B14,'D Fleet'!$B$5:$B$63,0)),0)*IFERROR(INDEX('D Fleet'!$J$5:$J$36,INT(($B14/K$4))+1)+(($B14/K$4)-INT(($B14/K$4)))*(INDEX('D Fleet'!$J$5:$J$36,INT(($B14/K$4))+2)-INDEX('D Fleet'!$J$5:$J$36,INT(($B14/K$4))+1)),0)</f>
        <v/>
      </c>
      <c r="L14" s="350">
        <f>IFERROR(INDEX('D Fleet'!$C$5:$C$63,MATCH(L$3-$B14,'D Fleet'!$B$5:$B$63,0)),0)*IFERROR(INDEX('D Fleet'!$J$5:$J$36,INT(($B14/L$4))+1)+(($B14/L$4)-INT(($B14/L$4)))*(INDEX('D Fleet'!$J$5:$J$36,INT(($B14/L$4))+2)-INDEX('D Fleet'!$J$5:$J$36,INT(($B14/L$4))+1)),0)</f>
        <v/>
      </c>
      <c r="M14" s="350">
        <f>IFERROR(INDEX('D Fleet'!$C$5:$C$63,MATCH(M$3-$B14,'D Fleet'!$B$5:$B$63,0)),0)*IFERROR(INDEX('D Fleet'!$J$5:$J$36,INT(($B14/M$4))+1)+(($B14/M$4)-INT(($B14/M$4)))*(INDEX('D Fleet'!$J$5:$J$36,INT(($B14/M$4))+2)-INDEX('D Fleet'!$J$5:$J$36,INT(($B14/M$4))+1)),0)</f>
        <v/>
      </c>
      <c r="N14" s="350">
        <f>IFERROR(INDEX('D Fleet'!$C$5:$C$63,MATCH(N$3-$B14,'D Fleet'!$B$5:$B$63,0)),0)*IFERROR(INDEX('D Fleet'!$J$5:$J$36,INT(($B14/N$4))+1)+(($B14/N$4)-INT(($B14/N$4)))*(INDEX('D Fleet'!$J$5:$J$36,INT(($B14/N$4))+2)-INDEX('D Fleet'!$J$5:$J$36,INT(($B14/N$4))+1)),0)</f>
        <v/>
      </c>
      <c r="P14" s="350">
        <f>E14*$D14*'E1 Fleet'!$D$97</f>
        <v/>
      </c>
      <c r="Q14" s="350">
        <f>F14*$D14*'E1 Fleet'!$D$97</f>
        <v/>
      </c>
      <c r="R14" s="350">
        <f>G14*$D14*'E1 Fleet'!$D$97</f>
        <v/>
      </c>
      <c r="S14" s="350">
        <f>H14*$D14*'E1 Fleet'!$D$97</f>
        <v/>
      </c>
      <c r="T14" s="350">
        <f>I14*$D14*'E1 Fleet'!$D$97</f>
        <v/>
      </c>
      <c r="U14" s="350">
        <f>J14*$D14*'E1 Fleet'!$D$97</f>
        <v/>
      </c>
      <c r="V14" s="350">
        <f>K14*$D14*'E1 Fleet'!$D$97</f>
        <v/>
      </c>
      <c r="W14" s="350">
        <f>L14*$D14*'E1 Fleet'!$D$97</f>
        <v/>
      </c>
      <c r="X14" s="350">
        <f>M14*$D14*'E1 Fleet'!$D$97</f>
        <v/>
      </c>
      <c r="Y14" s="350">
        <f>N14*$D14*'E1 Fleet'!$D$97</f>
        <v/>
      </c>
    </row>
    <row r="15">
      <c r="A15" t="inlineStr">
        <is>
          <t>Car</t>
        </is>
      </c>
      <c r="B15" s="456" t="n">
        <v>8</v>
      </c>
      <c r="C15" s="456" t="n">
        <v>3</v>
      </c>
      <c r="D15" s="348">
        <f>IF($B15=0,'E1 Fleet'!$D$93,1)*EXP(-'E1 Fleet'!$D$94*MAX($B15-6,0))</f>
        <v/>
      </c>
      <c r="E15" s="350">
        <f>IFERROR(INDEX('D Fleet'!$C$5:$C$63,MATCH(E$3-$B15,'D Fleet'!$B$5:$B$63,0)),0)*IFERROR(INDEX('D Fleet'!$J$5:$J$36,INT(($B15/E$4))+1)+(($B15/E$4)-INT(($B15/E$4)))*(INDEX('D Fleet'!$J$5:$J$36,INT(($B15/E$4))+2)-INDEX('D Fleet'!$J$5:$J$36,INT(($B15/E$4))+1)),0)</f>
        <v/>
      </c>
      <c r="F15" s="350">
        <f>IFERROR(INDEX('D Fleet'!$C$5:$C$63,MATCH(F$3-$B15,'D Fleet'!$B$5:$B$63,0)),0)*IFERROR(INDEX('D Fleet'!$J$5:$J$36,INT(($B15/F$4))+1)+(($B15/F$4)-INT(($B15/F$4)))*(INDEX('D Fleet'!$J$5:$J$36,INT(($B15/F$4))+2)-INDEX('D Fleet'!$J$5:$J$36,INT(($B15/F$4))+1)),0)</f>
        <v/>
      </c>
      <c r="G15" s="350">
        <f>IFERROR(INDEX('D Fleet'!$C$5:$C$63,MATCH(G$3-$B15,'D Fleet'!$B$5:$B$63,0)),0)*IFERROR(INDEX('D Fleet'!$J$5:$J$36,INT(($B15/G$4))+1)+(($B15/G$4)-INT(($B15/G$4)))*(INDEX('D Fleet'!$J$5:$J$36,INT(($B15/G$4))+2)-INDEX('D Fleet'!$J$5:$J$36,INT(($B15/G$4))+1)),0)</f>
        <v/>
      </c>
      <c r="H15" s="350">
        <f>IFERROR(INDEX('D Fleet'!$C$5:$C$63,MATCH(H$3-$B15,'D Fleet'!$B$5:$B$63,0)),0)*IFERROR(INDEX('D Fleet'!$J$5:$J$36,INT(($B15/H$4))+1)+(($B15/H$4)-INT(($B15/H$4)))*(INDEX('D Fleet'!$J$5:$J$36,INT(($B15/H$4))+2)-INDEX('D Fleet'!$J$5:$J$36,INT(($B15/H$4))+1)),0)</f>
        <v/>
      </c>
      <c r="I15" s="350">
        <f>IFERROR(INDEX('D Fleet'!$C$5:$C$63,MATCH(I$3-$B15,'D Fleet'!$B$5:$B$63,0)),0)*IFERROR(INDEX('D Fleet'!$J$5:$J$36,INT(($B15/I$4))+1)+(($B15/I$4)-INT(($B15/I$4)))*(INDEX('D Fleet'!$J$5:$J$36,INT(($B15/I$4))+2)-INDEX('D Fleet'!$J$5:$J$36,INT(($B15/I$4))+1)),0)</f>
        <v/>
      </c>
      <c r="J15" s="350">
        <f>IFERROR(INDEX('D Fleet'!$C$5:$C$63,MATCH(J$3-$B15,'D Fleet'!$B$5:$B$63,0)),0)*IFERROR(INDEX('D Fleet'!$J$5:$J$36,INT(($B15/J$4))+1)+(($B15/J$4)-INT(($B15/J$4)))*(INDEX('D Fleet'!$J$5:$J$36,INT(($B15/J$4))+2)-INDEX('D Fleet'!$J$5:$J$36,INT(($B15/J$4))+1)),0)</f>
        <v/>
      </c>
      <c r="K15" s="350">
        <f>IFERROR(INDEX('D Fleet'!$C$5:$C$63,MATCH(K$3-$B15,'D Fleet'!$B$5:$B$63,0)),0)*IFERROR(INDEX('D Fleet'!$J$5:$J$36,INT(($B15/K$4))+1)+(($B15/K$4)-INT(($B15/K$4)))*(INDEX('D Fleet'!$J$5:$J$36,INT(($B15/K$4))+2)-INDEX('D Fleet'!$J$5:$J$36,INT(($B15/K$4))+1)),0)</f>
        <v/>
      </c>
      <c r="L15" s="350">
        <f>IFERROR(INDEX('D Fleet'!$C$5:$C$63,MATCH(L$3-$B15,'D Fleet'!$B$5:$B$63,0)),0)*IFERROR(INDEX('D Fleet'!$J$5:$J$36,INT(($B15/L$4))+1)+(($B15/L$4)-INT(($B15/L$4)))*(INDEX('D Fleet'!$J$5:$J$36,INT(($B15/L$4))+2)-INDEX('D Fleet'!$J$5:$J$36,INT(($B15/L$4))+1)),0)</f>
        <v/>
      </c>
      <c r="M15" s="350">
        <f>IFERROR(INDEX('D Fleet'!$C$5:$C$63,MATCH(M$3-$B15,'D Fleet'!$B$5:$B$63,0)),0)*IFERROR(INDEX('D Fleet'!$J$5:$J$36,INT(($B15/M$4))+1)+(($B15/M$4)-INT(($B15/M$4)))*(INDEX('D Fleet'!$J$5:$J$36,INT(($B15/M$4))+2)-INDEX('D Fleet'!$J$5:$J$36,INT(($B15/M$4))+1)),0)</f>
        <v/>
      </c>
      <c r="N15" s="350">
        <f>IFERROR(INDEX('D Fleet'!$C$5:$C$63,MATCH(N$3-$B15,'D Fleet'!$B$5:$B$63,0)),0)*IFERROR(INDEX('D Fleet'!$J$5:$J$36,INT(($B15/N$4))+1)+(($B15/N$4)-INT(($B15/N$4)))*(INDEX('D Fleet'!$J$5:$J$36,INT(($B15/N$4))+2)-INDEX('D Fleet'!$J$5:$J$36,INT(($B15/N$4))+1)),0)</f>
        <v/>
      </c>
      <c r="P15" s="350">
        <f>E15*$D15*'E1 Fleet'!$D$97</f>
        <v/>
      </c>
      <c r="Q15" s="350">
        <f>F15*$D15*'E1 Fleet'!$D$97</f>
        <v/>
      </c>
      <c r="R15" s="350">
        <f>G15*$D15*'E1 Fleet'!$D$97</f>
        <v/>
      </c>
      <c r="S15" s="350">
        <f>H15*$D15*'E1 Fleet'!$D$97</f>
        <v/>
      </c>
      <c r="T15" s="350">
        <f>I15*$D15*'E1 Fleet'!$D$97</f>
        <v/>
      </c>
      <c r="U15" s="350">
        <f>J15*$D15*'E1 Fleet'!$D$97</f>
        <v/>
      </c>
      <c r="V15" s="350">
        <f>K15*$D15*'E1 Fleet'!$D$97</f>
        <v/>
      </c>
      <c r="W15" s="350">
        <f>L15*$D15*'E1 Fleet'!$D$97</f>
        <v/>
      </c>
      <c r="X15" s="350">
        <f>M15*$D15*'E1 Fleet'!$D$97</f>
        <v/>
      </c>
      <c r="Y15" s="350">
        <f>N15*$D15*'E1 Fleet'!$D$97</f>
        <v/>
      </c>
    </row>
    <row r="16">
      <c r="A16" t="inlineStr">
        <is>
          <t>Car</t>
        </is>
      </c>
      <c r="B16" s="456" t="n">
        <v>9</v>
      </c>
      <c r="C16" s="456" t="n">
        <v>3</v>
      </c>
      <c r="D16" s="348">
        <f>IF($B16=0,'E1 Fleet'!$D$93,1)*EXP(-'E1 Fleet'!$D$94*MAX($B16-6,0))</f>
        <v/>
      </c>
      <c r="E16" s="350">
        <f>IFERROR(INDEX('D Fleet'!$C$5:$C$63,MATCH(E$3-$B16,'D Fleet'!$B$5:$B$63,0)),0)*IFERROR(INDEX('D Fleet'!$J$5:$J$36,INT(($B16/E$4))+1)+(($B16/E$4)-INT(($B16/E$4)))*(INDEX('D Fleet'!$J$5:$J$36,INT(($B16/E$4))+2)-INDEX('D Fleet'!$J$5:$J$36,INT(($B16/E$4))+1)),0)</f>
        <v/>
      </c>
      <c r="F16" s="350">
        <f>IFERROR(INDEX('D Fleet'!$C$5:$C$63,MATCH(F$3-$B16,'D Fleet'!$B$5:$B$63,0)),0)*IFERROR(INDEX('D Fleet'!$J$5:$J$36,INT(($B16/F$4))+1)+(($B16/F$4)-INT(($B16/F$4)))*(INDEX('D Fleet'!$J$5:$J$36,INT(($B16/F$4))+2)-INDEX('D Fleet'!$J$5:$J$36,INT(($B16/F$4))+1)),0)</f>
        <v/>
      </c>
      <c r="G16" s="350">
        <f>IFERROR(INDEX('D Fleet'!$C$5:$C$63,MATCH(G$3-$B16,'D Fleet'!$B$5:$B$63,0)),0)*IFERROR(INDEX('D Fleet'!$J$5:$J$36,INT(($B16/G$4))+1)+(($B16/G$4)-INT(($B16/G$4)))*(INDEX('D Fleet'!$J$5:$J$36,INT(($B16/G$4))+2)-INDEX('D Fleet'!$J$5:$J$36,INT(($B16/G$4))+1)),0)</f>
        <v/>
      </c>
      <c r="H16" s="350">
        <f>IFERROR(INDEX('D Fleet'!$C$5:$C$63,MATCH(H$3-$B16,'D Fleet'!$B$5:$B$63,0)),0)*IFERROR(INDEX('D Fleet'!$J$5:$J$36,INT(($B16/H$4))+1)+(($B16/H$4)-INT(($B16/H$4)))*(INDEX('D Fleet'!$J$5:$J$36,INT(($B16/H$4))+2)-INDEX('D Fleet'!$J$5:$J$36,INT(($B16/H$4))+1)),0)</f>
        <v/>
      </c>
      <c r="I16" s="350">
        <f>IFERROR(INDEX('D Fleet'!$C$5:$C$63,MATCH(I$3-$B16,'D Fleet'!$B$5:$B$63,0)),0)*IFERROR(INDEX('D Fleet'!$J$5:$J$36,INT(($B16/I$4))+1)+(($B16/I$4)-INT(($B16/I$4)))*(INDEX('D Fleet'!$J$5:$J$36,INT(($B16/I$4))+2)-INDEX('D Fleet'!$J$5:$J$36,INT(($B16/I$4))+1)),0)</f>
        <v/>
      </c>
      <c r="J16" s="350">
        <f>IFERROR(INDEX('D Fleet'!$C$5:$C$63,MATCH(J$3-$B16,'D Fleet'!$B$5:$B$63,0)),0)*IFERROR(INDEX('D Fleet'!$J$5:$J$36,INT(($B16/J$4))+1)+(($B16/J$4)-INT(($B16/J$4)))*(INDEX('D Fleet'!$J$5:$J$36,INT(($B16/J$4))+2)-INDEX('D Fleet'!$J$5:$J$36,INT(($B16/J$4))+1)),0)</f>
        <v/>
      </c>
      <c r="K16" s="350">
        <f>IFERROR(INDEX('D Fleet'!$C$5:$C$63,MATCH(K$3-$B16,'D Fleet'!$B$5:$B$63,0)),0)*IFERROR(INDEX('D Fleet'!$J$5:$J$36,INT(($B16/K$4))+1)+(($B16/K$4)-INT(($B16/K$4)))*(INDEX('D Fleet'!$J$5:$J$36,INT(($B16/K$4))+2)-INDEX('D Fleet'!$J$5:$J$36,INT(($B16/K$4))+1)),0)</f>
        <v/>
      </c>
      <c r="L16" s="350">
        <f>IFERROR(INDEX('D Fleet'!$C$5:$C$63,MATCH(L$3-$B16,'D Fleet'!$B$5:$B$63,0)),0)*IFERROR(INDEX('D Fleet'!$J$5:$J$36,INT(($B16/L$4))+1)+(($B16/L$4)-INT(($B16/L$4)))*(INDEX('D Fleet'!$J$5:$J$36,INT(($B16/L$4))+2)-INDEX('D Fleet'!$J$5:$J$36,INT(($B16/L$4))+1)),0)</f>
        <v/>
      </c>
      <c r="M16" s="350">
        <f>IFERROR(INDEX('D Fleet'!$C$5:$C$63,MATCH(M$3-$B16,'D Fleet'!$B$5:$B$63,0)),0)*IFERROR(INDEX('D Fleet'!$J$5:$J$36,INT(($B16/M$4))+1)+(($B16/M$4)-INT(($B16/M$4)))*(INDEX('D Fleet'!$J$5:$J$36,INT(($B16/M$4))+2)-INDEX('D Fleet'!$J$5:$J$36,INT(($B16/M$4))+1)),0)</f>
        <v/>
      </c>
      <c r="N16" s="350">
        <f>IFERROR(INDEX('D Fleet'!$C$5:$C$63,MATCH(N$3-$B16,'D Fleet'!$B$5:$B$63,0)),0)*IFERROR(INDEX('D Fleet'!$J$5:$J$36,INT(($B16/N$4))+1)+(($B16/N$4)-INT(($B16/N$4)))*(INDEX('D Fleet'!$J$5:$J$36,INT(($B16/N$4))+2)-INDEX('D Fleet'!$J$5:$J$36,INT(($B16/N$4))+1)),0)</f>
        <v/>
      </c>
      <c r="P16" s="350">
        <f>E16*$D16*'E1 Fleet'!$D$97</f>
        <v/>
      </c>
      <c r="Q16" s="350">
        <f>F16*$D16*'E1 Fleet'!$D$97</f>
        <v/>
      </c>
      <c r="R16" s="350">
        <f>G16*$D16*'E1 Fleet'!$D$97</f>
        <v/>
      </c>
      <c r="S16" s="350">
        <f>H16*$D16*'E1 Fleet'!$D$97</f>
        <v/>
      </c>
      <c r="T16" s="350">
        <f>I16*$D16*'E1 Fleet'!$D$97</f>
        <v/>
      </c>
      <c r="U16" s="350">
        <f>J16*$D16*'E1 Fleet'!$D$97</f>
        <v/>
      </c>
      <c r="V16" s="350">
        <f>K16*$D16*'E1 Fleet'!$D$97</f>
        <v/>
      </c>
      <c r="W16" s="350">
        <f>L16*$D16*'E1 Fleet'!$D$97</f>
        <v/>
      </c>
      <c r="X16" s="350">
        <f>M16*$D16*'E1 Fleet'!$D$97</f>
        <v/>
      </c>
      <c r="Y16" s="350">
        <f>N16*$D16*'E1 Fleet'!$D$97</f>
        <v/>
      </c>
    </row>
    <row r="17">
      <c r="A17" t="inlineStr">
        <is>
          <t>Car</t>
        </is>
      </c>
      <c r="B17" s="456" t="n">
        <v>10</v>
      </c>
      <c r="C17" s="456" t="n">
        <v>3</v>
      </c>
      <c r="D17" s="348">
        <f>IF($B17=0,'E1 Fleet'!$D$93,1)*EXP(-'E1 Fleet'!$D$94*MAX($B17-6,0))</f>
        <v/>
      </c>
      <c r="E17" s="350">
        <f>IFERROR(INDEX('D Fleet'!$C$5:$C$63,MATCH(E$3-$B17,'D Fleet'!$B$5:$B$63,0)),0)*IFERROR(INDEX('D Fleet'!$J$5:$J$36,INT(($B17/E$4))+1)+(($B17/E$4)-INT(($B17/E$4)))*(INDEX('D Fleet'!$J$5:$J$36,INT(($B17/E$4))+2)-INDEX('D Fleet'!$J$5:$J$36,INT(($B17/E$4))+1)),0)</f>
        <v/>
      </c>
      <c r="F17" s="350">
        <f>IFERROR(INDEX('D Fleet'!$C$5:$C$63,MATCH(F$3-$B17,'D Fleet'!$B$5:$B$63,0)),0)*IFERROR(INDEX('D Fleet'!$J$5:$J$36,INT(($B17/F$4))+1)+(($B17/F$4)-INT(($B17/F$4)))*(INDEX('D Fleet'!$J$5:$J$36,INT(($B17/F$4))+2)-INDEX('D Fleet'!$J$5:$J$36,INT(($B17/F$4))+1)),0)</f>
        <v/>
      </c>
      <c r="G17" s="350">
        <f>IFERROR(INDEX('D Fleet'!$C$5:$C$63,MATCH(G$3-$B17,'D Fleet'!$B$5:$B$63,0)),0)*IFERROR(INDEX('D Fleet'!$J$5:$J$36,INT(($B17/G$4))+1)+(($B17/G$4)-INT(($B17/G$4)))*(INDEX('D Fleet'!$J$5:$J$36,INT(($B17/G$4))+2)-INDEX('D Fleet'!$J$5:$J$36,INT(($B17/G$4))+1)),0)</f>
        <v/>
      </c>
      <c r="H17" s="350">
        <f>IFERROR(INDEX('D Fleet'!$C$5:$C$63,MATCH(H$3-$B17,'D Fleet'!$B$5:$B$63,0)),0)*IFERROR(INDEX('D Fleet'!$J$5:$J$36,INT(($B17/H$4))+1)+(($B17/H$4)-INT(($B17/H$4)))*(INDEX('D Fleet'!$J$5:$J$36,INT(($B17/H$4))+2)-INDEX('D Fleet'!$J$5:$J$36,INT(($B17/H$4))+1)),0)</f>
        <v/>
      </c>
      <c r="I17" s="350">
        <f>IFERROR(INDEX('D Fleet'!$C$5:$C$63,MATCH(I$3-$B17,'D Fleet'!$B$5:$B$63,0)),0)*IFERROR(INDEX('D Fleet'!$J$5:$J$36,INT(($B17/I$4))+1)+(($B17/I$4)-INT(($B17/I$4)))*(INDEX('D Fleet'!$J$5:$J$36,INT(($B17/I$4))+2)-INDEX('D Fleet'!$J$5:$J$36,INT(($B17/I$4))+1)),0)</f>
        <v/>
      </c>
      <c r="J17" s="350">
        <f>IFERROR(INDEX('D Fleet'!$C$5:$C$63,MATCH(J$3-$B17,'D Fleet'!$B$5:$B$63,0)),0)*IFERROR(INDEX('D Fleet'!$J$5:$J$36,INT(($B17/J$4))+1)+(($B17/J$4)-INT(($B17/J$4)))*(INDEX('D Fleet'!$J$5:$J$36,INT(($B17/J$4))+2)-INDEX('D Fleet'!$J$5:$J$36,INT(($B17/J$4))+1)),0)</f>
        <v/>
      </c>
      <c r="K17" s="350">
        <f>IFERROR(INDEX('D Fleet'!$C$5:$C$63,MATCH(K$3-$B17,'D Fleet'!$B$5:$B$63,0)),0)*IFERROR(INDEX('D Fleet'!$J$5:$J$36,INT(($B17/K$4))+1)+(($B17/K$4)-INT(($B17/K$4)))*(INDEX('D Fleet'!$J$5:$J$36,INT(($B17/K$4))+2)-INDEX('D Fleet'!$J$5:$J$36,INT(($B17/K$4))+1)),0)</f>
        <v/>
      </c>
      <c r="L17" s="350">
        <f>IFERROR(INDEX('D Fleet'!$C$5:$C$63,MATCH(L$3-$B17,'D Fleet'!$B$5:$B$63,0)),0)*IFERROR(INDEX('D Fleet'!$J$5:$J$36,INT(($B17/L$4))+1)+(($B17/L$4)-INT(($B17/L$4)))*(INDEX('D Fleet'!$J$5:$J$36,INT(($B17/L$4))+2)-INDEX('D Fleet'!$J$5:$J$36,INT(($B17/L$4))+1)),0)</f>
        <v/>
      </c>
      <c r="M17" s="350">
        <f>IFERROR(INDEX('D Fleet'!$C$5:$C$63,MATCH(M$3-$B17,'D Fleet'!$B$5:$B$63,0)),0)*IFERROR(INDEX('D Fleet'!$J$5:$J$36,INT(($B17/M$4))+1)+(($B17/M$4)-INT(($B17/M$4)))*(INDEX('D Fleet'!$J$5:$J$36,INT(($B17/M$4))+2)-INDEX('D Fleet'!$J$5:$J$36,INT(($B17/M$4))+1)),0)</f>
        <v/>
      </c>
      <c r="N17" s="350">
        <f>IFERROR(INDEX('D Fleet'!$C$5:$C$63,MATCH(N$3-$B17,'D Fleet'!$B$5:$B$63,0)),0)*IFERROR(INDEX('D Fleet'!$J$5:$J$36,INT(($B17/N$4))+1)+(($B17/N$4)-INT(($B17/N$4)))*(INDEX('D Fleet'!$J$5:$J$36,INT(($B17/N$4))+2)-INDEX('D Fleet'!$J$5:$J$36,INT(($B17/N$4))+1)),0)</f>
        <v/>
      </c>
      <c r="P17" s="350">
        <f>E17*$D17*'E1 Fleet'!$D$97</f>
        <v/>
      </c>
      <c r="Q17" s="350">
        <f>F17*$D17*'E1 Fleet'!$D$97</f>
        <v/>
      </c>
      <c r="R17" s="350">
        <f>G17*$D17*'E1 Fleet'!$D$97</f>
        <v/>
      </c>
      <c r="S17" s="350">
        <f>H17*$D17*'E1 Fleet'!$D$97</f>
        <v/>
      </c>
      <c r="T17" s="350">
        <f>I17*$D17*'E1 Fleet'!$D$97</f>
        <v/>
      </c>
      <c r="U17" s="350">
        <f>J17*$D17*'E1 Fleet'!$D$97</f>
        <v/>
      </c>
      <c r="V17" s="350">
        <f>K17*$D17*'E1 Fleet'!$D$97</f>
        <v/>
      </c>
      <c r="W17" s="350">
        <f>L17*$D17*'E1 Fleet'!$D$97</f>
        <v/>
      </c>
      <c r="X17" s="350">
        <f>M17*$D17*'E1 Fleet'!$D$97</f>
        <v/>
      </c>
      <c r="Y17" s="350">
        <f>N17*$D17*'E1 Fleet'!$D$97</f>
        <v/>
      </c>
    </row>
    <row r="18">
      <c r="A18" t="inlineStr">
        <is>
          <t>Car</t>
        </is>
      </c>
      <c r="B18" s="456" t="n">
        <v>11</v>
      </c>
      <c r="C18" s="456" t="n">
        <v>3</v>
      </c>
      <c r="D18" s="348">
        <f>IF($B18=0,'E1 Fleet'!$D$93,1)*EXP(-'E1 Fleet'!$D$94*MAX($B18-6,0))</f>
        <v/>
      </c>
      <c r="E18" s="350">
        <f>IFERROR(INDEX('D Fleet'!$C$5:$C$63,MATCH(E$3-$B18,'D Fleet'!$B$5:$B$63,0)),0)*IFERROR(INDEX('D Fleet'!$J$5:$J$36,INT(($B18/E$4))+1)+(($B18/E$4)-INT(($B18/E$4)))*(INDEX('D Fleet'!$J$5:$J$36,INT(($B18/E$4))+2)-INDEX('D Fleet'!$J$5:$J$36,INT(($B18/E$4))+1)),0)</f>
        <v/>
      </c>
      <c r="F18" s="350">
        <f>IFERROR(INDEX('D Fleet'!$C$5:$C$63,MATCH(F$3-$B18,'D Fleet'!$B$5:$B$63,0)),0)*IFERROR(INDEX('D Fleet'!$J$5:$J$36,INT(($B18/F$4))+1)+(($B18/F$4)-INT(($B18/F$4)))*(INDEX('D Fleet'!$J$5:$J$36,INT(($B18/F$4))+2)-INDEX('D Fleet'!$J$5:$J$36,INT(($B18/F$4))+1)),0)</f>
        <v/>
      </c>
      <c r="G18" s="350">
        <f>IFERROR(INDEX('D Fleet'!$C$5:$C$63,MATCH(G$3-$B18,'D Fleet'!$B$5:$B$63,0)),0)*IFERROR(INDEX('D Fleet'!$J$5:$J$36,INT(($B18/G$4))+1)+(($B18/G$4)-INT(($B18/G$4)))*(INDEX('D Fleet'!$J$5:$J$36,INT(($B18/G$4))+2)-INDEX('D Fleet'!$J$5:$J$36,INT(($B18/G$4))+1)),0)</f>
        <v/>
      </c>
      <c r="H18" s="350">
        <f>IFERROR(INDEX('D Fleet'!$C$5:$C$63,MATCH(H$3-$B18,'D Fleet'!$B$5:$B$63,0)),0)*IFERROR(INDEX('D Fleet'!$J$5:$J$36,INT(($B18/H$4))+1)+(($B18/H$4)-INT(($B18/H$4)))*(INDEX('D Fleet'!$J$5:$J$36,INT(($B18/H$4))+2)-INDEX('D Fleet'!$J$5:$J$36,INT(($B18/H$4))+1)),0)</f>
        <v/>
      </c>
      <c r="I18" s="350">
        <f>IFERROR(INDEX('D Fleet'!$C$5:$C$63,MATCH(I$3-$B18,'D Fleet'!$B$5:$B$63,0)),0)*IFERROR(INDEX('D Fleet'!$J$5:$J$36,INT(($B18/I$4))+1)+(($B18/I$4)-INT(($B18/I$4)))*(INDEX('D Fleet'!$J$5:$J$36,INT(($B18/I$4))+2)-INDEX('D Fleet'!$J$5:$J$36,INT(($B18/I$4))+1)),0)</f>
        <v/>
      </c>
      <c r="J18" s="350">
        <f>IFERROR(INDEX('D Fleet'!$C$5:$C$63,MATCH(J$3-$B18,'D Fleet'!$B$5:$B$63,0)),0)*IFERROR(INDEX('D Fleet'!$J$5:$J$36,INT(($B18/J$4))+1)+(($B18/J$4)-INT(($B18/J$4)))*(INDEX('D Fleet'!$J$5:$J$36,INT(($B18/J$4))+2)-INDEX('D Fleet'!$J$5:$J$36,INT(($B18/J$4))+1)),0)</f>
        <v/>
      </c>
      <c r="K18" s="350">
        <f>IFERROR(INDEX('D Fleet'!$C$5:$C$63,MATCH(K$3-$B18,'D Fleet'!$B$5:$B$63,0)),0)*IFERROR(INDEX('D Fleet'!$J$5:$J$36,INT(($B18/K$4))+1)+(($B18/K$4)-INT(($B18/K$4)))*(INDEX('D Fleet'!$J$5:$J$36,INT(($B18/K$4))+2)-INDEX('D Fleet'!$J$5:$J$36,INT(($B18/K$4))+1)),0)</f>
        <v/>
      </c>
      <c r="L18" s="350">
        <f>IFERROR(INDEX('D Fleet'!$C$5:$C$63,MATCH(L$3-$B18,'D Fleet'!$B$5:$B$63,0)),0)*IFERROR(INDEX('D Fleet'!$J$5:$J$36,INT(($B18/L$4))+1)+(($B18/L$4)-INT(($B18/L$4)))*(INDEX('D Fleet'!$J$5:$J$36,INT(($B18/L$4))+2)-INDEX('D Fleet'!$J$5:$J$36,INT(($B18/L$4))+1)),0)</f>
        <v/>
      </c>
      <c r="M18" s="350">
        <f>IFERROR(INDEX('D Fleet'!$C$5:$C$63,MATCH(M$3-$B18,'D Fleet'!$B$5:$B$63,0)),0)*IFERROR(INDEX('D Fleet'!$J$5:$J$36,INT(($B18/M$4))+1)+(($B18/M$4)-INT(($B18/M$4)))*(INDEX('D Fleet'!$J$5:$J$36,INT(($B18/M$4))+2)-INDEX('D Fleet'!$J$5:$J$36,INT(($B18/M$4))+1)),0)</f>
        <v/>
      </c>
      <c r="N18" s="350">
        <f>IFERROR(INDEX('D Fleet'!$C$5:$C$63,MATCH(N$3-$B18,'D Fleet'!$B$5:$B$63,0)),0)*IFERROR(INDEX('D Fleet'!$J$5:$J$36,INT(($B18/N$4))+1)+(($B18/N$4)-INT(($B18/N$4)))*(INDEX('D Fleet'!$J$5:$J$36,INT(($B18/N$4))+2)-INDEX('D Fleet'!$J$5:$J$36,INT(($B18/N$4))+1)),0)</f>
        <v/>
      </c>
      <c r="P18" s="350">
        <f>E18*$D18*'E1 Fleet'!$D$97</f>
        <v/>
      </c>
      <c r="Q18" s="350">
        <f>F18*$D18*'E1 Fleet'!$D$97</f>
        <v/>
      </c>
      <c r="R18" s="350">
        <f>G18*$D18*'E1 Fleet'!$D$97</f>
        <v/>
      </c>
      <c r="S18" s="350">
        <f>H18*$D18*'E1 Fleet'!$D$97</f>
        <v/>
      </c>
      <c r="T18" s="350">
        <f>I18*$D18*'E1 Fleet'!$D$97</f>
        <v/>
      </c>
      <c r="U18" s="350">
        <f>J18*$D18*'E1 Fleet'!$D$97</f>
        <v/>
      </c>
      <c r="V18" s="350">
        <f>K18*$D18*'E1 Fleet'!$D$97</f>
        <v/>
      </c>
      <c r="W18" s="350">
        <f>L18*$D18*'E1 Fleet'!$D$97</f>
        <v/>
      </c>
      <c r="X18" s="350">
        <f>M18*$D18*'E1 Fleet'!$D$97</f>
        <v/>
      </c>
      <c r="Y18" s="350">
        <f>N18*$D18*'E1 Fleet'!$D$97</f>
        <v/>
      </c>
    </row>
    <row r="19">
      <c r="A19" t="inlineStr">
        <is>
          <t>Car</t>
        </is>
      </c>
      <c r="B19" s="456" t="n">
        <v>12</v>
      </c>
      <c r="C19" s="456" t="n">
        <v>3</v>
      </c>
      <c r="D19" s="348">
        <f>IF($B19=0,'E1 Fleet'!$D$93,1)*EXP(-'E1 Fleet'!$D$94*MAX($B19-6,0))</f>
        <v/>
      </c>
      <c r="E19" s="350">
        <f>IFERROR(INDEX('D Fleet'!$C$5:$C$63,MATCH(E$3-$B19,'D Fleet'!$B$5:$B$63,0)),0)*IFERROR(INDEX('D Fleet'!$J$5:$J$36,INT(($B19/E$4))+1)+(($B19/E$4)-INT(($B19/E$4)))*(INDEX('D Fleet'!$J$5:$J$36,INT(($B19/E$4))+2)-INDEX('D Fleet'!$J$5:$J$36,INT(($B19/E$4))+1)),0)</f>
        <v/>
      </c>
      <c r="F19" s="350">
        <f>IFERROR(INDEX('D Fleet'!$C$5:$C$63,MATCH(F$3-$B19,'D Fleet'!$B$5:$B$63,0)),0)*IFERROR(INDEX('D Fleet'!$J$5:$J$36,INT(($B19/F$4))+1)+(($B19/F$4)-INT(($B19/F$4)))*(INDEX('D Fleet'!$J$5:$J$36,INT(($B19/F$4))+2)-INDEX('D Fleet'!$J$5:$J$36,INT(($B19/F$4))+1)),0)</f>
        <v/>
      </c>
      <c r="G19" s="350">
        <f>IFERROR(INDEX('D Fleet'!$C$5:$C$63,MATCH(G$3-$B19,'D Fleet'!$B$5:$B$63,0)),0)*IFERROR(INDEX('D Fleet'!$J$5:$J$36,INT(($B19/G$4))+1)+(($B19/G$4)-INT(($B19/G$4)))*(INDEX('D Fleet'!$J$5:$J$36,INT(($B19/G$4))+2)-INDEX('D Fleet'!$J$5:$J$36,INT(($B19/G$4))+1)),0)</f>
        <v/>
      </c>
      <c r="H19" s="350">
        <f>IFERROR(INDEX('D Fleet'!$C$5:$C$63,MATCH(H$3-$B19,'D Fleet'!$B$5:$B$63,0)),0)*IFERROR(INDEX('D Fleet'!$J$5:$J$36,INT(($B19/H$4))+1)+(($B19/H$4)-INT(($B19/H$4)))*(INDEX('D Fleet'!$J$5:$J$36,INT(($B19/H$4))+2)-INDEX('D Fleet'!$J$5:$J$36,INT(($B19/H$4))+1)),0)</f>
        <v/>
      </c>
      <c r="I19" s="350">
        <f>IFERROR(INDEX('D Fleet'!$C$5:$C$63,MATCH(I$3-$B19,'D Fleet'!$B$5:$B$63,0)),0)*IFERROR(INDEX('D Fleet'!$J$5:$J$36,INT(($B19/I$4))+1)+(($B19/I$4)-INT(($B19/I$4)))*(INDEX('D Fleet'!$J$5:$J$36,INT(($B19/I$4))+2)-INDEX('D Fleet'!$J$5:$J$36,INT(($B19/I$4))+1)),0)</f>
        <v/>
      </c>
      <c r="J19" s="350">
        <f>IFERROR(INDEX('D Fleet'!$C$5:$C$63,MATCH(J$3-$B19,'D Fleet'!$B$5:$B$63,0)),0)*IFERROR(INDEX('D Fleet'!$J$5:$J$36,INT(($B19/J$4))+1)+(($B19/J$4)-INT(($B19/J$4)))*(INDEX('D Fleet'!$J$5:$J$36,INT(($B19/J$4))+2)-INDEX('D Fleet'!$J$5:$J$36,INT(($B19/J$4))+1)),0)</f>
        <v/>
      </c>
      <c r="K19" s="350">
        <f>IFERROR(INDEX('D Fleet'!$C$5:$C$63,MATCH(K$3-$B19,'D Fleet'!$B$5:$B$63,0)),0)*IFERROR(INDEX('D Fleet'!$J$5:$J$36,INT(($B19/K$4))+1)+(($B19/K$4)-INT(($B19/K$4)))*(INDEX('D Fleet'!$J$5:$J$36,INT(($B19/K$4))+2)-INDEX('D Fleet'!$J$5:$J$36,INT(($B19/K$4))+1)),0)</f>
        <v/>
      </c>
      <c r="L19" s="350">
        <f>IFERROR(INDEX('D Fleet'!$C$5:$C$63,MATCH(L$3-$B19,'D Fleet'!$B$5:$B$63,0)),0)*IFERROR(INDEX('D Fleet'!$J$5:$J$36,INT(($B19/L$4))+1)+(($B19/L$4)-INT(($B19/L$4)))*(INDEX('D Fleet'!$J$5:$J$36,INT(($B19/L$4))+2)-INDEX('D Fleet'!$J$5:$J$36,INT(($B19/L$4))+1)),0)</f>
        <v/>
      </c>
      <c r="M19" s="350">
        <f>IFERROR(INDEX('D Fleet'!$C$5:$C$63,MATCH(M$3-$B19,'D Fleet'!$B$5:$B$63,0)),0)*IFERROR(INDEX('D Fleet'!$J$5:$J$36,INT(($B19/M$4))+1)+(($B19/M$4)-INT(($B19/M$4)))*(INDEX('D Fleet'!$J$5:$J$36,INT(($B19/M$4))+2)-INDEX('D Fleet'!$J$5:$J$36,INT(($B19/M$4))+1)),0)</f>
        <v/>
      </c>
      <c r="N19" s="350">
        <f>IFERROR(INDEX('D Fleet'!$C$5:$C$63,MATCH(N$3-$B19,'D Fleet'!$B$5:$B$63,0)),0)*IFERROR(INDEX('D Fleet'!$J$5:$J$36,INT(($B19/N$4))+1)+(($B19/N$4)-INT(($B19/N$4)))*(INDEX('D Fleet'!$J$5:$J$36,INT(($B19/N$4))+2)-INDEX('D Fleet'!$J$5:$J$36,INT(($B19/N$4))+1)),0)</f>
        <v/>
      </c>
      <c r="P19" s="350">
        <f>E19*$D19*'E1 Fleet'!$D$97</f>
        <v/>
      </c>
      <c r="Q19" s="350">
        <f>F19*$D19*'E1 Fleet'!$D$97</f>
        <v/>
      </c>
      <c r="R19" s="350">
        <f>G19*$D19*'E1 Fleet'!$D$97</f>
        <v/>
      </c>
      <c r="S19" s="350">
        <f>H19*$D19*'E1 Fleet'!$D$97</f>
        <v/>
      </c>
      <c r="T19" s="350">
        <f>I19*$D19*'E1 Fleet'!$D$97</f>
        <v/>
      </c>
      <c r="U19" s="350">
        <f>J19*$D19*'E1 Fleet'!$D$97</f>
        <v/>
      </c>
      <c r="V19" s="350">
        <f>K19*$D19*'E1 Fleet'!$D$97</f>
        <v/>
      </c>
      <c r="W19" s="350">
        <f>L19*$D19*'E1 Fleet'!$D$97</f>
        <v/>
      </c>
      <c r="X19" s="350">
        <f>M19*$D19*'E1 Fleet'!$D$97</f>
        <v/>
      </c>
      <c r="Y19" s="350">
        <f>N19*$D19*'E1 Fleet'!$D$97</f>
        <v/>
      </c>
    </row>
    <row r="20">
      <c r="A20" t="inlineStr">
        <is>
          <t>Car</t>
        </is>
      </c>
      <c r="B20" s="456" t="n">
        <v>13</v>
      </c>
      <c r="C20" s="456" t="n">
        <v>3</v>
      </c>
      <c r="D20" s="348">
        <f>IF($B20=0,'E1 Fleet'!$D$93,1)*EXP(-'E1 Fleet'!$D$94*MAX($B20-6,0))</f>
        <v/>
      </c>
      <c r="E20" s="350">
        <f>IFERROR(INDEX('D Fleet'!$C$5:$C$63,MATCH(E$3-$B20,'D Fleet'!$B$5:$B$63,0)),0)*IFERROR(INDEX('D Fleet'!$J$5:$J$36,INT(($B20/E$4))+1)+(($B20/E$4)-INT(($B20/E$4)))*(INDEX('D Fleet'!$J$5:$J$36,INT(($B20/E$4))+2)-INDEX('D Fleet'!$J$5:$J$36,INT(($B20/E$4))+1)),0)</f>
        <v/>
      </c>
      <c r="F20" s="350">
        <f>IFERROR(INDEX('D Fleet'!$C$5:$C$63,MATCH(F$3-$B20,'D Fleet'!$B$5:$B$63,0)),0)*IFERROR(INDEX('D Fleet'!$J$5:$J$36,INT(($B20/F$4))+1)+(($B20/F$4)-INT(($B20/F$4)))*(INDEX('D Fleet'!$J$5:$J$36,INT(($B20/F$4))+2)-INDEX('D Fleet'!$J$5:$J$36,INT(($B20/F$4))+1)),0)</f>
        <v/>
      </c>
      <c r="G20" s="350">
        <f>IFERROR(INDEX('D Fleet'!$C$5:$C$63,MATCH(G$3-$B20,'D Fleet'!$B$5:$B$63,0)),0)*IFERROR(INDEX('D Fleet'!$J$5:$J$36,INT(($B20/G$4))+1)+(($B20/G$4)-INT(($B20/G$4)))*(INDEX('D Fleet'!$J$5:$J$36,INT(($B20/G$4))+2)-INDEX('D Fleet'!$J$5:$J$36,INT(($B20/G$4))+1)),0)</f>
        <v/>
      </c>
      <c r="H20" s="350">
        <f>IFERROR(INDEX('D Fleet'!$C$5:$C$63,MATCH(H$3-$B20,'D Fleet'!$B$5:$B$63,0)),0)*IFERROR(INDEX('D Fleet'!$J$5:$J$36,INT(($B20/H$4))+1)+(($B20/H$4)-INT(($B20/H$4)))*(INDEX('D Fleet'!$J$5:$J$36,INT(($B20/H$4))+2)-INDEX('D Fleet'!$J$5:$J$36,INT(($B20/H$4))+1)),0)</f>
        <v/>
      </c>
      <c r="I20" s="350">
        <f>IFERROR(INDEX('D Fleet'!$C$5:$C$63,MATCH(I$3-$B20,'D Fleet'!$B$5:$B$63,0)),0)*IFERROR(INDEX('D Fleet'!$J$5:$J$36,INT(($B20/I$4))+1)+(($B20/I$4)-INT(($B20/I$4)))*(INDEX('D Fleet'!$J$5:$J$36,INT(($B20/I$4))+2)-INDEX('D Fleet'!$J$5:$J$36,INT(($B20/I$4))+1)),0)</f>
        <v/>
      </c>
      <c r="J20" s="350">
        <f>IFERROR(INDEX('D Fleet'!$C$5:$C$63,MATCH(J$3-$B20,'D Fleet'!$B$5:$B$63,0)),0)*IFERROR(INDEX('D Fleet'!$J$5:$J$36,INT(($B20/J$4))+1)+(($B20/J$4)-INT(($B20/J$4)))*(INDEX('D Fleet'!$J$5:$J$36,INT(($B20/J$4))+2)-INDEX('D Fleet'!$J$5:$J$36,INT(($B20/J$4))+1)),0)</f>
        <v/>
      </c>
      <c r="K20" s="350">
        <f>IFERROR(INDEX('D Fleet'!$C$5:$C$63,MATCH(K$3-$B20,'D Fleet'!$B$5:$B$63,0)),0)*IFERROR(INDEX('D Fleet'!$J$5:$J$36,INT(($B20/K$4))+1)+(($B20/K$4)-INT(($B20/K$4)))*(INDEX('D Fleet'!$J$5:$J$36,INT(($B20/K$4))+2)-INDEX('D Fleet'!$J$5:$J$36,INT(($B20/K$4))+1)),0)</f>
        <v/>
      </c>
      <c r="L20" s="350">
        <f>IFERROR(INDEX('D Fleet'!$C$5:$C$63,MATCH(L$3-$B20,'D Fleet'!$B$5:$B$63,0)),0)*IFERROR(INDEX('D Fleet'!$J$5:$J$36,INT(($B20/L$4))+1)+(($B20/L$4)-INT(($B20/L$4)))*(INDEX('D Fleet'!$J$5:$J$36,INT(($B20/L$4))+2)-INDEX('D Fleet'!$J$5:$J$36,INT(($B20/L$4))+1)),0)</f>
        <v/>
      </c>
      <c r="M20" s="350">
        <f>IFERROR(INDEX('D Fleet'!$C$5:$C$63,MATCH(M$3-$B20,'D Fleet'!$B$5:$B$63,0)),0)*IFERROR(INDEX('D Fleet'!$J$5:$J$36,INT(($B20/M$4))+1)+(($B20/M$4)-INT(($B20/M$4)))*(INDEX('D Fleet'!$J$5:$J$36,INT(($B20/M$4))+2)-INDEX('D Fleet'!$J$5:$J$36,INT(($B20/M$4))+1)),0)</f>
        <v/>
      </c>
      <c r="N20" s="350">
        <f>IFERROR(INDEX('D Fleet'!$C$5:$C$63,MATCH(N$3-$B20,'D Fleet'!$B$5:$B$63,0)),0)*IFERROR(INDEX('D Fleet'!$J$5:$J$36,INT(($B20/N$4))+1)+(($B20/N$4)-INT(($B20/N$4)))*(INDEX('D Fleet'!$J$5:$J$36,INT(($B20/N$4))+2)-INDEX('D Fleet'!$J$5:$J$36,INT(($B20/N$4))+1)),0)</f>
        <v/>
      </c>
      <c r="P20" s="350">
        <f>E20*$D20*'E1 Fleet'!$D$97</f>
        <v/>
      </c>
      <c r="Q20" s="350">
        <f>F20*$D20*'E1 Fleet'!$D$97</f>
        <v/>
      </c>
      <c r="R20" s="350">
        <f>G20*$D20*'E1 Fleet'!$D$97</f>
        <v/>
      </c>
      <c r="S20" s="350">
        <f>H20*$D20*'E1 Fleet'!$D$97</f>
        <v/>
      </c>
      <c r="T20" s="350">
        <f>I20*$D20*'E1 Fleet'!$D$97</f>
        <v/>
      </c>
      <c r="U20" s="350">
        <f>J20*$D20*'E1 Fleet'!$D$97</f>
        <v/>
      </c>
      <c r="V20" s="350">
        <f>K20*$D20*'E1 Fleet'!$D$97</f>
        <v/>
      </c>
      <c r="W20" s="350">
        <f>L20*$D20*'E1 Fleet'!$D$97</f>
        <v/>
      </c>
      <c r="X20" s="350">
        <f>M20*$D20*'E1 Fleet'!$D$97</f>
        <v/>
      </c>
      <c r="Y20" s="350">
        <f>N20*$D20*'E1 Fleet'!$D$97</f>
        <v/>
      </c>
    </row>
    <row r="21">
      <c r="A21" t="inlineStr">
        <is>
          <t>Car</t>
        </is>
      </c>
      <c r="B21" s="456" t="n">
        <v>14</v>
      </c>
      <c r="C21" s="456" t="n">
        <v>3</v>
      </c>
      <c r="D21" s="348">
        <f>IF($B21=0,'E1 Fleet'!$D$93,1)*EXP(-'E1 Fleet'!$D$94*MAX($B21-6,0))</f>
        <v/>
      </c>
      <c r="E21" s="350">
        <f>IFERROR(INDEX('D Fleet'!$C$5:$C$63,MATCH(E$3-$B21,'D Fleet'!$B$5:$B$63,0)),0)*IFERROR(INDEX('D Fleet'!$J$5:$J$36,INT(($B21/E$4))+1)+(($B21/E$4)-INT(($B21/E$4)))*(INDEX('D Fleet'!$J$5:$J$36,INT(($B21/E$4))+2)-INDEX('D Fleet'!$J$5:$J$36,INT(($B21/E$4))+1)),0)</f>
        <v/>
      </c>
      <c r="F21" s="350">
        <f>IFERROR(INDEX('D Fleet'!$C$5:$C$63,MATCH(F$3-$B21,'D Fleet'!$B$5:$B$63,0)),0)*IFERROR(INDEX('D Fleet'!$J$5:$J$36,INT(($B21/F$4))+1)+(($B21/F$4)-INT(($B21/F$4)))*(INDEX('D Fleet'!$J$5:$J$36,INT(($B21/F$4))+2)-INDEX('D Fleet'!$J$5:$J$36,INT(($B21/F$4))+1)),0)</f>
        <v/>
      </c>
      <c r="G21" s="350">
        <f>IFERROR(INDEX('D Fleet'!$C$5:$C$63,MATCH(G$3-$B21,'D Fleet'!$B$5:$B$63,0)),0)*IFERROR(INDEX('D Fleet'!$J$5:$J$36,INT(($B21/G$4))+1)+(($B21/G$4)-INT(($B21/G$4)))*(INDEX('D Fleet'!$J$5:$J$36,INT(($B21/G$4))+2)-INDEX('D Fleet'!$J$5:$J$36,INT(($B21/G$4))+1)),0)</f>
        <v/>
      </c>
      <c r="H21" s="350">
        <f>IFERROR(INDEX('D Fleet'!$C$5:$C$63,MATCH(H$3-$B21,'D Fleet'!$B$5:$B$63,0)),0)*IFERROR(INDEX('D Fleet'!$J$5:$J$36,INT(($B21/H$4))+1)+(($B21/H$4)-INT(($B21/H$4)))*(INDEX('D Fleet'!$J$5:$J$36,INT(($B21/H$4))+2)-INDEX('D Fleet'!$J$5:$J$36,INT(($B21/H$4))+1)),0)</f>
        <v/>
      </c>
      <c r="I21" s="350">
        <f>IFERROR(INDEX('D Fleet'!$C$5:$C$63,MATCH(I$3-$B21,'D Fleet'!$B$5:$B$63,0)),0)*IFERROR(INDEX('D Fleet'!$J$5:$J$36,INT(($B21/I$4))+1)+(($B21/I$4)-INT(($B21/I$4)))*(INDEX('D Fleet'!$J$5:$J$36,INT(($B21/I$4))+2)-INDEX('D Fleet'!$J$5:$J$36,INT(($B21/I$4))+1)),0)</f>
        <v/>
      </c>
      <c r="J21" s="350">
        <f>IFERROR(INDEX('D Fleet'!$C$5:$C$63,MATCH(J$3-$B21,'D Fleet'!$B$5:$B$63,0)),0)*IFERROR(INDEX('D Fleet'!$J$5:$J$36,INT(($B21/J$4))+1)+(($B21/J$4)-INT(($B21/J$4)))*(INDEX('D Fleet'!$J$5:$J$36,INT(($B21/J$4))+2)-INDEX('D Fleet'!$J$5:$J$36,INT(($B21/J$4))+1)),0)</f>
        <v/>
      </c>
      <c r="K21" s="350">
        <f>IFERROR(INDEX('D Fleet'!$C$5:$C$63,MATCH(K$3-$B21,'D Fleet'!$B$5:$B$63,0)),0)*IFERROR(INDEX('D Fleet'!$J$5:$J$36,INT(($B21/K$4))+1)+(($B21/K$4)-INT(($B21/K$4)))*(INDEX('D Fleet'!$J$5:$J$36,INT(($B21/K$4))+2)-INDEX('D Fleet'!$J$5:$J$36,INT(($B21/K$4))+1)),0)</f>
        <v/>
      </c>
      <c r="L21" s="350">
        <f>IFERROR(INDEX('D Fleet'!$C$5:$C$63,MATCH(L$3-$B21,'D Fleet'!$B$5:$B$63,0)),0)*IFERROR(INDEX('D Fleet'!$J$5:$J$36,INT(($B21/L$4))+1)+(($B21/L$4)-INT(($B21/L$4)))*(INDEX('D Fleet'!$J$5:$J$36,INT(($B21/L$4))+2)-INDEX('D Fleet'!$J$5:$J$36,INT(($B21/L$4))+1)),0)</f>
        <v/>
      </c>
      <c r="M21" s="350">
        <f>IFERROR(INDEX('D Fleet'!$C$5:$C$63,MATCH(M$3-$B21,'D Fleet'!$B$5:$B$63,0)),0)*IFERROR(INDEX('D Fleet'!$J$5:$J$36,INT(($B21/M$4))+1)+(($B21/M$4)-INT(($B21/M$4)))*(INDEX('D Fleet'!$J$5:$J$36,INT(($B21/M$4))+2)-INDEX('D Fleet'!$J$5:$J$36,INT(($B21/M$4))+1)),0)</f>
        <v/>
      </c>
      <c r="N21" s="350">
        <f>IFERROR(INDEX('D Fleet'!$C$5:$C$63,MATCH(N$3-$B21,'D Fleet'!$B$5:$B$63,0)),0)*IFERROR(INDEX('D Fleet'!$J$5:$J$36,INT(($B21/N$4))+1)+(($B21/N$4)-INT(($B21/N$4)))*(INDEX('D Fleet'!$J$5:$J$36,INT(($B21/N$4))+2)-INDEX('D Fleet'!$J$5:$J$36,INT(($B21/N$4))+1)),0)</f>
        <v/>
      </c>
      <c r="P21" s="350">
        <f>E21*$D21*'E1 Fleet'!$D$97</f>
        <v/>
      </c>
      <c r="Q21" s="350">
        <f>F21*$D21*'E1 Fleet'!$D$97</f>
        <v/>
      </c>
      <c r="R21" s="350">
        <f>G21*$D21*'E1 Fleet'!$D$97</f>
        <v/>
      </c>
      <c r="S21" s="350">
        <f>H21*$D21*'E1 Fleet'!$D$97</f>
        <v/>
      </c>
      <c r="T21" s="350">
        <f>I21*$D21*'E1 Fleet'!$D$97</f>
        <v/>
      </c>
      <c r="U21" s="350">
        <f>J21*$D21*'E1 Fleet'!$D$97</f>
        <v/>
      </c>
      <c r="V21" s="350">
        <f>K21*$D21*'E1 Fleet'!$D$97</f>
        <v/>
      </c>
      <c r="W21" s="350">
        <f>L21*$D21*'E1 Fleet'!$D$97</f>
        <v/>
      </c>
      <c r="X21" s="350">
        <f>M21*$D21*'E1 Fleet'!$D$97</f>
        <v/>
      </c>
      <c r="Y21" s="350">
        <f>N21*$D21*'E1 Fleet'!$D$97</f>
        <v/>
      </c>
    </row>
    <row r="22">
      <c r="A22" t="inlineStr">
        <is>
          <t>Car</t>
        </is>
      </c>
      <c r="B22" s="456" t="n">
        <v>15</v>
      </c>
      <c r="C22" s="456" t="n">
        <v>3</v>
      </c>
      <c r="D22" s="348">
        <f>IF($B22=0,'E1 Fleet'!$D$93,1)*EXP(-'E1 Fleet'!$D$94*MAX($B22-6,0))</f>
        <v/>
      </c>
      <c r="E22" s="350">
        <f>IFERROR(INDEX('D Fleet'!$C$5:$C$63,MATCH(E$3-$B22,'D Fleet'!$B$5:$B$63,0)),0)*IFERROR(INDEX('D Fleet'!$J$5:$J$36,INT(($B22/E$4))+1)+(($B22/E$4)-INT(($B22/E$4)))*(INDEX('D Fleet'!$J$5:$J$36,INT(($B22/E$4))+2)-INDEX('D Fleet'!$J$5:$J$36,INT(($B22/E$4))+1)),0)</f>
        <v/>
      </c>
      <c r="F22" s="350">
        <f>IFERROR(INDEX('D Fleet'!$C$5:$C$63,MATCH(F$3-$B22,'D Fleet'!$B$5:$B$63,0)),0)*IFERROR(INDEX('D Fleet'!$J$5:$J$36,INT(($B22/F$4))+1)+(($B22/F$4)-INT(($B22/F$4)))*(INDEX('D Fleet'!$J$5:$J$36,INT(($B22/F$4))+2)-INDEX('D Fleet'!$J$5:$J$36,INT(($B22/F$4))+1)),0)</f>
        <v/>
      </c>
      <c r="G22" s="350">
        <f>IFERROR(INDEX('D Fleet'!$C$5:$C$63,MATCH(G$3-$B22,'D Fleet'!$B$5:$B$63,0)),0)*IFERROR(INDEX('D Fleet'!$J$5:$J$36,INT(($B22/G$4))+1)+(($B22/G$4)-INT(($B22/G$4)))*(INDEX('D Fleet'!$J$5:$J$36,INT(($B22/G$4))+2)-INDEX('D Fleet'!$J$5:$J$36,INT(($B22/G$4))+1)),0)</f>
        <v/>
      </c>
      <c r="H22" s="350">
        <f>IFERROR(INDEX('D Fleet'!$C$5:$C$63,MATCH(H$3-$B22,'D Fleet'!$B$5:$B$63,0)),0)*IFERROR(INDEX('D Fleet'!$J$5:$J$36,INT(($B22/H$4))+1)+(($B22/H$4)-INT(($B22/H$4)))*(INDEX('D Fleet'!$J$5:$J$36,INT(($B22/H$4))+2)-INDEX('D Fleet'!$J$5:$J$36,INT(($B22/H$4))+1)),0)</f>
        <v/>
      </c>
      <c r="I22" s="350">
        <f>IFERROR(INDEX('D Fleet'!$C$5:$C$63,MATCH(I$3-$B22,'D Fleet'!$B$5:$B$63,0)),0)*IFERROR(INDEX('D Fleet'!$J$5:$J$36,INT(($B22/I$4))+1)+(($B22/I$4)-INT(($B22/I$4)))*(INDEX('D Fleet'!$J$5:$J$36,INT(($B22/I$4))+2)-INDEX('D Fleet'!$J$5:$J$36,INT(($B22/I$4))+1)),0)</f>
        <v/>
      </c>
      <c r="J22" s="350">
        <f>IFERROR(INDEX('D Fleet'!$C$5:$C$63,MATCH(J$3-$B22,'D Fleet'!$B$5:$B$63,0)),0)*IFERROR(INDEX('D Fleet'!$J$5:$J$36,INT(($B22/J$4))+1)+(($B22/J$4)-INT(($B22/J$4)))*(INDEX('D Fleet'!$J$5:$J$36,INT(($B22/J$4))+2)-INDEX('D Fleet'!$J$5:$J$36,INT(($B22/J$4))+1)),0)</f>
        <v/>
      </c>
      <c r="K22" s="350">
        <f>IFERROR(INDEX('D Fleet'!$C$5:$C$63,MATCH(K$3-$B22,'D Fleet'!$B$5:$B$63,0)),0)*IFERROR(INDEX('D Fleet'!$J$5:$J$36,INT(($B22/K$4))+1)+(($B22/K$4)-INT(($B22/K$4)))*(INDEX('D Fleet'!$J$5:$J$36,INT(($B22/K$4))+2)-INDEX('D Fleet'!$J$5:$J$36,INT(($B22/K$4))+1)),0)</f>
        <v/>
      </c>
      <c r="L22" s="350">
        <f>IFERROR(INDEX('D Fleet'!$C$5:$C$63,MATCH(L$3-$B22,'D Fleet'!$B$5:$B$63,0)),0)*IFERROR(INDEX('D Fleet'!$J$5:$J$36,INT(($B22/L$4))+1)+(($B22/L$4)-INT(($B22/L$4)))*(INDEX('D Fleet'!$J$5:$J$36,INT(($B22/L$4))+2)-INDEX('D Fleet'!$J$5:$J$36,INT(($B22/L$4))+1)),0)</f>
        <v/>
      </c>
      <c r="M22" s="350">
        <f>IFERROR(INDEX('D Fleet'!$C$5:$C$63,MATCH(M$3-$B22,'D Fleet'!$B$5:$B$63,0)),0)*IFERROR(INDEX('D Fleet'!$J$5:$J$36,INT(($B22/M$4))+1)+(($B22/M$4)-INT(($B22/M$4)))*(INDEX('D Fleet'!$J$5:$J$36,INT(($B22/M$4))+2)-INDEX('D Fleet'!$J$5:$J$36,INT(($B22/M$4))+1)),0)</f>
        <v/>
      </c>
      <c r="N22" s="350">
        <f>IFERROR(INDEX('D Fleet'!$C$5:$C$63,MATCH(N$3-$B22,'D Fleet'!$B$5:$B$63,0)),0)*IFERROR(INDEX('D Fleet'!$J$5:$J$36,INT(($B22/N$4))+1)+(($B22/N$4)-INT(($B22/N$4)))*(INDEX('D Fleet'!$J$5:$J$36,INT(($B22/N$4))+2)-INDEX('D Fleet'!$J$5:$J$36,INT(($B22/N$4))+1)),0)</f>
        <v/>
      </c>
      <c r="P22" s="350">
        <f>E22*$D22*'E1 Fleet'!$D$97</f>
        <v/>
      </c>
      <c r="Q22" s="350">
        <f>F22*$D22*'E1 Fleet'!$D$97</f>
        <v/>
      </c>
      <c r="R22" s="350">
        <f>G22*$D22*'E1 Fleet'!$D$97</f>
        <v/>
      </c>
      <c r="S22" s="350">
        <f>H22*$D22*'E1 Fleet'!$D$97</f>
        <v/>
      </c>
      <c r="T22" s="350">
        <f>I22*$D22*'E1 Fleet'!$D$97</f>
        <v/>
      </c>
      <c r="U22" s="350">
        <f>J22*$D22*'E1 Fleet'!$D$97</f>
        <v/>
      </c>
      <c r="V22" s="350">
        <f>K22*$D22*'E1 Fleet'!$D$97</f>
        <v/>
      </c>
      <c r="W22" s="350">
        <f>L22*$D22*'E1 Fleet'!$D$97</f>
        <v/>
      </c>
      <c r="X22" s="350">
        <f>M22*$D22*'E1 Fleet'!$D$97</f>
        <v/>
      </c>
      <c r="Y22" s="350">
        <f>N22*$D22*'E1 Fleet'!$D$97</f>
        <v/>
      </c>
    </row>
    <row r="23">
      <c r="A23" t="inlineStr">
        <is>
          <t>Car</t>
        </is>
      </c>
      <c r="B23" s="456" t="n">
        <v>16</v>
      </c>
      <c r="C23" s="456" t="n">
        <v>3</v>
      </c>
      <c r="D23" s="348">
        <f>IF($B23=0,'E1 Fleet'!$D$93,1)*EXP(-'E1 Fleet'!$D$94*MAX($B23-6,0))</f>
        <v/>
      </c>
      <c r="E23" s="350">
        <f>IFERROR(INDEX('D Fleet'!$C$5:$C$63,MATCH(E$3-$B23,'D Fleet'!$B$5:$B$63,0)),0)*IFERROR(INDEX('D Fleet'!$J$5:$J$36,INT(($B23/E$4))+1)+(($B23/E$4)-INT(($B23/E$4)))*(INDEX('D Fleet'!$J$5:$J$36,INT(($B23/E$4))+2)-INDEX('D Fleet'!$J$5:$J$36,INT(($B23/E$4))+1)),0)</f>
        <v/>
      </c>
      <c r="F23" s="350">
        <f>IFERROR(INDEX('D Fleet'!$C$5:$C$63,MATCH(F$3-$B23,'D Fleet'!$B$5:$B$63,0)),0)*IFERROR(INDEX('D Fleet'!$J$5:$J$36,INT(($B23/F$4))+1)+(($B23/F$4)-INT(($B23/F$4)))*(INDEX('D Fleet'!$J$5:$J$36,INT(($B23/F$4))+2)-INDEX('D Fleet'!$J$5:$J$36,INT(($B23/F$4))+1)),0)</f>
        <v/>
      </c>
      <c r="G23" s="350">
        <f>IFERROR(INDEX('D Fleet'!$C$5:$C$63,MATCH(G$3-$B23,'D Fleet'!$B$5:$B$63,0)),0)*IFERROR(INDEX('D Fleet'!$J$5:$J$36,INT(($B23/G$4))+1)+(($B23/G$4)-INT(($B23/G$4)))*(INDEX('D Fleet'!$J$5:$J$36,INT(($B23/G$4))+2)-INDEX('D Fleet'!$J$5:$J$36,INT(($B23/G$4))+1)),0)</f>
        <v/>
      </c>
      <c r="H23" s="350">
        <f>IFERROR(INDEX('D Fleet'!$C$5:$C$63,MATCH(H$3-$B23,'D Fleet'!$B$5:$B$63,0)),0)*IFERROR(INDEX('D Fleet'!$J$5:$J$36,INT(($B23/H$4))+1)+(($B23/H$4)-INT(($B23/H$4)))*(INDEX('D Fleet'!$J$5:$J$36,INT(($B23/H$4))+2)-INDEX('D Fleet'!$J$5:$J$36,INT(($B23/H$4))+1)),0)</f>
        <v/>
      </c>
      <c r="I23" s="350">
        <f>IFERROR(INDEX('D Fleet'!$C$5:$C$63,MATCH(I$3-$B23,'D Fleet'!$B$5:$B$63,0)),0)*IFERROR(INDEX('D Fleet'!$J$5:$J$36,INT(($B23/I$4))+1)+(($B23/I$4)-INT(($B23/I$4)))*(INDEX('D Fleet'!$J$5:$J$36,INT(($B23/I$4))+2)-INDEX('D Fleet'!$J$5:$J$36,INT(($B23/I$4))+1)),0)</f>
        <v/>
      </c>
      <c r="J23" s="350">
        <f>IFERROR(INDEX('D Fleet'!$C$5:$C$63,MATCH(J$3-$B23,'D Fleet'!$B$5:$B$63,0)),0)*IFERROR(INDEX('D Fleet'!$J$5:$J$36,INT(($B23/J$4))+1)+(($B23/J$4)-INT(($B23/J$4)))*(INDEX('D Fleet'!$J$5:$J$36,INT(($B23/J$4))+2)-INDEX('D Fleet'!$J$5:$J$36,INT(($B23/J$4))+1)),0)</f>
        <v/>
      </c>
      <c r="K23" s="350">
        <f>IFERROR(INDEX('D Fleet'!$C$5:$C$63,MATCH(K$3-$B23,'D Fleet'!$B$5:$B$63,0)),0)*IFERROR(INDEX('D Fleet'!$J$5:$J$36,INT(($B23/K$4))+1)+(($B23/K$4)-INT(($B23/K$4)))*(INDEX('D Fleet'!$J$5:$J$36,INT(($B23/K$4))+2)-INDEX('D Fleet'!$J$5:$J$36,INT(($B23/K$4))+1)),0)</f>
        <v/>
      </c>
      <c r="L23" s="350">
        <f>IFERROR(INDEX('D Fleet'!$C$5:$C$63,MATCH(L$3-$B23,'D Fleet'!$B$5:$B$63,0)),0)*IFERROR(INDEX('D Fleet'!$J$5:$J$36,INT(($B23/L$4))+1)+(($B23/L$4)-INT(($B23/L$4)))*(INDEX('D Fleet'!$J$5:$J$36,INT(($B23/L$4))+2)-INDEX('D Fleet'!$J$5:$J$36,INT(($B23/L$4))+1)),0)</f>
        <v/>
      </c>
      <c r="M23" s="350">
        <f>IFERROR(INDEX('D Fleet'!$C$5:$C$63,MATCH(M$3-$B23,'D Fleet'!$B$5:$B$63,0)),0)*IFERROR(INDEX('D Fleet'!$J$5:$J$36,INT(($B23/M$4))+1)+(($B23/M$4)-INT(($B23/M$4)))*(INDEX('D Fleet'!$J$5:$J$36,INT(($B23/M$4))+2)-INDEX('D Fleet'!$J$5:$J$36,INT(($B23/M$4))+1)),0)</f>
        <v/>
      </c>
      <c r="N23" s="350">
        <f>IFERROR(INDEX('D Fleet'!$C$5:$C$63,MATCH(N$3-$B23,'D Fleet'!$B$5:$B$63,0)),0)*IFERROR(INDEX('D Fleet'!$J$5:$J$36,INT(($B23/N$4))+1)+(($B23/N$4)-INT(($B23/N$4)))*(INDEX('D Fleet'!$J$5:$J$36,INT(($B23/N$4))+2)-INDEX('D Fleet'!$J$5:$J$36,INT(($B23/N$4))+1)),0)</f>
        <v/>
      </c>
      <c r="P23" s="350">
        <f>E23*$D23*'E1 Fleet'!$D$97</f>
        <v/>
      </c>
      <c r="Q23" s="350">
        <f>F23*$D23*'E1 Fleet'!$D$97</f>
        <v/>
      </c>
      <c r="R23" s="350">
        <f>G23*$D23*'E1 Fleet'!$D$97</f>
        <v/>
      </c>
      <c r="S23" s="350">
        <f>H23*$D23*'E1 Fleet'!$D$97</f>
        <v/>
      </c>
      <c r="T23" s="350">
        <f>I23*$D23*'E1 Fleet'!$D$97</f>
        <v/>
      </c>
      <c r="U23" s="350">
        <f>J23*$D23*'E1 Fleet'!$D$97</f>
        <v/>
      </c>
      <c r="V23" s="350">
        <f>K23*$D23*'E1 Fleet'!$D$97</f>
        <v/>
      </c>
      <c r="W23" s="350">
        <f>L23*$D23*'E1 Fleet'!$D$97</f>
        <v/>
      </c>
      <c r="X23" s="350">
        <f>M23*$D23*'E1 Fleet'!$D$97</f>
        <v/>
      </c>
      <c r="Y23" s="350">
        <f>N23*$D23*'E1 Fleet'!$D$97</f>
        <v/>
      </c>
    </row>
    <row r="24">
      <c r="A24" t="inlineStr">
        <is>
          <t>Car</t>
        </is>
      </c>
      <c r="B24" s="456" t="n">
        <v>17</v>
      </c>
      <c r="C24" s="456" t="n">
        <v>3</v>
      </c>
      <c r="D24" s="348">
        <f>IF($B24=0,'E1 Fleet'!$D$93,1)*EXP(-'E1 Fleet'!$D$94*MAX($B24-6,0))</f>
        <v/>
      </c>
      <c r="E24" s="350">
        <f>IFERROR(INDEX('D Fleet'!$C$5:$C$63,MATCH(E$3-$B24,'D Fleet'!$B$5:$B$63,0)),0)*IFERROR(INDEX('D Fleet'!$J$5:$J$36,INT(($B24/E$4))+1)+(($B24/E$4)-INT(($B24/E$4)))*(INDEX('D Fleet'!$J$5:$J$36,INT(($B24/E$4))+2)-INDEX('D Fleet'!$J$5:$J$36,INT(($B24/E$4))+1)),0)</f>
        <v/>
      </c>
      <c r="F24" s="350">
        <f>IFERROR(INDEX('D Fleet'!$C$5:$C$63,MATCH(F$3-$B24,'D Fleet'!$B$5:$B$63,0)),0)*IFERROR(INDEX('D Fleet'!$J$5:$J$36,INT(($B24/F$4))+1)+(($B24/F$4)-INT(($B24/F$4)))*(INDEX('D Fleet'!$J$5:$J$36,INT(($B24/F$4))+2)-INDEX('D Fleet'!$J$5:$J$36,INT(($B24/F$4))+1)),0)</f>
        <v/>
      </c>
      <c r="G24" s="350">
        <f>IFERROR(INDEX('D Fleet'!$C$5:$C$63,MATCH(G$3-$B24,'D Fleet'!$B$5:$B$63,0)),0)*IFERROR(INDEX('D Fleet'!$J$5:$J$36,INT(($B24/G$4))+1)+(($B24/G$4)-INT(($B24/G$4)))*(INDEX('D Fleet'!$J$5:$J$36,INT(($B24/G$4))+2)-INDEX('D Fleet'!$J$5:$J$36,INT(($B24/G$4))+1)),0)</f>
        <v/>
      </c>
      <c r="H24" s="350">
        <f>IFERROR(INDEX('D Fleet'!$C$5:$C$63,MATCH(H$3-$B24,'D Fleet'!$B$5:$B$63,0)),0)*IFERROR(INDEX('D Fleet'!$J$5:$J$36,INT(($B24/H$4))+1)+(($B24/H$4)-INT(($B24/H$4)))*(INDEX('D Fleet'!$J$5:$J$36,INT(($B24/H$4))+2)-INDEX('D Fleet'!$J$5:$J$36,INT(($B24/H$4))+1)),0)</f>
        <v/>
      </c>
      <c r="I24" s="350">
        <f>IFERROR(INDEX('D Fleet'!$C$5:$C$63,MATCH(I$3-$B24,'D Fleet'!$B$5:$B$63,0)),0)*IFERROR(INDEX('D Fleet'!$J$5:$J$36,INT(($B24/I$4))+1)+(($B24/I$4)-INT(($B24/I$4)))*(INDEX('D Fleet'!$J$5:$J$36,INT(($B24/I$4))+2)-INDEX('D Fleet'!$J$5:$J$36,INT(($B24/I$4))+1)),0)</f>
        <v/>
      </c>
      <c r="J24" s="350">
        <f>IFERROR(INDEX('D Fleet'!$C$5:$C$63,MATCH(J$3-$B24,'D Fleet'!$B$5:$B$63,0)),0)*IFERROR(INDEX('D Fleet'!$J$5:$J$36,INT(($B24/J$4))+1)+(($B24/J$4)-INT(($B24/J$4)))*(INDEX('D Fleet'!$J$5:$J$36,INT(($B24/J$4))+2)-INDEX('D Fleet'!$J$5:$J$36,INT(($B24/J$4))+1)),0)</f>
        <v/>
      </c>
      <c r="K24" s="350">
        <f>IFERROR(INDEX('D Fleet'!$C$5:$C$63,MATCH(K$3-$B24,'D Fleet'!$B$5:$B$63,0)),0)*IFERROR(INDEX('D Fleet'!$J$5:$J$36,INT(($B24/K$4))+1)+(($B24/K$4)-INT(($B24/K$4)))*(INDEX('D Fleet'!$J$5:$J$36,INT(($B24/K$4))+2)-INDEX('D Fleet'!$J$5:$J$36,INT(($B24/K$4))+1)),0)</f>
        <v/>
      </c>
      <c r="L24" s="350">
        <f>IFERROR(INDEX('D Fleet'!$C$5:$C$63,MATCH(L$3-$B24,'D Fleet'!$B$5:$B$63,0)),0)*IFERROR(INDEX('D Fleet'!$J$5:$J$36,INT(($B24/L$4))+1)+(($B24/L$4)-INT(($B24/L$4)))*(INDEX('D Fleet'!$J$5:$J$36,INT(($B24/L$4))+2)-INDEX('D Fleet'!$J$5:$J$36,INT(($B24/L$4))+1)),0)</f>
        <v/>
      </c>
      <c r="M24" s="350">
        <f>IFERROR(INDEX('D Fleet'!$C$5:$C$63,MATCH(M$3-$B24,'D Fleet'!$B$5:$B$63,0)),0)*IFERROR(INDEX('D Fleet'!$J$5:$J$36,INT(($B24/M$4))+1)+(($B24/M$4)-INT(($B24/M$4)))*(INDEX('D Fleet'!$J$5:$J$36,INT(($B24/M$4))+2)-INDEX('D Fleet'!$J$5:$J$36,INT(($B24/M$4))+1)),0)</f>
        <v/>
      </c>
      <c r="N24" s="350">
        <f>IFERROR(INDEX('D Fleet'!$C$5:$C$63,MATCH(N$3-$B24,'D Fleet'!$B$5:$B$63,0)),0)*IFERROR(INDEX('D Fleet'!$J$5:$J$36,INT(($B24/N$4))+1)+(($B24/N$4)-INT(($B24/N$4)))*(INDEX('D Fleet'!$J$5:$J$36,INT(($B24/N$4))+2)-INDEX('D Fleet'!$J$5:$J$36,INT(($B24/N$4))+1)),0)</f>
        <v/>
      </c>
      <c r="P24" s="350">
        <f>E24*$D24*'E1 Fleet'!$D$97</f>
        <v/>
      </c>
      <c r="Q24" s="350">
        <f>F24*$D24*'E1 Fleet'!$D$97</f>
        <v/>
      </c>
      <c r="R24" s="350">
        <f>G24*$D24*'E1 Fleet'!$D$97</f>
        <v/>
      </c>
      <c r="S24" s="350">
        <f>H24*$D24*'E1 Fleet'!$D$97</f>
        <v/>
      </c>
      <c r="T24" s="350">
        <f>I24*$D24*'E1 Fleet'!$D$97</f>
        <v/>
      </c>
      <c r="U24" s="350">
        <f>J24*$D24*'E1 Fleet'!$D$97</f>
        <v/>
      </c>
      <c r="V24" s="350">
        <f>K24*$D24*'E1 Fleet'!$D$97</f>
        <v/>
      </c>
      <c r="W24" s="350">
        <f>L24*$D24*'E1 Fleet'!$D$97</f>
        <v/>
      </c>
      <c r="X24" s="350">
        <f>M24*$D24*'E1 Fleet'!$D$97</f>
        <v/>
      </c>
      <c r="Y24" s="350">
        <f>N24*$D24*'E1 Fleet'!$D$97</f>
        <v/>
      </c>
    </row>
    <row r="25">
      <c r="A25" t="inlineStr">
        <is>
          <t>Car</t>
        </is>
      </c>
      <c r="B25" s="456" t="n">
        <v>18</v>
      </c>
      <c r="C25" s="456" t="n">
        <v>3</v>
      </c>
      <c r="D25" s="348">
        <f>IF($B25=0,'E1 Fleet'!$D$93,1)*EXP(-'E1 Fleet'!$D$94*MAX($B25-6,0))</f>
        <v/>
      </c>
      <c r="E25" s="350">
        <f>IFERROR(INDEX('D Fleet'!$C$5:$C$63,MATCH(E$3-$B25,'D Fleet'!$B$5:$B$63,0)),0)*IFERROR(INDEX('D Fleet'!$J$5:$J$36,INT(($B25/E$4))+1)+(($B25/E$4)-INT(($B25/E$4)))*(INDEX('D Fleet'!$J$5:$J$36,INT(($B25/E$4))+2)-INDEX('D Fleet'!$J$5:$J$36,INT(($B25/E$4))+1)),0)</f>
        <v/>
      </c>
      <c r="F25" s="350">
        <f>IFERROR(INDEX('D Fleet'!$C$5:$C$63,MATCH(F$3-$B25,'D Fleet'!$B$5:$B$63,0)),0)*IFERROR(INDEX('D Fleet'!$J$5:$J$36,INT(($B25/F$4))+1)+(($B25/F$4)-INT(($B25/F$4)))*(INDEX('D Fleet'!$J$5:$J$36,INT(($B25/F$4))+2)-INDEX('D Fleet'!$J$5:$J$36,INT(($B25/F$4))+1)),0)</f>
        <v/>
      </c>
      <c r="G25" s="350">
        <f>IFERROR(INDEX('D Fleet'!$C$5:$C$63,MATCH(G$3-$B25,'D Fleet'!$B$5:$B$63,0)),0)*IFERROR(INDEX('D Fleet'!$J$5:$J$36,INT(($B25/G$4))+1)+(($B25/G$4)-INT(($B25/G$4)))*(INDEX('D Fleet'!$J$5:$J$36,INT(($B25/G$4))+2)-INDEX('D Fleet'!$J$5:$J$36,INT(($B25/G$4))+1)),0)</f>
        <v/>
      </c>
      <c r="H25" s="350">
        <f>IFERROR(INDEX('D Fleet'!$C$5:$C$63,MATCH(H$3-$B25,'D Fleet'!$B$5:$B$63,0)),0)*IFERROR(INDEX('D Fleet'!$J$5:$J$36,INT(($B25/H$4))+1)+(($B25/H$4)-INT(($B25/H$4)))*(INDEX('D Fleet'!$J$5:$J$36,INT(($B25/H$4))+2)-INDEX('D Fleet'!$J$5:$J$36,INT(($B25/H$4))+1)),0)</f>
        <v/>
      </c>
      <c r="I25" s="350">
        <f>IFERROR(INDEX('D Fleet'!$C$5:$C$63,MATCH(I$3-$B25,'D Fleet'!$B$5:$B$63,0)),0)*IFERROR(INDEX('D Fleet'!$J$5:$J$36,INT(($B25/I$4))+1)+(($B25/I$4)-INT(($B25/I$4)))*(INDEX('D Fleet'!$J$5:$J$36,INT(($B25/I$4))+2)-INDEX('D Fleet'!$J$5:$J$36,INT(($B25/I$4))+1)),0)</f>
        <v/>
      </c>
      <c r="J25" s="350">
        <f>IFERROR(INDEX('D Fleet'!$C$5:$C$63,MATCH(J$3-$B25,'D Fleet'!$B$5:$B$63,0)),0)*IFERROR(INDEX('D Fleet'!$J$5:$J$36,INT(($B25/J$4))+1)+(($B25/J$4)-INT(($B25/J$4)))*(INDEX('D Fleet'!$J$5:$J$36,INT(($B25/J$4))+2)-INDEX('D Fleet'!$J$5:$J$36,INT(($B25/J$4))+1)),0)</f>
        <v/>
      </c>
      <c r="K25" s="350">
        <f>IFERROR(INDEX('D Fleet'!$C$5:$C$63,MATCH(K$3-$B25,'D Fleet'!$B$5:$B$63,0)),0)*IFERROR(INDEX('D Fleet'!$J$5:$J$36,INT(($B25/K$4))+1)+(($B25/K$4)-INT(($B25/K$4)))*(INDEX('D Fleet'!$J$5:$J$36,INT(($B25/K$4))+2)-INDEX('D Fleet'!$J$5:$J$36,INT(($B25/K$4))+1)),0)</f>
        <v/>
      </c>
      <c r="L25" s="350">
        <f>IFERROR(INDEX('D Fleet'!$C$5:$C$63,MATCH(L$3-$B25,'D Fleet'!$B$5:$B$63,0)),0)*IFERROR(INDEX('D Fleet'!$J$5:$J$36,INT(($B25/L$4))+1)+(($B25/L$4)-INT(($B25/L$4)))*(INDEX('D Fleet'!$J$5:$J$36,INT(($B25/L$4))+2)-INDEX('D Fleet'!$J$5:$J$36,INT(($B25/L$4))+1)),0)</f>
        <v/>
      </c>
      <c r="M25" s="350">
        <f>IFERROR(INDEX('D Fleet'!$C$5:$C$63,MATCH(M$3-$B25,'D Fleet'!$B$5:$B$63,0)),0)*IFERROR(INDEX('D Fleet'!$J$5:$J$36,INT(($B25/M$4))+1)+(($B25/M$4)-INT(($B25/M$4)))*(INDEX('D Fleet'!$J$5:$J$36,INT(($B25/M$4))+2)-INDEX('D Fleet'!$J$5:$J$36,INT(($B25/M$4))+1)),0)</f>
        <v/>
      </c>
      <c r="N25" s="350">
        <f>IFERROR(INDEX('D Fleet'!$C$5:$C$63,MATCH(N$3-$B25,'D Fleet'!$B$5:$B$63,0)),0)*IFERROR(INDEX('D Fleet'!$J$5:$J$36,INT(($B25/N$4))+1)+(($B25/N$4)-INT(($B25/N$4)))*(INDEX('D Fleet'!$J$5:$J$36,INT(($B25/N$4))+2)-INDEX('D Fleet'!$J$5:$J$36,INT(($B25/N$4))+1)),0)</f>
        <v/>
      </c>
      <c r="P25" s="350">
        <f>E25*$D25*'E1 Fleet'!$D$97</f>
        <v/>
      </c>
      <c r="Q25" s="350">
        <f>F25*$D25*'E1 Fleet'!$D$97</f>
        <v/>
      </c>
      <c r="R25" s="350">
        <f>G25*$D25*'E1 Fleet'!$D$97</f>
        <v/>
      </c>
      <c r="S25" s="350">
        <f>H25*$D25*'E1 Fleet'!$D$97</f>
        <v/>
      </c>
      <c r="T25" s="350">
        <f>I25*$D25*'E1 Fleet'!$D$97</f>
        <v/>
      </c>
      <c r="U25" s="350">
        <f>J25*$D25*'E1 Fleet'!$D$97</f>
        <v/>
      </c>
      <c r="V25" s="350">
        <f>K25*$D25*'E1 Fleet'!$D$97</f>
        <v/>
      </c>
      <c r="W25" s="350">
        <f>L25*$D25*'E1 Fleet'!$D$97</f>
        <v/>
      </c>
      <c r="X25" s="350">
        <f>M25*$D25*'E1 Fleet'!$D$97</f>
        <v/>
      </c>
      <c r="Y25" s="350">
        <f>N25*$D25*'E1 Fleet'!$D$97</f>
        <v/>
      </c>
    </row>
    <row r="26">
      <c r="A26" t="inlineStr">
        <is>
          <t>Car</t>
        </is>
      </c>
      <c r="B26" s="456" t="n">
        <v>19</v>
      </c>
      <c r="C26" s="456" t="n">
        <v>3</v>
      </c>
      <c r="D26" s="348">
        <f>IF($B26=0,'E1 Fleet'!$D$93,1)*EXP(-'E1 Fleet'!$D$94*MAX($B26-6,0))</f>
        <v/>
      </c>
      <c r="E26" s="350">
        <f>IFERROR(INDEX('D Fleet'!$C$5:$C$63,MATCH(E$3-$B26,'D Fleet'!$B$5:$B$63,0)),0)*IFERROR(INDEX('D Fleet'!$J$5:$J$36,INT(($B26/E$4))+1)+(($B26/E$4)-INT(($B26/E$4)))*(INDEX('D Fleet'!$J$5:$J$36,INT(($B26/E$4))+2)-INDEX('D Fleet'!$J$5:$J$36,INT(($B26/E$4))+1)),0)</f>
        <v/>
      </c>
      <c r="F26" s="350">
        <f>IFERROR(INDEX('D Fleet'!$C$5:$C$63,MATCH(F$3-$B26,'D Fleet'!$B$5:$B$63,0)),0)*IFERROR(INDEX('D Fleet'!$J$5:$J$36,INT(($B26/F$4))+1)+(($B26/F$4)-INT(($B26/F$4)))*(INDEX('D Fleet'!$J$5:$J$36,INT(($B26/F$4))+2)-INDEX('D Fleet'!$J$5:$J$36,INT(($B26/F$4))+1)),0)</f>
        <v/>
      </c>
      <c r="G26" s="350">
        <f>IFERROR(INDEX('D Fleet'!$C$5:$C$63,MATCH(G$3-$B26,'D Fleet'!$B$5:$B$63,0)),0)*IFERROR(INDEX('D Fleet'!$J$5:$J$36,INT(($B26/G$4))+1)+(($B26/G$4)-INT(($B26/G$4)))*(INDEX('D Fleet'!$J$5:$J$36,INT(($B26/G$4))+2)-INDEX('D Fleet'!$J$5:$J$36,INT(($B26/G$4))+1)),0)</f>
        <v/>
      </c>
      <c r="H26" s="350">
        <f>IFERROR(INDEX('D Fleet'!$C$5:$C$63,MATCH(H$3-$B26,'D Fleet'!$B$5:$B$63,0)),0)*IFERROR(INDEX('D Fleet'!$J$5:$J$36,INT(($B26/H$4))+1)+(($B26/H$4)-INT(($B26/H$4)))*(INDEX('D Fleet'!$J$5:$J$36,INT(($B26/H$4))+2)-INDEX('D Fleet'!$J$5:$J$36,INT(($B26/H$4))+1)),0)</f>
        <v/>
      </c>
      <c r="I26" s="350">
        <f>IFERROR(INDEX('D Fleet'!$C$5:$C$63,MATCH(I$3-$B26,'D Fleet'!$B$5:$B$63,0)),0)*IFERROR(INDEX('D Fleet'!$J$5:$J$36,INT(($B26/I$4))+1)+(($B26/I$4)-INT(($B26/I$4)))*(INDEX('D Fleet'!$J$5:$J$36,INT(($B26/I$4))+2)-INDEX('D Fleet'!$J$5:$J$36,INT(($B26/I$4))+1)),0)</f>
        <v/>
      </c>
      <c r="J26" s="350">
        <f>IFERROR(INDEX('D Fleet'!$C$5:$C$63,MATCH(J$3-$B26,'D Fleet'!$B$5:$B$63,0)),0)*IFERROR(INDEX('D Fleet'!$J$5:$J$36,INT(($B26/J$4))+1)+(($B26/J$4)-INT(($B26/J$4)))*(INDEX('D Fleet'!$J$5:$J$36,INT(($B26/J$4))+2)-INDEX('D Fleet'!$J$5:$J$36,INT(($B26/J$4))+1)),0)</f>
        <v/>
      </c>
      <c r="K26" s="350">
        <f>IFERROR(INDEX('D Fleet'!$C$5:$C$63,MATCH(K$3-$B26,'D Fleet'!$B$5:$B$63,0)),0)*IFERROR(INDEX('D Fleet'!$J$5:$J$36,INT(($B26/K$4))+1)+(($B26/K$4)-INT(($B26/K$4)))*(INDEX('D Fleet'!$J$5:$J$36,INT(($B26/K$4))+2)-INDEX('D Fleet'!$J$5:$J$36,INT(($B26/K$4))+1)),0)</f>
        <v/>
      </c>
      <c r="L26" s="350">
        <f>IFERROR(INDEX('D Fleet'!$C$5:$C$63,MATCH(L$3-$B26,'D Fleet'!$B$5:$B$63,0)),0)*IFERROR(INDEX('D Fleet'!$J$5:$J$36,INT(($B26/L$4))+1)+(($B26/L$4)-INT(($B26/L$4)))*(INDEX('D Fleet'!$J$5:$J$36,INT(($B26/L$4))+2)-INDEX('D Fleet'!$J$5:$J$36,INT(($B26/L$4))+1)),0)</f>
        <v/>
      </c>
      <c r="M26" s="350">
        <f>IFERROR(INDEX('D Fleet'!$C$5:$C$63,MATCH(M$3-$B26,'D Fleet'!$B$5:$B$63,0)),0)*IFERROR(INDEX('D Fleet'!$J$5:$J$36,INT(($B26/M$4))+1)+(($B26/M$4)-INT(($B26/M$4)))*(INDEX('D Fleet'!$J$5:$J$36,INT(($B26/M$4))+2)-INDEX('D Fleet'!$J$5:$J$36,INT(($B26/M$4))+1)),0)</f>
        <v/>
      </c>
      <c r="N26" s="350">
        <f>IFERROR(INDEX('D Fleet'!$C$5:$C$63,MATCH(N$3-$B26,'D Fleet'!$B$5:$B$63,0)),0)*IFERROR(INDEX('D Fleet'!$J$5:$J$36,INT(($B26/N$4))+1)+(($B26/N$4)-INT(($B26/N$4)))*(INDEX('D Fleet'!$J$5:$J$36,INT(($B26/N$4))+2)-INDEX('D Fleet'!$J$5:$J$36,INT(($B26/N$4))+1)),0)</f>
        <v/>
      </c>
      <c r="P26" s="350">
        <f>E26*$D26*'E1 Fleet'!$D$97</f>
        <v/>
      </c>
      <c r="Q26" s="350">
        <f>F26*$D26*'E1 Fleet'!$D$97</f>
        <v/>
      </c>
      <c r="R26" s="350">
        <f>G26*$D26*'E1 Fleet'!$D$97</f>
        <v/>
      </c>
      <c r="S26" s="350">
        <f>H26*$D26*'E1 Fleet'!$D$97</f>
        <v/>
      </c>
      <c r="T26" s="350">
        <f>I26*$D26*'E1 Fleet'!$D$97</f>
        <v/>
      </c>
      <c r="U26" s="350">
        <f>J26*$D26*'E1 Fleet'!$D$97</f>
        <v/>
      </c>
      <c r="V26" s="350">
        <f>K26*$D26*'E1 Fleet'!$D$97</f>
        <v/>
      </c>
      <c r="W26" s="350">
        <f>L26*$D26*'E1 Fleet'!$D$97</f>
        <v/>
      </c>
      <c r="X26" s="350">
        <f>M26*$D26*'E1 Fleet'!$D$97</f>
        <v/>
      </c>
      <c r="Y26" s="350">
        <f>N26*$D26*'E1 Fleet'!$D$97</f>
        <v/>
      </c>
    </row>
    <row r="27">
      <c r="A27" t="inlineStr">
        <is>
          <t>Car</t>
        </is>
      </c>
      <c r="B27" s="456" t="n">
        <v>20</v>
      </c>
      <c r="C27" s="456" t="n">
        <v>3</v>
      </c>
      <c r="D27" s="348">
        <f>IF($B27=0,'E1 Fleet'!$D$93,1)*EXP(-'E1 Fleet'!$D$94*MAX($B27-6,0))</f>
        <v/>
      </c>
      <c r="E27" s="350">
        <f>IFERROR(INDEX('D Fleet'!$C$5:$C$63,MATCH(E$3-$B27,'D Fleet'!$B$5:$B$63,0)),0)*IFERROR(INDEX('D Fleet'!$J$5:$J$36,INT(($B27/E$4))+1)+(($B27/E$4)-INT(($B27/E$4)))*(INDEX('D Fleet'!$J$5:$J$36,INT(($B27/E$4))+2)-INDEX('D Fleet'!$J$5:$J$36,INT(($B27/E$4))+1)),0)</f>
        <v/>
      </c>
      <c r="F27" s="350">
        <f>IFERROR(INDEX('D Fleet'!$C$5:$C$63,MATCH(F$3-$B27,'D Fleet'!$B$5:$B$63,0)),0)*IFERROR(INDEX('D Fleet'!$J$5:$J$36,INT(($B27/F$4))+1)+(($B27/F$4)-INT(($B27/F$4)))*(INDEX('D Fleet'!$J$5:$J$36,INT(($B27/F$4))+2)-INDEX('D Fleet'!$J$5:$J$36,INT(($B27/F$4))+1)),0)</f>
        <v/>
      </c>
      <c r="G27" s="350">
        <f>IFERROR(INDEX('D Fleet'!$C$5:$C$63,MATCH(G$3-$B27,'D Fleet'!$B$5:$B$63,0)),0)*IFERROR(INDEX('D Fleet'!$J$5:$J$36,INT(($B27/G$4))+1)+(($B27/G$4)-INT(($B27/G$4)))*(INDEX('D Fleet'!$J$5:$J$36,INT(($B27/G$4))+2)-INDEX('D Fleet'!$J$5:$J$36,INT(($B27/G$4))+1)),0)</f>
        <v/>
      </c>
      <c r="H27" s="350">
        <f>IFERROR(INDEX('D Fleet'!$C$5:$C$63,MATCH(H$3-$B27,'D Fleet'!$B$5:$B$63,0)),0)*IFERROR(INDEX('D Fleet'!$J$5:$J$36,INT(($B27/H$4))+1)+(($B27/H$4)-INT(($B27/H$4)))*(INDEX('D Fleet'!$J$5:$J$36,INT(($B27/H$4))+2)-INDEX('D Fleet'!$J$5:$J$36,INT(($B27/H$4))+1)),0)</f>
        <v/>
      </c>
      <c r="I27" s="350">
        <f>IFERROR(INDEX('D Fleet'!$C$5:$C$63,MATCH(I$3-$B27,'D Fleet'!$B$5:$B$63,0)),0)*IFERROR(INDEX('D Fleet'!$J$5:$J$36,INT(($B27/I$4))+1)+(($B27/I$4)-INT(($B27/I$4)))*(INDEX('D Fleet'!$J$5:$J$36,INT(($B27/I$4))+2)-INDEX('D Fleet'!$J$5:$J$36,INT(($B27/I$4))+1)),0)</f>
        <v/>
      </c>
      <c r="J27" s="350">
        <f>IFERROR(INDEX('D Fleet'!$C$5:$C$63,MATCH(J$3-$B27,'D Fleet'!$B$5:$B$63,0)),0)*IFERROR(INDEX('D Fleet'!$J$5:$J$36,INT(($B27/J$4))+1)+(($B27/J$4)-INT(($B27/J$4)))*(INDEX('D Fleet'!$J$5:$J$36,INT(($B27/J$4))+2)-INDEX('D Fleet'!$J$5:$J$36,INT(($B27/J$4))+1)),0)</f>
        <v/>
      </c>
      <c r="K27" s="350">
        <f>IFERROR(INDEX('D Fleet'!$C$5:$C$63,MATCH(K$3-$B27,'D Fleet'!$B$5:$B$63,0)),0)*IFERROR(INDEX('D Fleet'!$J$5:$J$36,INT(($B27/K$4))+1)+(($B27/K$4)-INT(($B27/K$4)))*(INDEX('D Fleet'!$J$5:$J$36,INT(($B27/K$4))+2)-INDEX('D Fleet'!$J$5:$J$36,INT(($B27/K$4))+1)),0)</f>
        <v/>
      </c>
      <c r="L27" s="350">
        <f>IFERROR(INDEX('D Fleet'!$C$5:$C$63,MATCH(L$3-$B27,'D Fleet'!$B$5:$B$63,0)),0)*IFERROR(INDEX('D Fleet'!$J$5:$J$36,INT(($B27/L$4))+1)+(($B27/L$4)-INT(($B27/L$4)))*(INDEX('D Fleet'!$J$5:$J$36,INT(($B27/L$4))+2)-INDEX('D Fleet'!$J$5:$J$36,INT(($B27/L$4))+1)),0)</f>
        <v/>
      </c>
      <c r="M27" s="350">
        <f>IFERROR(INDEX('D Fleet'!$C$5:$C$63,MATCH(M$3-$B27,'D Fleet'!$B$5:$B$63,0)),0)*IFERROR(INDEX('D Fleet'!$J$5:$J$36,INT(($B27/M$4))+1)+(($B27/M$4)-INT(($B27/M$4)))*(INDEX('D Fleet'!$J$5:$J$36,INT(($B27/M$4))+2)-INDEX('D Fleet'!$J$5:$J$36,INT(($B27/M$4))+1)),0)</f>
        <v/>
      </c>
      <c r="N27" s="350">
        <f>IFERROR(INDEX('D Fleet'!$C$5:$C$63,MATCH(N$3-$B27,'D Fleet'!$B$5:$B$63,0)),0)*IFERROR(INDEX('D Fleet'!$J$5:$J$36,INT(($B27/N$4))+1)+(($B27/N$4)-INT(($B27/N$4)))*(INDEX('D Fleet'!$J$5:$J$36,INT(($B27/N$4))+2)-INDEX('D Fleet'!$J$5:$J$36,INT(($B27/N$4))+1)),0)</f>
        <v/>
      </c>
      <c r="P27" s="350">
        <f>E27*$D27*'E1 Fleet'!$D$97</f>
        <v/>
      </c>
      <c r="Q27" s="350">
        <f>F27*$D27*'E1 Fleet'!$D$97</f>
        <v/>
      </c>
      <c r="R27" s="350">
        <f>G27*$D27*'E1 Fleet'!$D$97</f>
        <v/>
      </c>
      <c r="S27" s="350">
        <f>H27*$D27*'E1 Fleet'!$D$97</f>
        <v/>
      </c>
      <c r="T27" s="350">
        <f>I27*$D27*'E1 Fleet'!$D$97</f>
        <v/>
      </c>
      <c r="U27" s="350">
        <f>J27*$D27*'E1 Fleet'!$D$97</f>
        <v/>
      </c>
      <c r="V27" s="350">
        <f>K27*$D27*'E1 Fleet'!$D$97</f>
        <v/>
      </c>
      <c r="W27" s="350">
        <f>L27*$D27*'E1 Fleet'!$D$97</f>
        <v/>
      </c>
      <c r="X27" s="350">
        <f>M27*$D27*'E1 Fleet'!$D$97</f>
        <v/>
      </c>
      <c r="Y27" s="350">
        <f>N27*$D27*'E1 Fleet'!$D$97</f>
        <v/>
      </c>
    </row>
    <row r="28">
      <c r="A28" t="inlineStr">
        <is>
          <t>Car</t>
        </is>
      </c>
      <c r="B28" s="456" t="n">
        <v>21</v>
      </c>
      <c r="C28" s="456" t="n">
        <v>3</v>
      </c>
      <c r="D28" s="348">
        <f>IF($B28=0,'E1 Fleet'!$D$93,1)*EXP(-'E1 Fleet'!$D$94*MAX($B28-6,0))</f>
        <v/>
      </c>
      <c r="E28" s="350">
        <f>IFERROR(INDEX('D Fleet'!$C$5:$C$63,MATCH(E$3-$B28,'D Fleet'!$B$5:$B$63,0)),0)*IFERROR(INDEX('D Fleet'!$J$5:$J$36,INT(($B28/E$4))+1)+(($B28/E$4)-INT(($B28/E$4)))*(INDEX('D Fleet'!$J$5:$J$36,INT(($B28/E$4))+2)-INDEX('D Fleet'!$J$5:$J$36,INT(($B28/E$4))+1)),0)</f>
        <v/>
      </c>
      <c r="F28" s="350">
        <f>IFERROR(INDEX('D Fleet'!$C$5:$C$63,MATCH(F$3-$B28,'D Fleet'!$B$5:$B$63,0)),0)*IFERROR(INDEX('D Fleet'!$J$5:$J$36,INT(($B28/F$4))+1)+(($B28/F$4)-INT(($B28/F$4)))*(INDEX('D Fleet'!$J$5:$J$36,INT(($B28/F$4))+2)-INDEX('D Fleet'!$J$5:$J$36,INT(($B28/F$4))+1)),0)</f>
        <v/>
      </c>
      <c r="G28" s="350">
        <f>IFERROR(INDEX('D Fleet'!$C$5:$C$63,MATCH(G$3-$B28,'D Fleet'!$B$5:$B$63,0)),0)*IFERROR(INDEX('D Fleet'!$J$5:$J$36,INT(($B28/G$4))+1)+(($B28/G$4)-INT(($B28/G$4)))*(INDEX('D Fleet'!$J$5:$J$36,INT(($B28/G$4))+2)-INDEX('D Fleet'!$J$5:$J$36,INT(($B28/G$4))+1)),0)</f>
        <v/>
      </c>
      <c r="H28" s="350">
        <f>IFERROR(INDEX('D Fleet'!$C$5:$C$63,MATCH(H$3-$B28,'D Fleet'!$B$5:$B$63,0)),0)*IFERROR(INDEX('D Fleet'!$J$5:$J$36,INT(($B28/H$4))+1)+(($B28/H$4)-INT(($B28/H$4)))*(INDEX('D Fleet'!$J$5:$J$36,INT(($B28/H$4))+2)-INDEX('D Fleet'!$J$5:$J$36,INT(($B28/H$4))+1)),0)</f>
        <v/>
      </c>
      <c r="I28" s="350">
        <f>IFERROR(INDEX('D Fleet'!$C$5:$C$63,MATCH(I$3-$B28,'D Fleet'!$B$5:$B$63,0)),0)*IFERROR(INDEX('D Fleet'!$J$5:$J$36,INT(($B28/I$4))+1)+(($B28/I$4)-INT(($B28/I$4)))*(INDEX('D Fleet'!$J$5:$J$36,INT(($B28/I$4))+2)-INDEX('D Fleet'!$J$5:$J$36,INT(($B28/I$4))+1)),0)</f>
        <v/>
      </c>
      <c r="J28" s="350">
        <f>IFERROR(INDEX('D Fleet'!$C$5:$C$63,MATCH(J$3-$B28,'D Fleet'!$B$5:$B$63,0)),0)*IFERROR(INDEX('D Fleet'!$J$5:$J$36,INT(($B28/J$4))+1)+(($B28/J$4)-INT(($B28/J$4)))*(INDEX('D Fleet'!$J$5:$J$36,INT(($B28/J$4))+2)-INDEX('D Fleet'!$J$5:$J$36,INT(($B28/J$4))+1)),0)</f>
        <v/>
      </c>
      <c r="K28" s="350">
        <f>IFERROR(INDEX('D Fleet'!$C$5:$C$63,MATCH(K$3-$B28,'D Fleet'!$B$5:$B$63,0)),0)*IFERROR(INDEX('D Fleet'!$J$5:$J$36,INT(($B28/K$4))+1)+(($B28/K$4)-INT(($B28/K$4)))*(INDEX('D Fleet'!$J$5:$J$36,INT(($B28/K$4))+2)-INDEX('D Fleet'!$J$5:$J$36,INT(($B28/K$4))+1)),0)</f>
        <v/>
      </c>
      <c r="L28" s="350">
        <f>IFERROR(INDEX('D Fleet'!$C$5:$C$63,MATCH(L$3-$B28,'D Fleet'!$B$5:$B$63,0)),0)*IFERROR(INDEX('D Fleet'!$J$5:$J$36,INT(($B28/L$4))+1)+(($B28/L$4)-INT(($B28/L$4)))*(INDEX('D Fleet'!$J$5:$J$36,INT(($B28/L$4))+2)-INDEX('D Fleet'!$J$5:$J$36,INT(($B28/L$4))+1)),0)</f>
        <v/>
      </c>
      <c r="M28" s="350">
        <f>IFERROR(INDEX('D Fleet'!$C$5:$C$63,MATCH(M$3-$B28,'D Fleet'!$B$5:$B$63,0)),0)*IFERROR(INDEX('D Fleet'!$J$5:$J$36,INT(($B28/M$4))+1)+(($B28/M$4)-INT(($B28/M$4)))*(INDEX('D Fleet'!$J$5:$J$36,INT(($B28/M$4))+2)-INDEX('D Fleet'!$J$5:$J$36,INT(($B28/M$4))+1)),0)</f>
        <v/>
      </c>
      <c r="N28" s="350">
        <f>IFERROR(INDEX('D Fleet'!$C$5:$C$63,MATCH(N$3-$B28,'D Fleet'!$B$5:$B$63,0)),0)*IFERROR(INDEX('D Fleet'!$J$5:$J$36,INT(($B28/N$4))+1)+(($B28/N$4)-INT(($B28/N$4)))*(INDEX('D Fleet'!$J$5:$J$36,INT(($B28/N$4))+2)-INDEX('D Fleet'!$J$5:$J$36,INT(($B28/N$4))+1)),0)</f>
        <v/>
      </c>
      <c r="P28" s="350">
        <f>E28*$D28*'E1 Fleet'!$D$97</f>
        <v/>
      </c>
      <c r="Q28" s="350">
        <f>F28*$D28*'E1 Fleet'!$D$97</f>
        <v/>
      </c>
      <c r="R28" s="350">
        <f>G28*$D28*'E1 Fleet'!$D$97</f>
        <v/>
      </c>
      <c r="S28" s="350">
        <f>H28*$D28*'E1 Fleet'!$D$97</f>
        <v/>
      </c>
      <c r="T28" s="350">
        <f>I28*$D28*'E1 Fleet'!$D$97</f>
        <v/>
      </c>
      <c r="U28" s="350">
        <f>J28*$D28*'E1 Fleet'!$D$97</f>
        <v/>
      </c>
      <c r="V28" s="350">
        <f>K28*$D28*'E1 Fleet'!$D$97</f>
        <v/>
      </c>
      <c r="W28" s="350">
        <f>L28*$D28*'E1 Fleet'!$D$97</f>
        <v/>
      </c>
      <c r="X28" s="350">
        <f>M28*$D28*'E1 Fleet'!$D$97</f>
        <v/>
      </c>
      <c r="Y28" s="350">
        <f>N28*$D28*'E1 Fleet'!$D$97</f>
        <v/>
      </c>
    </row>
    <row r="29">
      <c r="A29" t="inlineStr">
        <is>
          <t>Car</t>
        </is>
      </c>
      <c r="B29" s="456" t="n">
        <v>22</v>
      </c>
      <c r="C29" s="456" t="n">
        <v>3</v>
      </c>
      <c r="D29" s="348">
        <f>IF($B29=0,'E1 Fleet'!$D$93,1)*EXP(-'E1 Fleet'!$D$94*MAX($B29-6,0))</f>
        <v/>
      </c>
      <c r="E29" s="350">
        <f>IFERROR(INDEX('D Fleet'!$C$5:$C$63,MATCH(E$3-$B29,'D Fleet'!$B$5:$B$63,0)),0)*IFERROR(INDEX('D Fleet'!$J$5:$J$36,INT(($B29/E$4))+1)+(($B29/E$4)-INT(($B29/E$4)))*(INDEX('D Fleet'!$J$5:$J$36,INT(($B29/E$4))+2)-INDEX('D Fleet'!$J$5:$J$36,INT(($B29/E$4))+1)),0)</f>
        <v/>
      </c>
      <c r="F29" s="350">
        <f>IFERROR(INDEX('D Fleet'!$C$5:$C$63,MATCH(F$3-$B29,'D Fleet'!$B$5:$B$63,0)),0)*IFERROR(INDEX('D Fleet'!$J$5:$J$36,INT(($B29/F$4))+1)+(($B29/F$4)-INT(($B29/F$4)))*(INDEX('D Fleet'!$J$5:$J$36,INT(($B29/F$4))+2)-INDEX('D Fleet'!$J$5:$J$36,INT(($B29/F$4))+1)),0)</f>
        <v/>
      </c>
      <c r="G29" s="350">
        <f>IFERROR(INDEX('D Fleet'!$C$5:$C$63,MATCH(G$3-$B29,'D Fleet'!$B$5:$B$63,0)),0)*IFERROR(INDEX('D Fleet'!$J$5:$J$36,INT(($B29/G$4))+1)+(($B29/G$4)-INT(($B29/G$4)))*(INDEX('D Fleet'!$J$5:$J$36,INT(($B29/G$4))+2)-INDEX('D Fleet'!$J$5:$J$36,INT(($B29/G$4))+1)),0)</f>
        <v/>
      </c>
      <c r="H29" s="350">
        <f>IFERROR(INDEX('D Fleet'!$C$5:$C$63,MATCH(H$3-$B29,'D Fleet'!$B$5:$B$63,0)),0)*IFERROR(INDEX('D Fleet'!$J$5:$J$36,INT(($B29/H$4))+1)+(($B29/H$4)-INT(($B29/H$4)))*(INDEX('D Fleet'!$J$5:$J$36,INT(($B29/H$4))+2)-INDEX('D Fleet'!$J$5:$J$36,INT(($B29/H$4))+1)),0)</f>
        <v/>
      </c>
      <c r="I29" s="350">
        <f>IFERROR(INDEX('D Fleet'!$C$5:$C$63,MATCH(I$3-$B29,'D Fleet'!$B$5:$B$63,0)),0)*IFERROR(INDEX('D Fleet'!$J$5:$J$36,INT(($B29/I$4))+1)+(($B29/I$4)-INT(($B29/I$4)))*(INDEX('D Fleet'!$J$5:$J$36,INT(($B29/I$4))+2)-INDEX('D Fleet'!$J$5:$J$36,INT(($B29/I$4))+1)),0)</f>
        <v/>
      </c>
      <c r="J29" s="350">
        <f>IFERROR(INDEX('D Fleet'!$C$5:$C$63,MATCH(J$3-$B29,'D Fleet'!$B$5:$B$63,0)),0)*IFERROR(INDEX('D Fleet'!$J$5:$J$36,INT(($B29/J$4))+1)+(($B29/J$4)-INT(($B29/J$4)))*(INDEX('D Fleet'!$J$5:$J$36,INT(($B29/J$4))+2)-INDEX('D Fleet'!$J$5:$J$36,INT(($B29/J$4))+1)),0)</f>
        <v/>
      </c>
      <c r="K29" s="350">
        <f>IFERROR(INDEX('D Fleet'!$C$5:$C$63,MATCH(K$3-$B29,'D Fleet'!$B$5:$B$63,0)),0)*IFERROR(INDEX('D Fleet'!$J$5:$J$36,INT(($B29/K$4))+1)+(($B29/K$4)-INT(($B29/K$4)))*(INDEX('D Fleet'!$J$5:$J$36,INT(($B29/K$4))+2)-INDEX('D Fleet'!$J$5:$J$36,INT(($B29/K$4))+1)),0)</f>
        <v/>
      </c>
      <c r="L29" s="350">
        <f>IFERROR(INDEX('D Fleet'!$C$5:$C$63,MATCH(L$3-$B29,'D Fleet'!$B$5:$B$63,0)),0)*IFERROR(INDEX('D Fleet'!$J$5:$J$36,INT(($B29/L$4))+1)+(($B29/L$4)-INT(($B29/L$4)))*(INDEX('D Fleet'!$J$5:$J$36,INT(($B29/L$4))+2)-INDEX('D Fleet'!$J$5:$J$36,INT(($B29/L$4))+1)),0)</f>
        <v/>
      </c>
      <c r="M29" s="350">
        <f>IFERROR(INDEX('D Fleet'!$C$5:$C$63,MATCH(M$3-$B29,'D Fleet'!$B$5:$B$63,0)),0)*IFERROR(INDEX('D Fleet'!$J$5:$J$36,INT(($B29/M$4))+1)+(($B29/M$4)-INT(($B29/M$4)))*(INDEX('D Fleet'!$J$5:$J$36,INT(($B29/M$4))+2)-INDEX('D Fleet'!$J$5:$J$36,INT(($B29/M$4))+1)),0)</f>
        <v/>
      </c>
      <c r="N29" s="350">
        <f>IFERROR(INDEX('D Fleet'!$C$5:$C$63,MATCH(N$3-$B29,'D Fleet'!$B$5:$B$63,0)),0)*IFERROR(INDEX('D Fleet'!$J$5:$J$36,INT(($B29/N$4))+1)+(($B29/N$4)-INT(($B29/N$4)))*(INDEX('D Fleet'!$J$5:$J$36,INT(($B29/N$4))+2)-INDEX('D Fleet'!$J$5:$J$36,INT(($B29/N$4))+1)),0)</f>
        <v/>
      </c>
      <c r="P29" s="350">
        <f>E29*$D29*'E1 Fleet'!$D$97</f>
        <v/>
      </c>
      <c r="Q29" s="350">
        <f>F29*$D29*'E1 Fleet'!$D$97</f>
        <v/>
      </c>
      <c r="R29" s="350">
        <f>G29*$D29*'E1 Fleet'!$D$97</f>
        <v/>
      </c>
      <c r="S29" s="350">
        <f>H29*$D29*'E1 Fleet'!$D$97</f>
        <v/>
      </c>
      <c r="T29" s="350">
        <f>I29*$D29*'E1 Fleet'!$D$97</f>
        <v/>
      </c>
      <c r="U29" s="350">
        <f>J29*$D29*'E1 Fleet'!$D$97</f>
        <v/>
      </c>
      <c r="V29" s="350">
        <f>K29*$D29*'E1 Fleet'!$D$97</f>
        <v/>
      </c>
      <c r="W29" s="350">
        <f>L29*$D29*'E1 Fleet'!$D$97</f>
        <v/>
      </c>
      <c r="X29" s="350">
        <f>M29*$D29*'E1 Fleet'!$D$97</f>
        <v/>
      </c>
      <c r="Y29" s="350">
        <f>N29*$D29*'E1 Fleet'!$D$97</f>
        <v/>
      </c>
    </row>
    <row r="30">
      <c r="A30" t="inlineStr">
        <is>
          <t>Car</t>
        </is>
      </c>
      <c r="B30" s="456" t="n">
        <v>23</v>
      </c>
      <c r="C30" s="456" t="n">
        <v>3</v>
      </c>
      <c r="D30" s="348">
        <f>IF($B30=0,'E1 Fleet'!$D$93,1)*EXP(-'E1 Fleet'!$D$94*MAX($B30-6,0))</f>
        <v/>
      </c>
      <c r="E30" s="350">
        <f>IFERROR(INDEX('D Fleet'!$C$5:$C$63,MATCH(E$3-$B30,'D Fleet'!$B$5:$B$63,0)),0)*IFERROR(INDEX('D Fleet'!$J$5:$J$36,INT(($B30/E$4))+1)+(($B30/E$4)-INT(($B30/E$4)))*(INDEX('D Fleet'!$J$5:$J$36,INT(($B30/E$4))+2)-INDEX('D Fleet'!$J$5:$J$36,INT(($B30/E$4))+1)),0)</f>
        <v/>
      </c>
      <c r="F30" s="350">
        <f>IFERROR(INDEX('D Fleet'!$C$5:$C$63,MATCH(F$3-$B30,'D Fleet'!$B$5:$B$63,0)),0)*IFERROR(INDEX('D Fleet'!$J$5:$J$36,INT(($B30/F$4))+1)+(($B30/F$4)-INT(($B30/F$4)))*(INDEX('D Fleet'!$J$5:$J$36,INT(($B30/F$4))+2)-INDEX('D Fleet'!$J$5:$J$36,INT(($B30/F$4))+1)),0)</f>
        <v/>
      </c>
      <c r="G30" s="350">
        <f>IFERROR(INDEX('D Fleet'!$C$5:$C$63,MATCH(G$3-$B30,'D Fleet'!$B$5:$B$63,0)),0)*IFERROR(INDEX('D Fleet'!$J$5:$J$36,INT(($B30/G$4))+1)+(($B30/G$4)-INT(($B30/G$4)))*(INDEX('D Fleet'!$J$5:$J$36,INT(($B30/G$4))+2)-INDEX('D Fleet'!$J$5:$J$36,INT(($B30/G$4))+1)),0)</f>
        <v/>
      </c>
      <c r="H30" s="350">
        <f>IFERROR(INDEX('D Fleet'!$C$5:$C$63,MATCH(H$3-$B30,'D Fleet'!$B$5:$B$63,0)),0)*IFERROR(INDEX('D Fleet'!$J$5:$J$36,INT(($B30/H$4))+1)+(($B30/H$4)-INT(($B30/H$4)))*(INDEX('D Fleet'!$J$5:$J$36,INT(($B30/H$4))+2)-INDEX('D Fleet'!$J$5:$J$36,INT(($B30/H$4))+1)),0)</f>
        <v/>
      </c>
      <c r="I30" s="350">
        <f>IFERROR(INDEX('D Fleet'!$C$5:$C$63,MATCH(I$3-$B30,'D Fleet'!$B$5:$B$63,0)),0)*IFERROR(INDEX('D Fleet'!$J$5:$J$36,INT(($B30/I$4))+1)+(($B30/I$4)-INT(($B30/I$4)))*(INDEX('D Fleet'!$J$5:$J$36,INT(($B30/I$4))+2)-INDEX('D Fleet'!$J$5:$J$36,INT(($B30/I$4))+1)),0)</f>
        <v/>
      </c>
      <c r="J30" s="350">
        <f>IFERROR(INDEX('D Fleet'!$C$5:$C$63,MATCH(J$3-$B30,'D Fleet'!$B$5:$B$63,0)),0)*IFERROR(INDEX('D Fleet'!$J$5:$J$36,INT(($B30/J$4))+1)+(($B30/J$4)-INT(($B30/J$4)))*(INDEX('D Fleet'!$J$5:$J$36,INT(($B30/J$4))+2)-INDEX('D Fleet'!$J$5:$J$36,INT(($B30/J$4))+1)),0)</f>
        <v/>
      </c>
      <c r="K30" s="350">
        <f>IFERROR(INDEX('D Fleet'!$C$5:$C$63,MATCH(K$3-$B30,'D Fleet'!$B$5:$B$63,0)),0)*IFERROR(INDEX('D Fleet'!$J$5:$J$36,INT(($B30/K$4))+1)+(($B30/K$4)-INT(($B30/K$4)))*(INDEX('D Fleet'!$J$5:$J$36,INT(($B30/K$4))+2)-INDEX('D Fleet'!$J$5:$J$36,INT(($B30/K$4))+1)),0)</f>
        <v/>
      </c>
      <c r="L30" s="350">
        <f>IFERROR(INDEX('D Fleet'!$C$5:$C$63,MATCH(L$3-$B30,'D Fleet'!$B$5:$B$63,0)),0)*IFERROR(INDEX('D Fleet'!$J$5:$J$36,INT(($B30/L$4))+1)+(($B30/L$4)-INT(($B30/L$4)))*(INDEX('D Fleet'!$J$5:$J$36,INT(($B30/L$4))+2)-INDEX('D Fleet'!$J$5:$J$36,INT(($B30/L$4))+1)),0)</f>
        <v/>
      </c>
      <c r="M30" s="350">
        <f>IFERROR(INDEX('D Fleet'!$C$5:$C$63,MATCH(M$3-$B30,'D Fleet'!$B$5:$B$63,0)),0)*IFERROR(INDEX('D Fleet'!$J$5:$J$36,INT(($B30/M$4))+1)+(($B30/M$4)-INT(($B30/M$4)))*(INDEX('D Fleet'!$J$5:$J$36,INT(($B30/M$4))+2)-INDEX('D Fleet'!$J$5:$J$36,INT(($B30/M$4))+1)),0)</f>
        <v/>
      </c>
      <c r="N30" s="350">
        <f>IFERROR(INDEX('D Fleet'!$C$5:$C$63,MATCH(N$3-$B30,'D Fleet'!$B$5:$B$63,0)),0)*IFERROR(INDEX('D Fleet'!$J$5:$J$36,INT(($B30/N$4))+1)+(($B30/N$4)-INT(($B30/N$4)))*(INDEX('D Fleet'!$J$5:$J$36,INT(($B30/N$4))+2)-INDEX('D Fleet'!$J$5:$J$36,INT(($B30/N$4))+1)),0)</f>
        <v/>
      </c>
      <c r="P30" s="350">
        <f>E30*$D30*'E1 Fleet'!$D$97</f>
        <v/>
      </c>
      <c r="Q30" s="350">
        <f>F30*$D30*'E1 Fleet'!$D$97</f>
        <v/>
      </c>
      <c r="R30" s="350">
        <f>G30*$D30*'E1 Fleet'!$D$97</f>
        <v/>
      </c>
      <c r="S30" s="350">
        <f>H30*$D30*'E1 Fleet'!$D$97</f>
        <v/>
      </c>
      <c r="T30" s="350">
        <f>I30*$D30*'E1 Fleet'!$D$97</f>
        <v/>
      </c>
      <c r="U30" s="350">
        <f>J30*$D30*'E1 Fleet'!$D$97</f>
        <v/>
      </c>
      <c r="V30" s="350">
        <f>K30*$D30*'E1 Fleet'!$D$97</f>
        <v/>
      </c>
      <c r="W30" s="350">
        <f>L30*$D30*'E1 Fleet'!$D$97</f>
        <v/>
      </c>
      <c r="X30" s="350">
        <f>M30*$D30*'E1 Fleet'!$D$97</f>
        <v/>
      </c>
      <c r="Y30" s="350">
        <f>N30*$D30*'E1 Fleet'!$D$97</f>
        <v/>
      </c>
    </row>
    <row r="31">
      <c r="A31" t="inlineStr">
        <is>
          <t>Car</t>
        </is>
      </c>
      <c r="B31" s="456" t="n">
        <v>24</v>
      </c>
      <c r="C31" s="456" t="n">
        <v>3</v>
      </c>
      <c r="D31" s="348">
        <f>IF($B31=0,'E1 Fleet'!$D$93,1)*EXP(-'E1 Fleet'!$D$94*MAX($B31-6,0))</f>
        <v/>
      </c>
      <c r="E31" s="350">
        <f>IFERROR(INDEX('D Fleet'!$C$5:$C$63,MATCH(E$3-$B31,'D Fleet'!$B$5:$B$63,0)),0)*IFERROR(INDEX('D Fleet'!$J$5:$J$36,INT(($B31/E$4))+1)+(($B31/E$4)-INT(($B31/E$4)))*(INDEX('D Fleet'!$J$5:$J$36,INT(($B31/E$4))+2)-INDEX('D Fleet'!$J$5:$J$36,INT(($B31/E$4))+1)),0)</f>
        <v/>
      </c>
      <c r="F31" s="350">
        <f>IFERROR(INDEX('D Fleet'!$C$5:$C$63,MATCH(F$3-$B31,'D Fleet'!$B$5:$B$63,0)),0)*IFERROR(INDEX('D Fleet'!$J$5:$J$36,INT(($B31/F$4))+1)+(($B31/F$4)-INT(($B31/F$4)))*(INDEX('D Fleet'!$J$5:$J$36,INT(($B31/F$4))+2)-INDEX('D Fleet'!$J$5:$J$36,INT(($B31/F$4))+1)),0)</f>
        <v/>
      </c>
      <c r="G31" s="350">
        <f>IFERROR(INDEX('D Fleet'!$C$5:$C$63,MATCH(G$3-$B31,'D Fleet'!$B$5:$B$63,0)),0)*IFERROR(INDEX('D Fleet'!$J$5:$J$36,INT(($B31/G$4))+1)+(($B31/G$4)-INT(($B31/G$4)))*(INDEX('D Fleet'!$J$5:$J$36,INT(($B31/G$4))+2)-INDEX('D Fleet'!$J$5:$J$36,INT(($B31/G$4))+1)),0)</f>
        <v/>
      </c>
      <c r="H31" s="350">
        <f>IFERROR(INDEX('D Fleet'!$C$5:$C$63,MATCH(H$3-$B31,'D Fleet'!$B$5:$B$63,0)),0)*IFERROR(INDEX('D Fleet'!$J$5:$J$36,INT(($B31/H$4))+1)+(($B31/H$4)-INT(($B31/H$4)))*(INDEX('D Fleet'!$J$5:$J$36,INT(($B31/H$4))+2)-INDEX('D Fleet'!$J$5:$J$36,INT(($B31/H$4))+1)),0)</f>
        <v/>
      </c>
      <c r="I31" s="350">
        <f>IFERROR(INDEX('D Fleet'!$C$5:$C$63,MATCH(I$3-$B31,'D Fleet'!$B$5:$B$63,0)),0)*IFERROR(INDEX('D Fleet'!$J$5:$J$36,INT(($B31/I$4))+1)+(($B31/I$4)-INT(($B31/I$4)))*(INDEX('D Fleet'!$J$5:$J$36,INT(($B31/I$4))+2)-INDEX('D Fleet'!$J$5:$J$36,INT(($B31/I$4))+1)),0)</f>
        <v/>
      </c>
      <c r="J31" s="350">
        <f>IFERROR(INDEX('D Fleet'!$C$5:$C$63,MATCH(J$3-$B31,'D Fleet'!$B$5:$B$63,0)),0)*IFERROR(INDEX('D Fleet'!$J$5:$J$36,INT(($B31/J$4))+1)+(($B31/J$4)-INT(($B31/J$4)))*(INDEX('D Fleet'!$J$5:$J$36,INT(($B31/J$4))+2)-INDEX('D Fleet'!$J$5:$J$36,INT(($B31/J$4))+1)),0)</f>
        <v/>
      </c>
      <c r="K31" s="350">
        <f>IFERROR(INDEX('D Fleet'!$C$5:$C$63,MATCH(K$3-$B31,'D Fleet'!$B$5:$B$63,0)),0)*IFERROR(INDEX('D Fleet'!$J$5:$J$36,INT(($B31/K$4))+1)+(($B31/K$4)-INT(($B31/K$4)))*(INDEX('D Fleet'!$J$5:$J$36,INT(($B31/K$4))+2)-INDEX('D Fleet'!$J$5:$J$36,INT(($B31/K$4))+1)),0)</f>
        <v/>
      </c>
      <c r="L31" s="350">
        <f>IFERROR(INDEX('D Fleet'!$C$5:$C$63,MATCH(L$3-$B31,'D Fleet'!$B$5:$B$63,0)),0)*IFERROR(INDEX('D Fleet'!$J$5:$J$36,INT(($B31/L$4))+1)+(($B31/L$4)-INT(($B31/L$4)))*(INDEX('D Fleet'!$J$5:$J$36,INT(($B31/L$4))+2)-INDEX('D Fleet'!$J$5:$J$36,INT(($B31/L$4))+1)),0)</f>
        <v/>
      </c>
      <c r="M31" s="350">
        <f>IFERROR(INDEX('D Fleet'!$C$5:$C$63,MATCH(M$3-$B31,'D Fleet'!$B$5:$B$63,0)),0)*IFERROR(INDEX('D Fleet'!$J$5:$J$36,INT(($B31/M$4))+1)+(($B31/M$4)-INT(($B31/M$4)))*(INDEX('D Fleet'!$J$5:$J$36,INT(($B31/M$4))+2)-INDEX('D Fleet'!$J$5:$J$36,INT(($B31/M$4))+1)),0)</f>
        <v/>
      </c>
      <c r="N31" s="350">
        <f>IFERROR(INDEX('D Fleet'!$C$5:$C$63,MATCH(N$3-$B31,'D Fleet'!$B$5:$B$63,0)),0)*IFERROR(INDEX('D Fleet'!$J$5:$J$36,INT(($B31/N$4))+1)+(($B31/N$4)-INT(($B31/N$4)))*(INDEX('D Fleet'!$J$5:$J$36,INT(($B31/N$4))+2)-INDEX('D Fleet'!$J$5:$J$36,INT(($B31/N$4))+1)),0)</f>
        <v/>
      </c>
      <c r="P31" s="350">
        <f>E31*$D31*'E1 Fleet'!$D$97</f>
        <v/>
      </c>
      <c r="Q31" s="350">
        <f>F31*$D31*'E1 Fleet'!$D$97</f>
        <v/>
      </c>
      <c r="R31" s="350">
        <f>G31*$D31*'E1 Fleet'!$D$97</f>
        <v/>
      </c>
      <c r="S31" s="350">
        <f>H31*$D31*'E1 Fleet'!$D$97</f>
        <v/>
      </c>
      <c r="T31" s="350">
        <f>I31*$D31*'E1 Fleet'!$D$97</f>
        <v/>
      </c>
      <c r="U31" s="350">
        <f>J31*$D31*'E1 Fleet'!$D$97</f>
        <v/>
      </c>
      <c r="V31" s="350">
        <f>K31*$D31*'E1 Fleet'!$D$97</f>
        <v/>
      </c>
      <c r="W31" s="350">
        <f>L31*$D31*'E1 Fleet'!$D$97</f>
        <v/>
      </c>
      <c r="X31" s="350">
        <f>M31*$D31*'E1 Fleet'!$D$97</f>
        <v/>
      </c>
      <c r="Y31" s="350">
        <f>N31*$D31*'E1 Fleet'!$D$97</f>
        <v/>
      </c>
    </row>
    <row r="32">
      <c r="A32" t="inlineStr">
        <is>
          <t>Car</t>
        </is>
      </c>
      <c r="B32" s="456" t="n">
        <v>25</v>
      </c>
      <c r="C32" s="456" t="n">
        <v>3</v>
      </c>
      <c r="D32" s="348">
        <f>IF($B32=0,'E1 Fleet'!$D$93,1)*EXP(-'E1 Fleet'!$D$94*MAX($B32-6,0))</f>
        <v/>
      </c>
      <c r="E32" s="350">
        <f>IFERROR(INDEX('D Fleet'!$C$5:$C$63,MATCH(E$3-$B32,'D Fleet'!$B$5:$B$63,0)),0)*IFERROR(INDEX('D Fleet'!$J$5:$J$36,INT(($B32/E$4))+1)+(($B32/E$4)-INT(($B32/E$4)))*(INDEX('D Fleet'!$J$5:$J$36,INT(($B32/E$4))+2)-INDEX('D Fleet'!$J$5:$J$36,INT(($B32/E$4))+1)),0)</f>
        <v/>
      </c>
      <c r="F32" s="350">
        <f>IFERROR(INDEX('D Fleet'!$C$5:$C$63,MATCH(F$3-$B32,'D Fleet'!$B$5:$B$63,0)),0)*IFERROR(INDEX('D Fleet'!$J$5:$J$36,INT(($B32/F$4))+1)+(($B32/F$4)-INT(($B32/F$4)))*(INDEX('D Fleet'!$J$5:$J$36,INT(($B32/F$4))+2)-INDEX('D Fleet'!$J$5:$J$36,INT(($B32/F$4))+1)),0)</f>
        <v/>
      </c>
      <c r="G32" s="350">
        <f>IFERROR(INDEX('D Fleet'!$C$5:$C$63,MATCH(G$3-$B32,'D Fleet'!$B$5:$B$63,0)),0)*IFERROR(INDEX('D Fleet'!$J$5:$J$36,INT(($B32/G$4))+1)+(($B32/G$4)-INT(($B32/G$4)))*(INDEX('D Fleet'!$J$5:$J$36,INT(($B32/G$4))+2)-INDEX('D Fleet'!$J$5:$J$36,INT(($B32/G$4))+1)),0)</f>
        <v/>
      </c>
      <c r="H32" s="350">
        <f>IFERROR(INDEX('D Fleet'!$C$5:$C$63,MATCH(H$3-$B32,'D Fleet'!$B$5:$B$63,0)),0)*IFERROR(INDEX('D Fleet'!$J$5:$J$36,INT(($B32/H$4))+1)+(($B32/H$4)-INT(($B32/H$4)))*(INDEX('D Fleet'!$J$5:$J$36,INT(($B32/H$4))+2)-INDEX('D Fleet'!$J$5:$J$36,INT(($B32/H$4))+1)),0)</f>
        <v/>
      </c>
      <c r="I32" s="350">
        <f>IFERROR(INDEX('D Fleet'!$C$5:$C$63,MATCH(I$3-$B32,'D Fleet'!$B$5:$B$63,0)),0)*IFERROR(INDEX('D Fleet'!$J$5:$J$36,INT(($B32/I$4))+1)+(($B32/I$4)-INT(($B32/I$4)))*(INDEX('D Fleet'!$J$5:$J$36,INT(($B32/I$4))+2)-INDEX('D Fleet'!$J$5:$J$36,INT(($B32/I$4))+1)),0)</f>
        <v/>
      </c>
      <c r="J32" s="350">
        <f>IFERROR(INDEX('D Fleet'!$C$5:$C$63,MATCH(J$3-$B32,'D Fleet'!$B$5:$B$63,0)),0)*IFERROR(INDEX('D Fleet'!$J$5:$J$36,INT(($B32/J$4))+1)+(($B32/J$4)-INT(($B32/J$4)))*(INDEX('D Fleet'!$J$5:$J$36,INT(($B32/J$4))+2)-INDEX('D Fleet'!$J$5:$J$36,INT(($B32/J$4))+1)),0)</f>
        <v/>
      </c>
      <c r="K32" s="350">
        <f>IFERROR(INDEX('D Fleet'!$C$5:$C$63,MATCH(K$3-$B32,'D Fleet'!$B$5:$B$63,0)),0)*IFERROR(INDEX('D Fleet'!$J$5:$J$36,INT(($B32/K$4))+1)+(($B32/K$4)-INT(($B32/K$4)))*(INDEX('D Fleet'!$J$5:$J$36,INT(($B32/K$4))+2)-INDEX('D Fleet'!$J$5:$J$36,INT(($B32/K$4))+1)),0)</f>
        <v/>
      </c>
      <c r="L32" s="350">
        <f>IFERROR(INDEX('D Fleet'!$C$5:$C$63,MATCH(L$3-$B32,'D Fleet'!$B$5:$B$63,0)),0)*IFERROR(INDEX('D Fleet'!$J$5:$J$36,INT(($B32/L$4))+1)+(($B32/L$4)-INT(($B32/L$4)))*(INDEX('D Fleet'!$J$5:$J$36,INT(($B32/L$4))+2)-INDEX('D Fleet'!$J$5:$J$36,INT(($B32/L$4))+1)),0)</f>
        <v/>
      </c>
      <c r="M32" s="350">
        <f>IFERROR(INDEX('D Fleet'!$C$5:$C$63,MATCH(M$3-$B32,'D Fleet'!$B$5:$B$63,0)),0)*IFERROR(INDEX('D Fleet'!$J$5:$J$36,INT(($B32/M$4))+1)+(($B32/M$4)-INT(($B32/M$4)))*(INDEX('D Fleet'!$J$5:$J$36,INT(($B32/M$4))+2)-INDEX('D Fleet'!$J$5:$J$36,INT(($B32/M$4))+1)),0)</f>
        <v/>
      </c>
      <c r="N32" s="350">
        <f>IFERROR(INDEX('D Fleet'!$C$5:$C$63,MATCH(N$3-$B32,'D Fleet'!$B$5:$B$63,0)),0)*IFERROR(INDEX('D Fleet'!$J$5:$J$36,INT(($B32/N$4))+1)+(($B32/N$4)-INT(($B32/N$4)))*(INDEX('D Fleet'!$J$5:$J$36,INT(($B32/N$4))+2)-INDEX('D Fleet'!$J$5:$J$36,INT(($B32/N$4))+1)),0)</f>
        <v/>
      </c>
      <c r="P32" s="350">
        <f>E32*$D32*'E1 Fleet'!$D$97</f>
        <v/>
      </c>
      <c r="Q32" s="350">
        <f>F32*$D32*'E1 Fleet'!$D$97</f>
        <v/>
      </c>
      <c r="R32" s="350">
        <f>G32*$D32*'E1 Fleet'!$D$97</f>
        <v/>
      </c>
      <c r="S32" s="350">
        <f>H32*$D32*'E1 Fleet'!$D$97</f>
        <v/>
      </c>
      <c r="T32" s="350">
        <f>I32*$D32*'E1 Fleet'!$D$97</f>
        <v/>
      </c>
      <c r="U32" s="350">
        <f>J32*$D32*'E1 Fleet'!$D$97</f>
        <v/>
      </c>
      <c r="V32" s="350">
        <f>K32*$D32*'E1 Fleet'!$D$97</f>
        <v/>
      </c>
      <c r="W32" s="350">
        <f>L32*$D32*'E1 Fleet'!$D$97</f>
        <v/>
      </c>
      <c r="X32" s="350">
        <f>M32*$D32*'E1 Fleet'!$D$97</f>
        <v/>
      </c>
      <c r="Y32" s="350">
        <f>N32*$D32*'E1 Fleet'!$D$97</f>
        <v/>
      </c>
    </row>
    <row r="33">
      <c r="A33" t="inlineStr">
        <is>
          <t>Car</t>
        </is>
      </c>
      <c r="B33" s="456" t="n">
        <v>26</v>
      </c>
      <c r="C33" s="456" t="n">
        <v>3</v>
      </c>
      <c r="D33" s="348">
        <f>IF($B33=0,'E1 Fleet'!$D$93,1)*EXP(-'E1 Fleet'!$D$94*MAX($B33-6,0))</f>
        <v/>
      </c>
      <c r="E33" s="350">
        <f>IFERROR(INDEX('D Fleet'!$C$5:$C$63,MATCH(E$3-$B33,'D Fleet'!$B$5:$B$63,0)),0)*IFERROR(INDEX('D Fleet'!$J$5:$J$36,INT(($B33/E$4))+1)+(($B33/E$4)-INT(($B33/E$4)))*(INDEX('D Fleet'!$J$5:$J$36,INT(($B33/E$4))+2)-INDEX('D Fleet'!$J$5:$J$36,INT(($B33/E$4))+1)),0)</f>
        <v/>
      </c>
      <c r="F33" s="350">
        <f>IFERROR(INDEX('D Fleet'!$C$5:$C$63,MATCH(F$3-$B33,'D Fleet'!$B$5:$B$63,0)),0)*IFERROR(INDEX('D Fleet'!$J$5:$J$36,INT(($B33/F$4))+1)+(($B33/F$4)-INT(($B33/F$4)))*(INDEX('D Fleet'!$J$5:$J$36,INT(($B33/F$4))+2)-INDEX('D Fleet'!$J$5:$J$36,INT(($B33/F$4))+1)),0)</f>
        <v/>
      </c>
      <c r="G33" s="350">
        <f>IFERROR(INDEX('D Fleet'!$C$5:$C$63,MATCH(G$3-$B33,'D Fleet'!$B$5:$B$63,0)),0)*IFERROR(INDEX('D Fleet'!$J$5:$J$36,INT(($B33/G$4))+1)+(($B33/G$4)-INT(($B33/G$4)))*(INDEX('D Fleet'!$J$5:$J$36,INT(($B33/G$4))+2)-INDEX('D Fleet'!$J$5:$J$36,INT(($B33/G$4))+1)),0)</f>
        <v/>
      </c>
      <c r="H33" s="350">
        <f>IFERROR(INDEX('D Fleet'!$C$5:$C$63,MATCH(H$3-$B33,'D Fleet'!$B$5:$B$63,0)),0)*IFERROR(INDEX('D Fleet'!$J$5:$J$36,INT(($B33/H$4))+1)+(($B33/H$4)-INT(($B33/H$4)))*(INDEX('D Fleet'!$J$5:$J$36,INT(($B33/H$4))+2)-INDEX('D Fleet'!$J$5:$J$36,INT(($B33/H$4))+1)),0)</f>
        <v/>
      </c>
      <c r="I33" s="350">
        <f>IFERROR(INDEX('D Fleet'!$C$5:$C$63,MATCH(I$3-$B33,'D Fleet'!$B$5:$B$63,0)),0)*IFERROR(INDEX('D Fleet'!$J$5:$J$36,INT(($B33/I$4))+1)+(($B33/I$4)-INT(($B33/I$4)))*(INDEX('D Fleet'!$J$5:$J$36,INT(($B33/I$4))+2)-INDEX('D Fleet'!$J$5:$J$36,INT(($B33/I$4))+1)),0)</f>
        <v/>
      </c>
      <c r="J33" s="350">
        <f>IFERROR(INDEX('D Fleet'!$C$5:$C$63,MATCH(J$3-$B33,'D Fleet'!$B$5:$B$63,0)),0)*IFERROR(INDEX('D Fleet'!$J$5:$J$36,INT(($B33/J$4))+1)+(($B33/J$4)-INT(($B33/J$4)))*(INDEX('D Fleet'!$J$5:$J$36,INT(($B33/J$4))+2)-INDEX('D Fleet'!$J$5:$J$36,INT(($B33/J$4))+1)),0)</f>
        <v/>
      </c>
      <c r="K33" s="350">
        <f>IFERROR(INDEX('D Fleet'!$C$5:$C$63,MATCH(K$3-$B33,'D Fleet'!$B$5:$B$63,0)),0)*IFERROR(INDEX('D Fleet'!$J$5:$J$36,INT(($B33/K$4))+1)+(($B33/K$4)-INT(($B33/K$4)))*(INDEX('D Fleet'!$J$5:$J$36,INT(($B33/K$4))+2)-INDEX('D Fleet'!$J$5:$J$36,INT(($B33/K$4))+1)),0)</f>
        <v/>
      </c>
      <c r="L33" s="350">
        <f>IFERROR(INDEX('D Fleet'!$C$5:$C$63,MATCH(L$3-$B33,'D Fleet'!$B$5:$B$63,0)),0)*IFERROR(INDEX('D Fleet'!$J$5:$J$36,INT(($B33/L$4))+1)+(($B33/L$4)-INT(($B33/L$4)))*(INDEX('D Fleet'!$J$5:$J$36,INT(($B33/L$4))+2)-INDEX('D Fleet'!$J$5:$J$36,INT(($B33/L$4))+1)),0)</f>
        <v/>
      </c>
      <c r="M33" s="350">
        <f>IFERROR(INDEX('D Fleet'!$C$5:$C$63,MATCH(M$3-$B33,'D Fleet'!$B$5:$B$63,0)),0)*IFERROR(INDEX('D Fleet'!$J$5:$J$36,INT(($B33/M$4))+1)+(($B33/M$4)-INT(($B33/M$4)))*(INDEX('D Fleet'!$J$5:$J$36,INT(($B33/M$4))+2)-INDEX('D Fleet'!$J$5:$J$36,INT(($B33/M$4))+1)),0)</f>
        <v/>
      </c>
      <c r="N33" s="350">
        <f>IFERROR(INDEX('D Fleet'!$C$5:$C$63,MATCH(N$3-$B33,'D Fleet'!$B$5:$B$63,0)),0)*IFERROR(INDEX('D Fleet'!$J$5:$J$36,INT(($B33/N$4))+1)+(($B33/N$4)-INT(($B33/N$4)))*(INDEX('D Fleet'!$J$5:$J$36,INT(($B33/N$4))+2)-INDEX('D Fleet'!$J$5:$J$36,INT(($B33/N$4))+1)),0)</f>
        <v/>
      </c>
      <c r="P33" s="350">
        <f>E33*$D33*'E1 Fleet'!$D$97</f>
        <v/>
      </c>
      <c r="Q33" s="350">
        <f>F33*$D33*'E1 Fleet'!$D$97</f>
        <v/>
      </c>
      <c r="R33" s="350">
        <f>G33*$D33*'E1 Fleet'!$D$97</f>
        <v/>
      </c>
      <c r="S33" s="350">
        <f>H33*$D33*'E1 Fleet'!$D$97</f>
        <v/>
      </c>
      <c r="T33" s="350">
        <f>I33*$D33*'E1 Fleet'!$D$97</f>
        <v/>
      </c>
      <c r="U33" s="350">
        <f>J33*$D33*'E1 Fleet'!$D$97</f>
        <v/>
      </c>
      <c r="V33" s="350">
        <f>K33*$D33*'E1 Fleet'!$D$97</f>
        <v/>
      </c>
      <c r="W33" s="350">
        <f>L33*$D33*'E1 Fleet'!$D$97</f>
        <v/>
      </c>
      <c r="X33" s="350">
        <f>M33*$D33*'E1 Fleet'!$D$97</f>
        <v/>
      </c>
      <c r="Y33" s="350">
        <f>N33*$D33*'E1 Fleet'!$D$97</f>
        <v/>
      </c>
    </row>
    <row r="34">
      <c r="A34" t="inlineStr">
        <is>
          <t>Car</t>
        </is>
      </c>
      <c r="B34" s="456" t="n">
        <v>27</v>
      </c>
      <c r="C34" s="456" t="n">
        <v>3</v>
      </c>
      <c r="D34" s="348">
        <f>IF($B34=0,'E1 Fleet'!$D$93,1)*EXP(-'E1 Fleet'!$D$94*MAX($B34-6,0))</f>
        <v/>
      </c>
      <c r="E34" s="350">
        <f>IFERROR(INDEX('D Fleet'!$C$5:$C$63,MATCH(E$3-$B34,'D Fleet'!$B$5:$B$63,0)),0)*IFERROR(INDEX('D Fleet'!$J$5:$J$36,INT(($B34/E$4))+1)+(($B34/E$4)-INT(($B34/E$4)))*(INDEX('D Fleet'!$J$5:$J$36,INT(($B34/E$4))+2)-INDEX('D Fleet'!$J$5:$J$36,INT(($B34/E$4))+1)),0)</f>
        <v/>
      </c>
      <c r="F34" s="350">
        <f>IFERROR(INDEX('D Fleet'!$C$5:$C$63,MATCH(F$3-$B34,'D Fleet'!$B$5:$B$63,0)),0)*IFERROR(INDEX('D Fleet'!$J$5:$J$36,INT(($B34/F$4))+1)+(($B34/F$4)-INT(($B34/F$4)))*(INDEX('D Fleet'!$J$5:$J$36,INT(($B34/F$4))+2)-INDEX('D Fleet'!$J$5:$J$36,INT(($B34/F$4))+1)),0)</f>
        <v/>
      </c>
      <c r="G34" s="350">
        <f>IFERROR(INDEX('D Fleet'!$C$5:$C$63,MATCH(G$3-$B34,'D Fleet'!$B$5:$B$63,0)),0)*IFERROR(INDEX('D Fleet'!$J$5:$J$36,INT(($B34/G$4))+1)+(($B34/G$4)-INT(($B34/G$4)))*(INDEX('D Fleet'!$J$5:$J$36,INT(($B34/G$4))+2)-INDEX('D Fleet'!$J$5:$J$36,INT(($B34/G$4))+1)),0)</f>
        <v/>
      </c>
      <c r="H34" s="350">
        <f>IFERROR(INDEX('D Fleet'!$C$5:$C$63,MATCH(H$3-$B34,'D Fleet'!$B$5:$B$63,0)),0)*IFERROR(INDEX('D Fleet'!$J$5:$J$36,INT(($B34/H$4))+1)+(($B34/H$4)-INT(($B34/H$4)))*(INDEX('D Fleet'!$J$5:$J$36,INT(($B34/H$4))+2)-INDEX('D Fleet'!$J$5:$J$36,INT(($B34/H$4))+1)),0)</f>
        <v/>
      </c>
      <c r="I34" s="350">
        <f>IFERROR(INDEX('D Fleet'!$C$5:$C$63,MATCH(I$3-$B34,'D Fleet'!$B$5:$B$63,0)),0)*IFERROR(INDEX('D Fleet'!$J$5:$J$36,INT(($B34/I$4))+1)+(($B34/I$4)-INT(($B34/I$4)))*(INDEX('D Fleet'!$J$5:$J$36,INT(($B34/I$4))+2)-INDEX('D Fleet'!$J$5:$J$36,INT(($B34/I$4))+1)),0)</f>
        <v/>
      </c>
      <c r="J34" s="350">
        <f>IFERROR(INDEX('D Fleet'!$C$5:$C$63,MATCH(J$3-$B34,'D Fleet'!$B$5:$B$63,0)),0)*IFERROR(INDEX('D Fleet'!$J$5:$J$36,INT(($B34/J$4))+1)+(($B34/J$4)-INT(($B34/J$4)))*(INDEX('D Fleet'!$J$5:$J$36,INT(($B34/J$4))+2)-INDEX('D Fleet'!$J$5:$J$36,INT(($B34/J$4))+1)),0)</f>
        <v/>
      </c>
      <c r="K34" s="350">
        <f>IFERROR(INDEX('D Fleet'!$C$5:$C$63,MATCH(K$3-$B34,'D Fleet'!$B$5:$B$63,0)),0)*IFERROR(INDEX('D Fleet'!$J$5:$J$36,INT(($B34/K$4))+1)+(($B34/K$4)-INT(($B34/K$4)))*(INDEX('D Fleet'!$J$5:$J$36,INT(($B34/K$4))+2)-INDEX('D Fleet'!$J$5:$J$36,INT(($B34/K$4))+1)),0)</f>
        <v/>
      </c>
      <c r="L34" s="350">
        <f>IFERROR(INDEX('D Fleet'!$C$5:$C$63,MATCH(L$3-$B34,'D Fleet'!$B$5:$B$63,0)),0)*IFERROR(INDEX('D Fleet'!$J$5:$J$36,INT(($B34/L$4))+1)+(($B34/L$4)-INT(($B34/L$4)))*(INDEX('D Fleet'!$J$5:$J$36,INT(($B34/L$4))+2)-INDEX('D Fleet'!$J$5:$J$36,INT(($B34/L$4))+1)),0)</f>
        <v/>
      </c>
      <c r="M34" s="350">
        <f>IFERROR(INDEX('D Fleet'!$C$5:$C$63,MATCH(M$3-$B34,'D Fleet'!$B$5:$B$63,0)),0)*IFERROR(INDEX('D Fleet'!$J$5:$J$36,INT(($B34/M$4))+1)+(($B34/M$4)-INT(($B34/M$4)))*(INDEX('D Fleet'!$J$5:$J$36,INT(($B34/M$4))+2)-INDEX('D Fleet'!$J$5:$J$36,INT(($B34/M$4))+1)),0)</f>
        <v/>
      </c>
      <c r="N34" s="350">
        <f>IFERROR(INDEX('D Fleet'!$C$5:$C$63,MATCH(N$3-$B34,'D Fleet'!$B$5:$B$63,0)),0)*IFERROR(INDEX('D Fleet'!$J$5:$J$36,INT(($B34/N$4))+1)+(($B34/N$4)-INT(($B34/N$4)))*(INDEX('D Fleet'!$J$5:$J$36,INT(($B34/N$4))+2)-INDEX('D Fleet'!$J$5:$J$36,INT(($B34/N$4))+1)),0)</f>
        <v/>
      </c>
      <c r="P34" s="350">
        <f>E34*$D34*'E1 Fleet'!$D$97</f>
        <v/>
      </c>
      <c r="Q34" s="350">
        <f>F34*$D34*'E1 Fleet'!$D$97</f>
        <v/>
      </c>
      <c r="R34" s="350">
        <f>G34*$D34*'E1 Fleet'!$D$97</f>
        <v/>
      </c>
      <c r="S34" s="350">
        <f>H34*$D34*'E1 Fleet'!$D$97</f>
        <v/>
      </c>
      <c r="T34" s="350">
        <f>I34*$D34*'E1 Fleet'!$D$97</f>
        <v/>
      </c>
      <c r="U34" s="350">
        <f>J34*$D34*'E1 Fleet'!$D$97</f>
        <v/>
      </c>
      <c r="V34" s="350">
        <f>K34*$D34*'E1 Fleet'!$D$97</f>
        <v/>
      </c>
      <c r="W34" s="350">
        <f>L34*$D34*'E1 Fleet'!$D$97</f>
        <v/>
      </c>
      <c r="X34" s="350">
        <f>M34*$D34*'E1 Fleet'!$D$97</f>
        <v/>
      </c>
      <c r="Y34" s="350">
        <f>N34*$D34*'E1 Fleet'!$D$97</f>
        <v/>
      </c>
    </row>
    <row r="35">
      <c r="A35" t="inlineStr">
        <is>
          <t>Car</t>
        </is>
      </c>
      <c r="B35" s="456" t="n">
        <v>28</v>
      </c>
      <c r="C35" s="456" t="n">
        <v>3</v>
      </c>
      <c r="D35" s="348">
        <f>IF($B35=0,'E1 Fleet'!$D$93,1)*EXP(-'E1 Fleet'!$D$94*MAX($B35-6,0))</f>
        <v/>
      </c>
      <c r="E35" s="350">
        <f>IFERROR(INDEX('D Fleet'!$C$5:$C$63,MATCH(E$3-$B35,'D Fleet'!$B$5:$B$63,0)),0)*IFERROR(INDEX('D Fleet'!$J$5:$J$36,INT(($B35/E$4))+1)+(($B35/E$4)-INT(($B35/E$4)))*(INDEX('D Fleet'!$J$5:$J$36,INT(($B35/E$4))+2)-INDEX('D Fleet'!$J$5:$J$36,INT(($B35/E$4))+1)),0)</f>
        <v/>
      </c>
      <c r="F35" s="350">
        <f>IFERROR(INDEX('D Fleet'!$C$5:$C$63,MATCH(F$3-$B35,'D Fleet'!$B$5:$B$63,0)),0)*IFERROR(INDEX('D Fleet'!$J$5:$J$36,INT(($B35/F$4))+1)+(($B35/F$4)-INT(($B35/F$4)))*(INDEX('D Fleet'!$J$5:$J$36,INT(($B35/F$4))+2)-INDEX('D Fleet'!$J$5:$J$36,INT(($B35/F$4))+1)),0)</f>
        <v/>
      </c>
      <c r="G35" s="350">
        <f>IFERROR(INDEX('D Fleet'!$C$5:$C$63,MATCH(G$3-$B35,'D Fleet'!$B$5:$B$63,0)),0)*IFERROR(INDEX('D Fleet'!$J$5:$J$36,INT(($B35/G$4))+1)+(($B35/G$4)-INT(($B35/G$4)))*(INDEX('D Fleet'!$J$5:$J$36,INT(($B35/G$4))+2)-INDEX('D Fleet'!$J$5:$J$36,INT(($B35/G$4))+1)),0)</f>
        <v/>
      </c>
      <c r="H35" s="350">
        <f>IFERROR(INDEX('D Fleet'!$C$5:$C$63,MATCH(H$3-$B35,'D Fleet'!$B$5:$B$63,0)),0)*IFERROR(INDEX('D Fleet'!$J$5:$J$36,INT(($B35/H$4))+1)+(($B35/H$4)-INT(($B35/H$4)))*(INDEX('D Fleet'!$J$5:$J$36,INT(($B35/H$4))+2)-INDEX('D Fleet'!$J$5:$J$36,INT(($B35/H$4))+1)),0)</f>
        <v/>
      </c>
      <c r="I35" s="350">
        <f>IFERROR(INDEX('D Fleet'!$C$5:$C$63,MATCH(I$3-$B35,'D Fleet'!$B$5:$B$63,0)),0)*IFERROR(INDEX('D Fleet'!$J$5:$J$36,INT(($B35/I$4))+1)+(($B35/I$4)-INT(($B35/I$4)))*(INDEX('D Fleet'!$J$5:$J$36,INT(($B35/I$4))+2)-INDEX('D Fleet'!$J$5:$J$36,INT(($B35/I$4))+1)),0)</f>
        <v/>
      </c>
      <c r="J35" s="350">
        <f>IFERROR(INDEX('D Fleet'!$C$5:$C$63,MATCH(J$3-$B35,'D Fleet'!$B$5:$B$63,0)),0)*IFERROR(INDEX('D Fleet'!$J$5:$J$36,INT(($B35/J$4))+1)+(($B35/J$4)-INT(($B35/J$4)))*(INDEX('D Fleet'!$J$5:$J$36,INT(($B35/J$4))+2)-INDEX('D Fleet'!$J$5:$J$36,INT(($B35/J$4))+1)),0)</f>
        <v/>
      </c>
      <c r="K35" s="350">
        <f>IFERROR(INDEX('D Fleet'!$C$5:$C$63,MATCH(K$3-$B35,'D Fleet'!$B$5:$B$63,0)),0)*IFERROR(INDEX('D Fleet'!$J$5:$J$36,INT(($B35/K$4))+1)+(($B35/K$4)-INT(($B35/K$4)))*(INDEX('D Fleet'!$J$5:$J$36,INT(($B35/K$4))+2)-INDEX('D Fleet'!$J$5:$J$36,INT(($B35/K$4))+1)),0)</f>
        <v/>
      </c>
      <c r="L35" s="350">
        <f>IFERROR(INDEX('D Fleet'!$C$5:$C$63,MATCH(L$3-$B35,'D Fleet'!$B$5:$B$63,0)),0)*IFERROR(INDEX('D Fleet'!$J$5:$J$36,INT(($B35/L$4))+1)+(($B35/L$4)-INT(($B35/L$4)))*(INDEX('D Fleet'!$J$5:$J$36,INT(($B35/L$4))+2)-INDEX('D Fleet'!$J$5:$J$36,INT(($B35/L$4))+1)),0)</f>
        <v/>
      </c>
      <c r="M35" s="350">
        <f>IFERROR(INDEX('D Fleet'!$C$5:$C$63,MATCH(M$3-$B35,'D Fleet'!$B$5:$B$63,0)),0)*IFERROR(INDEX('D Fleet'!$J$5:$J$36,INT(($B35/M$4))+1)+(($B35/M$4)-INT(($B35/M$4)))*(INDEX('D Fleet'!$J$5:$J$36,INT(($B35/M$4))+2)-INDEX('D Fleet'!$J$5:$J$36,INT(($B35/M$4))+1)),0)</f>
        <v/>
      </c>
      <c r="N35" s="350">
        <f>IFERROR(INDEX('D Fleet'!$C$5:$C$63,MATCH(N$3-$B35,'D Fleet'!$B$5:$B$63,0)),0)*IFERROR(INDEX('D Fleet'!$J$5:$J$36,INT(($B35/N$4))+1)+(($B35/N$4)-INT(($B35/N$4)))*(INDEX('D Fleet'!$J$5:$J$36,INT(($B35/N$4))+2)-INDEX('D Fleet'!$J$5:$J$36,INT(($B35/N$4))+1)),0)</f>
        <v/>
      </c>
      <c r="P35" s="350">
        <f>E35*$D35*'E1 Fleet'!$D$97</f>
        <v/>
      </c>
      <c r="Q35" s="350">
        <f>F35*$D35*'E1 Fleet'!$D$97</f>
        <v/>
      </c>
      <c r="R35" s="350">
        <f>G35*$D35*'E1 Fleet'!$D$97</f>
        <v/>
      </c>
      <c r="S35" s="350">
        <f>H35*$D35*'E1 Fleet'!$D$97</f>
        <v/>
      </c>
      <c r="T35" s="350">
        <f>I35*$D35*'E1 Fleet'!$D$97</f>
        <v/>
      </c>
      <c r="U35" s="350">
        <f>J35*$D35*'E1 Fleet'!$D$97</f>
        <v/>
      </c>
      <c r="V35" s="350">
        <f>K35*$D35*'E1 Fleet'!$D$97</f>
        <v/>
      </c>
      <c r="W35" s="350">
        <f>L35*$D35*'E1 Fleet'!$D$97</f>
        <v/>
      </c>
      <c r="X35" s="350">
        <f>M35*$D35*'E1 Fleet'!$D$97</f>
        <v/>
      </c>
      <c r="Y35" s="350">
        <f>N35*$D35*'E1 Fleet'!$D$97</f>
        <v/>
      </c>
    </row>
    <row r="36">
      <c r="A36" t="inlineStr">
        <is>
          <t>Car</t>
        </is>
      </c>
      <c r="B36" s="456" t="n">
        <v>29</v>
      </c>
      <c r="C36" s="456" t="n">
        <v>3</v>
      </c>
      <c r="D36" s="348">
        <f>IF($B36=0,'E1 Fleet'!$D$93,1)*EXP(-'E1 Fleet'!$D$94*MAX($B36-6,0))</f>
        <v/>
      </c>
      <c r="E36" s="350">
        <f>IFERROR(INDEX('D Fleet'!$C$5:$C$63,MATCH(E$3-$B36,'D Fleet'!$B$5:$B$63,0)),0)*IFERROR(INDEX('D Fleet'!$J$5:$J$36,INT(($B36/E$4))+1)+(($B36/E$4)-INT(($B36/E$4)))*(INDEX('D Fleet'!$J$5:$J$36,INT(($B36/E$4))+2)-INDEX('D Fleet'!$J$5:$J$36,INT(($B36/E$4))+1)),0)</f>
        <v/>
      </c>
      <c r="F36" s="350">
        <f>IFERROR(INDEX('D Fleet'!$C$5:$C$63,MATCH(F$3-$B36,'D Fleet'!$B$5:$B$63,0)),0)*IFERROR(INDEX('D Fleet'!$J$5:$J$36,INT(($B36/F$4))+1)+(($B36/F$4)-INT(($B36/F$4)))*(INDEX('D Fleet'!$J$5:$J$36,INT(($B36/F$4))+2)-INDEX('D Fleet'!$J$5:$J$36,INT(($B36/F$4))+1)),0)</f>
        <v/>
      </c>
      <c r="G36" s="350">
        <f>IFERROR(INDEX('D Fleet'!$C$5:$C$63,MATCH(G$3-$B36,'D Fleet'!$B$5:$B$63,0)),0)*IFERROR(INDEX('D Fleet'!$J$5:$J$36,INT(($B36/G$4))+1)+(($B36/G$4)-INT(($B36/G$4)))*(INDEX('D Fleet'!$J$5:$J$36,INT(($B36/G$4))+2)-INDEX('D Fleet'!$J$5:$J$36,INT(($B36/G$4))+1)),0)</f>
        <v/>
      </c>
      <c r="H36" s="350">
        <f>IFERROR(INDEX('D Fleet'!$C$5:$C$63,MATCH(H$3-$B36,'D Fleet'!$B$5:$B$63,0)),0)*IFERROR(INDEX('D Fleet'!$J$5:$J$36,INT(($B36/H$4))+1)+(($B36/H$4)-INT(($B36/H$4)))*(INDEX('D Fleet'!$J$5:$J$36,INT(($B36/H$4))+2)-INDEX('D Fleet'!$J$5:$J$36,INT(($B36/H$4))+1)),0)</f>
        <v/>
      </c>
      <c r="I36" s="350">
        <f>IFERROR(INDEX('D Fleet'!$C$5:$C$63,MATCH(I$3-$B36,'D Fleet'!$B$5:$B$63,0)),0)*IFERROR(INDEX('D Fleet'!$J$5:$J$36,INT(($B36/I$4))+1)+(($B36/I$4)-INT(($B36/I$4)))*(INDEX('D Fleet'!$J$5:$J$36,INT(($B36/I$4))+2)-INDEX('D Fleet'!$J$5:$J$36,INT(($B36/I$4))+1)),0)</f>
        <v/>
      </c>
      <c r="J36" s="350">
        <f>IFERROR(INDEX('D Fleet'!$C$5:$C$63,MATCH(J$3-$B36,'D Fleet'!$B$5:$B$63,0)),0)*IFERROR(INDEX('D Fleet'!$J$5:$J$36,INT(($B36/J$4))+1)+(($B36/J$4)-INT(($B36/J$4)))*(INDEX('D Fleet'!$J$5:$J$36,INT(($B36/J$4))+2)-INDEX('D Fleet'!$J$5:$J$36,INT(($B36/J$4))+1)),0)</f>
        <v/>
      </c>
      <c r="K36" s="350">
        <f>IFERROR(INDEX('D Fleet'!$C$5:$C$63,MATCH(K$3-$B36,'D Fleet'!$B$5:$B$63,0)),0)*IFERROR(INDEX('D Fleet'!$J$5:$J$36,INT(($B36/K$4))+1)+(($B36/K$4)-INT(($B36/K$4)))*(INDEX('D Fleet'!$J$5:$J$36,INT(($B36/K$4))+2)-INDEX('D Fleet'!$J$5:$J$36,INT(($B36/K$4))+1)),0)</f>
        <v/>
      </c>
      <c r="L36" s="350">
        <f>IFERROR(INDEX('D Fleet'!$C$5:$C$63,MATCH(L$3-$B36,'D Fleet'!$B$5:$B$63,0)),0)*IFERROR(INDEX('D Fleet'!$J$5:$J$36,INT(($B36/L$4))+1)+(($B36/L$4)-INT(($B36/L$4)))*(INDEX('D Fleet'!$J$5:$J$36,INT(($B36/L$4))+2)-INDEX('D Fleet'!$J$5:$J$36,INT(($B36/L$4))+1)),0)</f>
        <v/>
      </c>
      <c r="M36" s="350">
        <f>IFERROR(INDEX('D Fleet'!$C$5:$C$63,MATCH(M$3-$B36,'D Fleet'!$B$5:$B$63,0)),0)*IFERROR(INDEX('D Fleet'!$J$5:$J$36,INT(($B36/M$4))+1)+(($B36/M$4)-INT(($B36/M$4)))*(INDEX('D Fleet'!$J$5:$J$36,INT(($B36/M$4))+2)-INDEX('D Fleet'!$J$5:$J$36,INT(($B36/M$4))+1)),0)</f>
        <v/>
      </c>
      <c r="N36" s="350">
        <f>IFERROR(INDEX('D Fleet'!$C$5:$C$63,MATCH(N$3-$B36,'D Fleet'!$B$5:$B$63,0)),0)*IFERROR(INDEX('D Fleet'!$J$5:$J$36,INT(($B36/N$4))+1)+(($B36/N$4)-INT(($B36/N$4)))*(INDEX('D Fleet'!$J$5:$J$36,INT(($B36/N$4))+2)-INDEX('D Fleet'!$J$5:$J$36,INT(($B36/N$4))+1)),0)</f>
        <v/>
      </c>
      <c r="P36" s="350">
        <f>E36*$D36*'E1 Fleet'!$D$97</f>
        <v/>
      </c>
      <c r="Q36" s="350">
        <f>F36*$D36*'E1 Fleet'!$D$97</f>
        <v/>
      </c>
      <c r="R36" s="350">
        <f>G36*$D36*'E1 Fleet'!$D$97</f>
        <v/>
      </c>
      <c r="S36" s="350">
        <f>H36*$D36*'E1 Fleet'!$D$97</f>
        <v/>
      </c>
      <c r="T36" s="350">
        <f>I36*$D36*'E1 Fleet'!$D$97</f>
        <v/>
      </c>
      <c r="U36" s="350">
        <f>J36*$D36*'E1 Fleet'!$D$97</f>
        <v/>
      </c>
      <c r="V36" s="350">
        <f>K36*$D36*'E1 Fleet'!$D$97</f>
        <v/>
      </c>
      <c r="W36" s="350">
        <f>L36*$D36*'E1 Fleet'!$D$97</f>
        <v/>
      </c>
      <c r="X36" s="350">
        <f>M36*$D36*'E1 Fleet'!$D$97</f>
        <v/>
      </c>
      <c r="Y36" s="350">
        <f>N36*$D36*'E1 Fleet'!$D$97</f>
        <v/>
      </c>
    </row>
    <row r="37">
      <c r="A37" t="inlineStr">
        <is>
          <t>Car</t>
        </is>
      </c>
      <c r="B37" s="456" t="n">
        <v>30</v>
      </c>
      <c r="C37" s="456" t="n">
        <v>3</v>
      </c>
      <c r="D37" s="348">
        <f>IF($B37=0,'E1 Fleet'!$D$93,1)*EXP(-'E1 Fleet'!$D$94*MAX($B37-6,0))</f>
        <v/>
      </c>
      <c r="E37" s="350">
        <f>IFERROR(INDEX('D Fleet'!$C$5:$C$63,MATCH(E$3-$B37,'D Fleet'!$B$5:$B$63,0)),0)*IFERROR(INDEX('D Fleet'!$J$5:$J$36,INT(($B37/E$4))+1)+(($B37/E$4)-INT(($B37/E$4)))*(INDEX('D Fleet'!$J$5:$J$36,INT(($B37/E$4))+2)-INDEX('D Fleet'!$J$5:$J$36,INT(($B37/E$4))+1)),0)</f>
        <v/>
      </c>
      <c r="F37" s="350">
        <f>IFERROR(INDEX('D Fleet'!$C$5:$C$63,MATCH(F$3-$B37,'D Fleet'!$B$5:$B$63,0)),0)*IFERROR(INDEX('D Fleet'!$J$5:$J$36,INT(($B37/F$4))+1)+(($B37/F$4)-INT(($B37/F$4)))*(INDEX('D Fleet'!$J$5:$J$36,INT(($B37/F$4))+2)-INDEX('D Fleet'!$J$5:$J$36,INT(($B37/F$4))+1)),0)</f>
        <v/>
      </c>
      <c r="G37" s="350">
        <f>IFERROR(INDEX('D Fleet'!$C$5:$C$63,MATCH(G$3-$B37,'D Fleet'!$B$5:$B$63,0)),0)*IFERROR(INDEX('D Fleet'!$J$5:$J$36,INT(($B37/G$4))+1)+(($B37/G$4)-INT(($B37/G$4)))*(INDEX('D Fleet'!$J$5:$J$36,INT(($B37/G$4))+2)-INDEX('D Fleet'!$J$5:$J$36,INT(($B37/G$4))+1)),0)</f>
        <v/>
      </c>
      <c r="H37" s="350">
        <f>IFERROR(INDEX('D Fleet'!$C$5:$C$63,MATCH(H$3-$B37,'D Fleet'!$B$5:$B$63,0)),0)*IFERROR(INDEX('D Fleet'!$J$5:$J$36,INT(($B37/H$4))+1)+(($B37/H$4)-INT(($B37/H$4)))*(INDEX('D Fleet'!$J$5:$J$36,INT(($B37/H$4))+2)-INDEX('D Fleet'!$J$5:$J$36,INT(($B37/H$4))+1)),0)</f>
        <v/>
      </c>
      <c r="I37" s="350">
        <f>IFERROR(INDEX('D Fleet'!$C$5:$C$63,MATCH(I$3-$B37,'D Fleet'!$B$5:$B$63,0)),0)*IFERROR(INDEX('D Fleet'!$J$5:$J$36,INT(($B37/I$4))+1)+(($B37/I$4)-INT(($B37/I$4)))*(INDEX('D Fleet'!$J$5:$J$36,INT(($B37/I$4))+2)-INDEX('D Fleet'!$J$5:$J$36,INT(($B37/I$4))+1)),0)</f>
        <v/>
      </c>
      <c r="J37" s="350">
        <f>IFERROR(INDEX('D Fleet'!$C$5:$C$63,MATCH(J$3-$B37,'D Fleet'!$B$5:$B$63,0)),0)*IFERROR(INDEX('D Fleet'!$J$5:$J$36,INT(($B37/J$4))+1)+(($B37/J$4)-INT(($B37/J$4)))*(INDEX('D Fleet'!$J$5:$J$36,INT(($B37/J$4))+2)-INDEX('D Fleet'!$J$5:$J$36,INT(($B37/J$4))+1)),0)</f>
        <v/>
      </c>
      <c r="K37" s="350">
        <f>IFERROR(INDEX('D Fleet'!$C$5:$C$63,MATCH(K$3-$B37,'D Fleet'!$B$5:$B$63,0)),0)*IFERROR(INDEX('D Fleet'!$J$5:$J$36,INT(($B37/K$4))+1)+(($B37/K$4)-INT(($B37/K$4)))*(INDEX('D Fleet'!$J$5:$J$36,INT(($B37/K$4))+2)-INDEX('D Fleet'!$J$5:$J$36,INT(($B37/K$4))+1)),0)</f>
        <v/>
      </c>
      <c r="L37" s="350">
        <f>IFERROR(INDEX('D Fleet'!$C$5:$C$63,MATCH(L$3-$B37,'D Fleet'!$B$5:$B$63,0)),0)*IFERROR(INDEX('D Fleet'!$J$5:$J$36,INT(($B37/L$4))+1)+(($B37/L$4)-INT(($B37/L$4)))*(INDEX('D Fleet'!$J$5:$J$36,INT(($B37/L$4))+2)-INDEX('D Fleet'!$J$5:$J$36,INT(($B37/L$4))+1)),0)</f>
        <v/>
      </c>
      <c r="M37" s="350">
        <f>IFERROR(INDEX('D Fleet'!$C$5:$C$63,MATCH(M$3-$B37,'D Fleet'!$B$5:$B$63,0)),0)*IFERROR(INDEX('D Fleet'!$J$5:$J$36,INT(($B37/M$4))+1)+(($B37/M$4)-INT(($B37/M$4)))*(INDEX('D Fleet'!$J$5:$J$36,INT(($B37/M$4))+2)-INDEX('D Fleet'!$J$5:$J$36,INT(($B37/M$4))+1)),0)</f>
        <v/>
      </c>
      <c r="N37" s="350">
        <f>IFERROR(INDEX('D Fleet'!$C$5:$C$63,MATCH(N$3-$B37,'D Fleet'!$B$5:$B$63,0)),0)*IFERROR(INDEX('D Fleet'!$J$5:$J$36,INT(($B37/N$4))+1)+(($B37/N$4)-INT(($B37/N$4)))*(INDEX('D Fleet'!$J$5:$J$36,INT(($B37/N$4))+2)-INDEX('D Fleet'!$J$5:$J$36,INT(($B37/N$4))+1)),0)</f>
        <v/>
      </c>
      <c r="P37" s="350">
        <f>E37*$D37*'E1 Fleet'!$D$97</f>
        <v/>
      </c>
      <c r="Q37" s="350">
        <f>F37*$D37*'E1 Fleet'!$D$97</f>
        <v/>
      </c>
      <c r="R37" s="350">
        <f>G37*$D37*'E1 Fleet'!$D$97</f>
        <v/>
      </c>
      <c r="S37" s="350">
        <f>H37*$D37*'E1 Fleet'!$D$97</f>
        <v/>
      </c>
      <c r="T37" s="350">
        <f>I37*$D37*'E1 Fleet'!$D$97</f>
        <v/>
      </c>
      <c r="U37" s="350">
        <f>J37*$D37*'E1 Fleet'!$D$97</f>
        <v/>
      </c>
      <c r="V37" s="350">
        <f>K37*$D37*'E1 Fleet'!$D$97</f>
        <v/>
      </c>
      <c r="W37" s="350">
        <f>L37*$D37*'E1 Fleet'!$D$97</f>
        <v/>
      </c>
      <c r="X37" s="350">
        <f>M37*$D37*'E1 Fleet'!$D$97</f>
        <v/>
      </c>
      <c r="Y37" s="350">
        <f>N37*$D37*'E1 Fleet'!$D$97</f>
        <v/>
      </c>
    </row>
    <row r="38">
      <c r="A38" t="inlineStr">
        <is>
          <t>Car</t>
        </is>
      </c>
      <c r="B38" s="456" t="n">
        <v>31</v>
      </c>
      <c r="C38" s="456" t="n">
        <v>3</v>
      </c>
      <c r="D38" s="348">
        <f>IF($B38=0,'E1 Fleet'!$D$93,1)*EXP(-'E1 Fleet'!$D$94*MAX($B38-6,0))</f>
        <v/>
      </c>
      <c r="E38" s="350">
        <f>IFERROR(INDEX('D Fleet'!$C$5:$C$63,MATCH(E$3-$B38,'D Fleet'!$B$5:$B$63,0)),0)*IFERROR(INDEX('D Fleet'!$J$5:$J$36,INT(($B38/E$4))+1)+(($B38/E$4)-INT(($B38/E$4)))*(INDEX('D Fleet'!$J$5:$J$36,INT(($B38/E$4))+2)-INDEX('D Fleet'!$J$5:$J$36,INT(($B38/E$4))+1)),0)</f>
        <v/>
      </c>
      <c r="F38" s="350">
        <f>IFERROR(INDEX('D Fleet'!$C$5:$C$63,MATCH(F$3-$B38,'D Fleet'!$B$5:$B$63,0)),0)*IFERROR(INDEX('D Fleet'!$J$5:$J$36,INT(($B38/F$4))+1)+(($B38/F$4)-INT(($B38/F$4)))*(INDEX('D Fleet'!$J$5:$J$36,INT(($B38/F$4))+2)-INDEX('D Fleet'!$J$5:$J$36,INT(($B38/F$4))+1)),0)</f>
        <v/>
      </c>
      <c r="G38" s="350">
        <f>IFERROR(INDEX('D Fleet'!$C$5:$C$63,MATCH(G$3-$B38,'D Fleet'!$B$5:$B$63,0)),0)*IFERROR(INDEX('D Fleet'!$J$5:$J$36,INT(($B38/G$4))+1)+(($B38/G$4)-INT(($B38/G$4)))*(INDEX('D Fleet'!$J$5:$J$36,INT(($B38/G$4))+2)-INDEX('D Fleet'!$J$5:$J$36,INT(($B38/G$4))+1)),0)</f>
        <v/>
      </c>
      <c r="H38" s="350">
        <f>IFERROR(INDEX('D Fleet'!$C$5:$C$63,MATCH(H$3-$B38,'D Fleet'!$B$5:$B$63,0)),0)*IFERROR(INDEX('D Fleet'!$J$5:$J$36,INT(($B38/H$4))+1)+(($B38/H$4)-INT(($B38/H$4)))*(INDEX('D Fleet'!$J$5:$J$36,INT(($B38/H$4))+2)-INDEX('D Fleet'!$J$5:$J$36,INT(($B38/H$4))+1)),0)</f>
        <v/>
      </c>
      <c r="I38" s="350">
        <f>IFERROR(INDEX('D Fleet'!$C$5:$C$63,MATCH(I$3-$B38,'D Fleet'!$B$5:$B$63,0)),0)*IFERROR(INDEX('D Fleet'!$J$5:$J$36,INT(($B38/I$4))+1)+(($B38/I$4)-INT(($B38/I$4)))*(INDEX('D Fleet'!$J$5:$J$36,INT(($B38/I$4))+2)-INDEX('D Fleet'!$J$5:$J$36,INT(($B38/I$4))+1)),0)</f>
        <v/>
      </c>
      <c r="J38" s="350">
        <f>IFERROR(INDEX('D Fleet'!$C$5:$C$63,MATCH(J$3-$B38,'D Fleet'!$B$5:$B$63,0)),0)*IFERROR(INDEX('D Fleet'!$J$5:$J$36,INT(($B38/J$4))+1)+(($B38/J$4)-INT(($B38/J$4)))*(INDEX('D Fleet'!$J$5:$J$36,INT(($B38/J$4))+2)-INDEX('D Fleet'!$J$5:$J$36,INT(($B38/J$4))+1)),0)</f>
        <v/>
      </c>
      <c r="K38" s="350">
        <f>IFERROR(INDEX('D Fleet'!$C$5:$C$63,MATCH(K$3-$B38,'D Fleet'!$B$5:$B$63,0)),0)*IFERROR(INDEX('D Fleet'!$J$5:$J$36,INT(($B38/K$4))+1)+(($B38/K$4)-INT(($B38/K$4)))*(INDEX('D Fleet'!$J$5:$J$36,INT(($B38/K$4))+2)-INDEX('D Fleet'!$J$5:$J$36,INT(($B38/K$4))+1)),0)</f>
        <v/>
      </c>
      <c r="L38" s="350">
        <f>IFERROR(INDEX('D Fleet'!$C$5:$C$63,MATCH(L$3-$B38,'D Fleet'!$B$5:$B$63,0)),0)*IFERROR(INDEX('D Fleet'!$J$5:$J$36,INT(($B38/L$4))+1)+(($B38/L$4)-INT(($B38/L$4)))*(INDEX('D Fleet'!$J$5:$J$36,INT(($B38/L$4))+2)-INDEX('D Fleet'!$J$5:$J$36,INT(($B38/L$4))+1)),0)</f>
        <v/>
      </c>
      <c r="M38" s="350">
        <f>IFERROR(INDEX('D Fleet'!$C$5:$C$63,MATCH(M$3-$B38,'D Fleet'!$B$5:$B$63,0)),0)*IFERROR(INDEX('D Fleet'!$J$5:$J$36,INT(($B38/M$4))+1)+(($B38/M$4)-INT(($B38/M$4)))*(INDEX('D Fleet'!$J$5:$J$36,INT(($B38/M$4))+2)-INDEX('D Fleet'!$J$5:$J$36,INT(($B38/M$4))+1)),0)</f>
        <v/>
      </c>
      <c r="N38" s="350">
        <f>IFERROR(INDEX('D Fleet'!$C$5:$C$63,MATCH(N$3-$B38,'D Fleet'!$B$5:$B$63,0)),0)*IFERROR(INDEX('D Fleet'!$J$5:$J$36,INT(($B38/N$4))+1)+(($B38/N$4)-INT(($B38/N$4)))*(INDEX('D Fleet'!$J$5:$J$36,INT(($B38/N$4))+2)-INDEX('D Fleet'!$J$5:$J$36,INT(($B38/N$4))+1)),0)</f>
        <v/>
      </c>
      <c r="P38" s="350">
        <f>E38*$D38*'E1 Fleet'!$D$97</f>
        <v/>
      </c>
      <c r="Q38" s="350">
        <f>F38*$D38*'E1 Fleet'!$D$97</f>
        <v/>
      </c>
      <c r="R38" s="350">
        <f>G38*$D38*'E1 Fleet'!$D$97</f>
        <v/>
      </c>
      <c r="S38" s="350">
        <f>H38*$D38*'E1 Fleet'!$D$97</f>
        <v/>
      </c>
      <c r="T38" s="350">
        <f>I38*$D38*'E1 Fleet'!$D$97</f>
        <v/>
      </c>
      <c r="U38" s="350">
        <f>J38*$D38*'E1 Fleet'!$D$97</f>
        <v/>
      </c>
      <c r="V38" s="350">
        <f>K38*$D38*'E1 Fleet'!$D$97</f>
        <v/>
      </c>
      <c r="W38" s="350">
        <f>L38*$D38*'E1 Fleet'!$D$97</f>
        <v/>
      </c>
      <c r="X38" s="350">
        <f>M38*$D38*'E1 Fleet'!$D$97</f>
        <v/>
      </c>
      <c r="Y38" s="350">
        <f>N38*$D38*'E1 Fleet'!$D$97</f>
        <v/>
      </c>
    </row>
    <row r="39">
      <c r="A39" t="inlineStr">
        <is>
          <t>Car</t>
        </is>
      </c>
      <c r="B39" s="456" t="n">
        <v>32</v>
      </c>
      <c r="C39" s="456" t="n">
        <v>3</v>
      </c>
      <c r="D39" s="348">
        <f>IF($B39=0,'E1 Fleet'!$D$93,1)*EXP(-'E1 Fleet'!$D$94*MAX($B39-6,0))</f>
        <v/>
      </c>
      <c r="E39" s="350">
        <f>IFERROR(INDEX('D Fleet'!$C$5:$C$63,MATCH(E$3-$B39,'D Fleet'!$B$5:$B$63,0)),0)*IFERROR(INDEX('D Fleet'!$J$5:$J$36,INT(($B39/E$4))+1)+(($B39/E$4)-INT(($B39/E$4)))*(INDEX('D Fleet'!$J$5:$J$36,INT(($B39/E$4))+2)-INDEX('D Fleet'!$J$5:$J$36,INT(($B39/E$4))+1)),0)</f>
        <v/>
      </c>
      <c r="F39" s="350">
        <f>IFERROR(INDEX('D Fleet'!$C$5:$C$63,MATCH(F$3-$B39,'D Fleet'!$B$5:$B$63,0)),0)*IFERROR(INDEX('D Fleet'!$J$5:$J$36,INT(($B39/F$4))+1)+(($B39/F$4)-INT(($B39/F$4)))*(INDEX('D Fleet'!$J$5:$J$36,INT(($B39/F$4))+2)-INDEX('D Fleet'!$J$5:$J$36,INT(($B39/F$4))+1)),0)</f>
        <v/>
      </c>
      <c r="G39" s="350">
        <f>IFERROR(INDEX('D Fleet'!$C$5:$C$63,MATCH(G$3-$B39,'D Fleet'!$B$5:$B$63,0)),0)*IFERROR(INDEX('D Fleet'!$J$5:$J$36,INT(($B39/G$4))+1)+(($B39/G$4)-INT(($B39/G$4)))*(INDEX('D Fleet'!$J$5:$J$36,INT(($B39/G$4))+2)-INDEX('D Fleet'!$J$5:$J$36,INT(($B39/G$4))+1)),0)</f>
        <v/>
      </c>
      <c r="H39" s="350">
        <f>IFERROR(INDEX('D Fleet'!$C$5:$C$63,MATCH(H$3-$B39,'D Fleet'!$B$5:$B$63,0)),0)*IFERROR(INDEX('D Fleet'!$J$5:$J$36,INT(($B39/H$4))+1)+(($B39/H$4)-INT(($B39/H$4)))*(INDEX('D Fleet'!$J$5:$J$36,INT(($B39/H$4))+2)-INDEX('D Fleet'!$J$5:$J$36,INT(($B39/H$4))+1)),0)</f>
        <v/>
      </c>
      <c r="I39" s="350">
        <f>IFERROR(INDEX('D Fleet'!$C$5:$C$63,MATCH(I$3-$B39,'D Fleet'!$B$5:$B$63,0)),0)*IFERROR(INDEX('D Fleet'!$J$5:$J$36,INT(($B39/I$4))+1)+(($B39/I$4)-INT(($B39/I$4)))*(INDEX('D Fleet'!$J$5:$J$36,INT(($B39/I$4))+2)-INDEX('D Fleet'!$J$5:$J$36,INT(($B39/I$4))+1)),0)</f>
        <v/>
      </c>
      <c r="J39" s="350">
        <f>IFERROR(INDEX('D Fleet'!$C$5:$C$63,MATCH(J$3-$B39,'D Fleet'!$B$5:$B$63,0)),0)*IFERROR(INDEX('D Fleet'!$J$5:$J$36,INT(($B39/J$4))+1)+(($B39/J$4)-INT(($B39/J$4)))*(INDEX('D Fleet'!$J$5:$J$36,INT(($B39/J$4))+2)-INDEX('D Fleet'!$J$5:$J$36,INT(($B39/J$4))+1)),0)</f>
        <v/>
      </c>
      <c r="K39" s="350">
        <f>IFERROR(INDEX('D Fleet'!$C$5:$C$63,MATCH(K$3-$B39,'D Fleet'!$B$5:$B$63,0)),0)*IFERROR(INDEX('D Fleet'!$J$5:$J$36,INT(($B39/K$4))+1)+(($B39/K$4)-INT(($B39/K$4)))*(INDEX('D Fleet'!$J$5:$J$36,INT(($B39/K$4))+2)-INDEX('D Fleet'!$J$5:$J$36,INT(($B39/K$4))+1)),0)</f>
        <v/>
      </c>
      <c r="L39" s="350">
        <f>IFERROR(INDEX('D Fleet'!$C$5:$C$63,MATCH(L$3-$B39,'D Fleet'!$B$5:$B$63,0)),0)*IFERROR(INDEX('D Fleet'!$J$5:$J$36,INT(($B39/L$4))+1)+(($B39/L$4)-INT(($B39/L$4)))*(INDEX('D Fleet'!$J$5:$J$36,INT(($B39/L$4))+2)-INDEX('D Fleet'!$J$5:$J$36,INT(($B39/L$4))+1)),0)</f>
        <v/>
      </c>
      <c r="M39" s="350">
        <f>IFERROR(INDEX('D Fleet'!$C$5:$C$63,MATCH(M$3-$B39,'D Fleet'!$B$5:$B$63,0)),0)*IFERROR(INDEX('D Fleet'!$J$5:$J$36,INT(($B39/M$4))+1)+(($B39/M$4)-INT(($B39/M$4)))*(INDEX('D Fleet'!$J$5:$J$36,INT(($B39/M$4))+2)-INDEX('D Fleet'!$J$5:$J$36,INT(($B39/M$4))+1)),0)</f>
        <v/>
      </c>
      <c r="N39" s="350">
        <f>IFERROR(INDEX('D Fleet'!$C$5:$C$63,MATCH(N$3-$B39,'D Fleet'!$B$5:$B$63,0)),0)*IFERROR(INDEX('D Fleet'!$J$5:$J$36,INT(($B39/N$4))+1)+(($B39/N$4)-INT(($B39/N$4)))*(INDEX('D Fleet'!$J$5:$J$36,INT(($B39/N$4))+2)-INDEX('D Fleet'!$J$5:$J$36,INT(($B39/N$4))+1)),0)</f>
        <v/>
      </c>
      <c r="P39" s="350">
        <f>E39*$D39*'E1 Fleet'!$D$97</f>
        <v/>
      </c>
      <c r="Q39" s="350">
        <f>F39*$D39*'E1 Fleet'!$D$97</f>
        <v/>
      </c>
      <c r="R39" s="350">
        <f>G39*$D39*'E1 Fleet'!$D$97</f>
        <v/>
      </c>
      <c r="S39" s="350">
        <f>H39*$D39*'E1 Fleet'!$D$97</f>
        <v/>
      </c>
      <c r="T39" s="350">
        <f>I39*$D39*'E1 Fleet'!$D$97</f>
        <v/>
      </c>
      <c r="U39" s="350">
        <f>J39*$D39*'E1 Fleet'!$D$97</f>
        <v/>
      </c>
      <c r="V39" s="350">
        <f>K39*$D39*'E1 Fleet'!$D$97</f>
        <v/>
      </c>
      <c r="W39" s="350">
        <f>L39*$D39*'E1 Fleet'!$D$97</f>
        <v/>
      </c>
      <c r="X39" s="350">
        <f>M39*$D39*'E1 Fleet'!$D$97</f>
        <v/>
      </c>
      <c r="Y39" s="350">
        <f>N39*$D39*'E1 Fleet'!$D$97</f>
        <v/>
      </c>
    </row>
    <row r="40">
      <c r="A40" t="inlineStr">
        <is>
          <t>Car</t>
        </is>
      </c>
      <c r="B40" s="456" t="n">
        <v>33</v>
      </c>
      <c r="C40" s="456" t="n">
        <v>3</v>
      </c>
      <c r="D40" s="348">
        <f>IF($B40=0,'E1 Fleet'!$D$93,1)*EXP(-'E1 Fleet'!$D$94*MAX($B40-6,0))</f>
        <v/>
      </c>
      <c r="E40" s="350">
        <f>IFERROR(INDEX('D Fleet'!$C$5:$C$63,MATCH(E$3-$B40,'D Fleet'!$B$5:$B$63,0)),0)*IFERROR(INDEX('D Fleet'!$J$5:$J$36,INT(($B40/E$4))+1)+(($B40/E$4)-INT(($B40/E$4)))*(INDEX('D Fleet'!$J$5:$J$36,INT(($B40/E$4))+2)-INDEX('D Fleet'!$J$5:$J$36,INT(($B40/E$4))+1)),0)</f>
        <v/>
      </c>
      <c r="F40" s="350">
        <f>IFERROR(INDEX('D Fleet'!$C$5:$C$63,MATCH(F$3-$B40,'D Fleet'!$B$5:$B$63,0)),0)*IFERROR(INDEX('D Fleet'!$J$5:$J$36,INT(($B40/F$4))+1)+(($B40/F$4)-INT(($B40/F$4)))*(INDEX('D Fleet'!$J$5:$J$36,INT(($B40/F$4))+2)-INDEX('D Fleet'!$J$5:$J$36,INT(($B40/F$4))+1)),0)</f>
        <v/>
      </c>
      <c r="G40" s="350">
        <f>IFERROR(INDEX('D Fleet'!$C$5:$C$63,MATCH(G$3-$B40,'D Fleet'!$B$5:$B$63,0)),0)*IFERROR(INDEX('D Fleet'!$J$5:$J$36,INT(($B40/G$4))+1)+(($B40/G$4)-INT(($B40/G$4)))*(INDEX('D Fleet'!$J$5:$J$36,INT(($B40/G$4))+2)-INDEX('D Fleet'!$J$5:$J$36,INT(($B40/G$4))+1)),0)</f>
        <v/>
      </c>
      <c r="H40" s="350">
        <f>IFERROR(INDEX('D Fleet'!$C$5:$C$63,MATCH(H$3-$B40,'D Fleet'!$B$5:$B$63,0)),0)*IFERROR(INDEX('D Fleet'!$J$5:$J$36,INT(($B40/H$4))+1)+(($B40/H$4)-INT(($B40/H$4)))*(INDEX('D Fleet'!$J$5:$J$36,INT(($B40/H$4))+2)-INDEX('D Fleet'!$J$5:$J$36,INT(($B40/H$4))+1)),0)</f>
        <v/>
      </c>
      <c r="I40" s="350">
        <f>IFERROR(INDEX('D Fleet'!$C$5:$C$63,MATCH(I$3-$B40,'D Fleet'!$B$5:$B$63,0)),0)*IFERROR(INDEX('D Fleet'!$J$5:$J$36,INT(($B40/I$4))+1)+(($B40/I$4)-INT(($B40/I$4)))*(INDEX('D Fleet'!$J$5:$J$36,INT(($B40/I$4))+2)-INDEX('D Fleet'!$J$5:$J$36,INT(($B40/I$4))+1)),0)</f>
        <v/>
      </c>
      <c r="J40" s="350">
        <f>IFERROR(INDEX('D Fleet'!$C$5:$C$63,MATCH(J$3-$B40,'D Fleet'!$B$5:$B$63,0)),0)*IFERROR(INDEX('D Fleet'!$J$5:$J$36,INT(($B40/J$4))+1)+(($B40/J$4)-INT(($B40/J$4)))*(INDEX('D Fleet'!$J$5:$J$36,INT(($B40/J$4))+2)-INDEX('D Fleet'!$J$5:$J$36,INT(($B40/J$4))+1)),0)</f>
        <v/>
      </c>
      <c r="K40" s="350">
        <f>IFERROR(INDEX('D Fleet'!$C$5:$C$63,MATCH(K$3-$B40,'D Fleet'!$B$5:$B$63,0)),0)*IFERROR(INDEX('D Fleet'!$J$5:$J$36,INT(($B40/K$4))+1)+(($B40/K$4)-INT(($B40/K$4)))*(INDEX('D Fleet'!$J$5:$J$36,INT(($B40/K$4))+2)-INDEX('D Fleet'!$J$5:$J$36,INT(($B40/K$4))+1)),0)</f>
        <v/>
      </c>
      <c r="L40" s="350">
        <f>IFERROR(INDEX('D Fleet'!$C$5:$C$63,MATCH(L$3-$B40,'D Fleet'!$B$5:$B$63,0)),0)*IFERROR(INDEX('D Fleet'!$J$5:$J$36,INT(($B40/L$4))+1)+(($B40/L$4)-INT(($B40/L$4)))*(INDEX('D Fleet'!$J$5:$J$36,INT(($B40/L$4))+2)-INDEX('D Fleet'!$J$5:$J$36,INT(($B40/L$4))+1)),0)</f>
        <v/>
      </c>
      <c r="M40" s="350">
        <f>IFERROR(INDEX('D Fleet'!$C$5:$C$63,MATCH(M$3-$B40,'D Fleet'!$B$5:$B$63,0)),0)*IFERROR(INDEX('D Fleet'!$J$5:$J$36,INT(($B40/M$4))+1)+(($B40/M$4)-INT(($B40/M$4)))*(INDEX('D Fleet'!$J$5:$J$36,INT(($B40/M$4))+2)-INDEX('D Fleet'!$J$5:$J$36,INT(($B40/M$4))+1)),0)</f>
        <v/>
      </c>
      <c r="N40" s="350">
        <f>IFERROR(INDEX('D Fleet'!$C$5:$C$63,MATCH(N$3-$B40,'D Fleet'!$B$5:$B$63,0)),0)*IFERROR(INDEX('D Fleet'!$J$5:$J$36,INT(($B40/N$4))+1)+(($B40/N$4)-INT(($B40/N$4)))*(INDEX('D Fleet'!$J$5:$J$36,INT(($B40/N$4))+2)-INDEX('D Fleet'!$J$5:$J$36,INT(($B40/N$4))+1)),0)</f>
        <v/>
      </c>
      <c r="P40" s="350">
        <f>E40*$D40*'E1 Fleet'!$D$97</f>
        <v/>
      </c>
      <c r="Q40" s="350">
        <f>F40*$D40*'E1 Fleet'!$D$97</f>
        <v/>
      </c>
      <c r="R40" s="350">
        <f>G40*$D40*'E1 Fleet'!$D$97</f>
        <v/>
      </c>
      <c r="S40" s="350">
        <f>H40*$D40*'E1 Fleet'!$D$97</f>
        <v/>
      </c>
      <c r="T40" s="350">
        <f>I40*$D40*'E1 Fleet'!$D$97</f>
        <v/>
      </c>
      <c r="U40" s="350">
        <f>J40*$D40*'E1 Fleet'!$D$97</f>
        <v/>
      </c>
      <c r="V40" s="350">
        <f>K40*$D40*'E1 Fleet'!$D$97</f>
        <v/>
      </c>
      <c r="W40" s="350">
        <f>L40*$D40*'E1 Fleet'!$D$97</f>
        <v/>
      </c>
      <c r="X40" s="350">
        <f>M40*$D40*'E1 Fleet'!$D$97</f>
        <v/>
      </c>
      <c r="Y40" s="350">
        <f>N40*$D40*'E1 Fleet'!$D$97</f>
        <v/>
      </c>
    </row>
    <row r="41">
      <c r="A41" t="inlineStr">
        <is>
          <t>Car</t>
        </is>
      </c>
      <c r="B41" s="456" t="n">
        <v>34</v>
      </c>
      <c r="C41" s="456" t="n">
        <v>3</v>
      </c>
      <c r="D41" s="348">
        <f>IF($B41=0,'E1 Fleet'!$D$93,1)*EXP(-'E1 Fleet'!$D$94*MAX($B41-6,0))</f>
        <v/>
      </c>
      <c r="E41" s="350">
        <f>IFERROR(INDEX('D Fleet'!$C$5:$C$63,MATCH(E$3-$B41,'D Fleet'!$B$5:$B$63,0)),0)*IFERROR(INDEX('D Fleet'!$J$5:$J$36,INT(($B41/E$4))+1)+(($B41/E$4)-INT(($B41/E$4)))*(INDEX('D Fleet'!$J$5:$J$36,INT(($B41/E$4))+2)-INDEX('D Fleet'!$J$5:$J$36,INT(($B41/E$4))+1)),0)</f>
        <v/>
      </c>
      <c r="F41" s="350">
        <f>IFERROR(INDEX('D Fleet'!$C$5:$C$63,MATCH(F$3-$B41,'D Fleet'!$B$5:$B$63,0)),0)*IFERROR(INDEX('D Fleet'!$J$5:$J$36,INT(($B41/F$4))+1)+(($B41/F$4)-INT(($B41/F$4)))*(INDEX('D Fleet'!$J$5:$J$36,INT(($B41/F$4))+2)-INDEX('D Fleet'!$J$5:$J$36,INT(($B41/F$4))+1)),0)</f>
        <v/>
      </c>
      <c r="G41" s="350">
        <f>IFERROR(INDEX('D Fleet'!$C$5:$C$63,MATCH(G$3-$B41,'D Fleet'!$B$5:$B$63,0)),0)*IFERROR(INDEX('D Fleet'!$J$5:$J$36,INT(($B41/G$4))+1)+(($B41/G$4)-INT(($B41/G$4)))*(INDEX('D Fleet'!$J$5:$J$36,INT(($B41/G$4))+2)-INDEX('D Fleet'!$J$5:$J$36,INT(($B41/G$4))+1)),0)</f>
        <v/>
      </c>
      <c r="H41" s="350">
        <f>IFERROR(INDEX('D Fleet'!$C$5:$C$63,MATCH(H$3-$B41,'D Fleet'!$B$5:$B$63,0)),0)*IFERROR(INDEX('D Fleet'!$J$5:$J$36,INT(($B41/H$4))+1)+(($B41/H$4)-INT(($B41/H$4)))*(INDEX('D Fleet'!$J$5:$J$36,INT(($B41/H$4))+2)-INDEX('D Fleet'!$J$5:$J$36,INT(($B41/H$4))+1)),0)</f>
        <v/>
      </c>
      <c r="I41" s="350">
        <f>IFERROR(INDEX('D Fleet'!$C$5:$C$63,MATCH(I$3-$B41,'D Fleet'!$B$5:$B$63,0)),0)*IFERROR(INDEX('D Fleet'!$J$5:$J$36,INT(($B41/I$4))+1)+(($B41/I$4)-INT(($B41/I$4)))*(INDEX('D Fleet'!$J$5:$J$36,INT(($B41/I$4))+2)-INDEX('D Fleet'!$J$5:$J$36,INT(($B41/I$4))+1)),0)</f>
        <v/>
      </c>
      <c r="J41" s="350">
        <f>IFERROR(INDEX('D Fleet'!$C$5:$C$63,MATCH(J$3-$B41,'D Fleet'!$B$5:$B$63,0)),0)*IFERROR(INDEX('D Fleet'!$J$5:$J$36,INT(($B41/J$4))+1)+(($B41/J$4)-INT(($B41/J$4)))*(INDEX('D Fleet'!$J$5:$J$36,INT(($B41/J$4))+2)-INDEX('D Fleet'!$J$5:$J$36,INT(($B41/J$4))+1)),0)</f>
        <v/>
      </c>
      <c r="K41" s="350">
        <f>IFERROR(INDEX('D Fleet'!$C$5:$C$63,MATCH(K$3-$B41,'D Fleet'!$B$5:$B$63,0)),0)*IFERROR(INDEX('D Fleet'!$J$5:$J$36,INT(($B41/K$4))+1)+(($B41/K$4)-INT(($B41/K$4)))*(INDEX('D Fleet'!$J$5:$J$36,INT(($B41/K$4))+2)-INDEX('D Fleet'!$J$5:$J$36,INT(($B41/K$4))+1)),0)</f>
        <v/>
      </c>
      <c r="L41" s="350">
        <f>IFERROR(INDEX('D Fleet'!$C$5:$C$63,MATCH(L$3-$B41,'D Fleet'!$B$5:$B$63,0)),0)*IFERROR(INDEX('D Fleet'!$J$5:$J$36,INT(($B41/L$4))+1)+(($B41/L$4)-INT(($B41/L$4)))*(INDEX('D Fleet'!$J$5:$J$36,INT(($B41/L$4))+2)-INDEX('D Fleet'!$J$5:$J$36,INT(($B41/L$4))+1)),0)</f>
        <v/>
      </c>
      <c r="M41" s="350">
        <f>IFERROR(INDEX('D Fleet'!$C$5:$C$63,MATCH(M$3-$B41,'D Fleet'!$B$5:$B$63,0)),0)*IFERROR(INDEX('D Fleet'!$J$5:$J$36,INT(($B41/M$4))+1)+(($B41/M$4)-INT(($B41/M$4)))*(INDEX('D Fleet'!$J$5:$J$36,INT(($B41/M$4))+2)-INDEX('D Fleet'!$J$5:$J$36,INT(($B41/M$4))+1)),0)</f>
        <v/>
      </c>
      <c r="N41" s="350">
        <f>IFERROR(INDEX('D Fleet'!$C$5:$C$63,MATCH(N$3-$B41,'D Fleet'!$B$5:$B$63,0)),0)*IFERROR(INDEX('D Fleet'!$J$5:$J$36,INT(($B41/N$4))+1)+(($B41/N$4)-INT(($B41/N$4)))*(INDEX('D Fleet'!$J$5:$J$36,INT(($B41/N$4))+2)-INDEX('D Fleet'!$J$5:$J$36,INT(($B41/N$4))+1)),0)</f>
        <v/>
      </c>
      <c r="P41" s="350">
        <f>E41*$D41*'E1 Fleet'!$D$97</f>
        <v/>
      </c>
      <c r="Q41" s="350">
        <f>F41*$D41*'E1 Fleet'!$D$97</f>
        <v/>
      </c>
      <c r="R41" s="350">
        <f>G41*$D41*'E1 Fleet'!$D$97</f>
        <v/>
      </c>
      <c r="S41" s="350">
        <f>H41*$D41*'E1 Fleet'!$D$97</f>
        <v/>
      </c>
      <c r="T41" s="350">
        <f>I41*$D41*'E1 Fleet'!$D$97</f>
        <v/>
      </c>
      <c r="U41" s="350">
        <f>J41*$D41*'E1 Fleet'!$D$97</f>
        <v/>
      </c>
      <c r="V41" s="350">
        <f>K41*$D41*'E1 Fleet'!$D$97</f>
        <v/>
      </c>
      <c r="W41" s="350">
        <f>L41*$D41*'E1 Fleet'!$D$97</f>
        <v/>
      </c>
      <c r="X41" s="350">
        <f>M41*$D41*'E1 Fleet'!$D$97</f>
        <v/>
      </c>
      <c r="Y41" s="350">
        <f>N41*$D41*'E1 Fleet'!$D$97</f>
        <v/>
      </c>
    </row>
    <row r="42">
      <c r="A42" t="inlineStr">
        <is>
          <t>Car</t>
        </is>
      </c>
      <c r="B42" s="456" t="n">
        <v>35</v>
      </c>
      <c r="C42" s="456" t="n">
        <v>3</v>
      </c>
      <c r="D42" s="348">
        <f>IF($B42=0,'E1 Fleet'!$D$93,1)*EXP(-'E1 Fleet'!$D$94*MAX($B42-6,0))</f>
        <v/>
      </c>
      <c r="E42" s="350">
        <f>IFERROR(INDEX('D Fleet'!$C$5:$C$63,MATCH(E$3-$B42,'D Fleet'!$B$5:$B$63,0)),0)*IFERROR(INDEX('D Fleet'!$J$5:$J$36,INT(($B42/E$4))+1)+(($B42/E$4)-INT(($B42/E$4)))*(INDEX('D Fleet'!$J$5:$J$36,INT(($B42/E$4))+2)-INDEX('D Fleet'!$J$5:$J$36,INT(($B42/E$4))+1)),0)</f>
        <v/>
      </c>
      <c r="F42" s="350">
        <f>IFERROR(INDEX('D Fleet'!$C$5:$C$63,MATCH(F$3-$B42,'D Fleet'!$B$5:$B$63,0)),0)*IFERROR(INDEX('D Fleet'!$J$5:$J$36,INT(($B42/F$4))+1)+(($B42/F$4)-INT(($B42/F$4)))*(INDEX('D Fleet'!$J$5:$J$36,INT(($B42/F$4))+2)-INDEX('D Fleet'!$J$5:$J$36,INT(($B42/F$4))+1)),0)</f>
        <v/>
      </c>
      <c r="G42" s="350">
        <f>IFERROR(INDEX('D Fleet'!$C$5:$C$63,MATCH(G$3-$B42,'D Fleet'!$B$5:$B$63,0)),0)*IFERROR(INDEX('D Fleet'!$J$5:$J$36,INT(($B42/G$4))+1)+(($B42/G$4)-INT(($B42/G$4)))*(INDEX('D Fleet'!$J$5:$J$36,INT(($B42/G$4))+2)-INDEX('D Fleet'!$J$5:$J$36,INT(($B42/G$4))+1)),0)</f>
        <v/>
      </c>
      <c r="H42" s="350">
        <f>IFERROR(INDEX('D Fleet'!$C$5:$C$63,MATCH(H$3-$B42,'D Fleet'!$B$5:$B$63,0)),0)*IFERROR(INDEX('D Fleet'!$J$5:$J$36,INT(($B42/H$4))+1)+(($B42/H$4)-INT(($B42/H$4)))*(INDEX('D Fleet'!$J$5:$J$36,INT(($B42/H$4))+2)-INDEX('D Fleet'!$J$5:$J$36,INT(($B42/H$4))+1)),0)</f>
        <v/>
      </c>
      <c r="I42" s="350">
        <f>IFERROR(INDEX('D Fleet'!$C$5:$C$63,MATCH(I$3-$B42,'D Fleet'!$B$5:$B$63,0)),0)*IFERROR(INDEX('D Fleet'!$J$5:$J$36,INT(($B42/I$4))+1)+(($B42/I$4)-INT(($B42/I$4)))*(INDEX('D Fleet'!$J$5:$J$36,INT(($B42/I$4))+2)-INDEX('D Fleet'!$J$5:$J$36,INT(($B42/I$4))+1)),0)</f>
        <v/>
      </c>
      <c r="J42" s="350">
        <f>IFERROR(INDEX('D Fleet'!$C$5:$C$63,MATCH(J$3-$B42,'D Fleet'!$B$5:$B$63,0)),0)*IFERROR(INDEX('D Fleet'!$J$5:$J$36,INT(($B42/J$4))+1)+(($B42/J$4)-INT(($B42/J$4)))*(INDEX('D Fleet'!$J$5:$J$36,INT(($B42/J$4))+2)-INDEX('D Fleet'!$J$5:$J$36,INT(($B42/J$4))+1)),0)</f>
        <v/>
      </c>
      <c r="K42" s="350">
        <f>IFERROR(INDEX('D Fleet'!$C$5:$C$63,MATCH(K$3-$B42,'D Fleet'!$B$5:$B$63,0)),0)*IFERROR(INDEX('D Fleet'!$J$5:$J$36,INT(($B42/K$4))+1)+(($B42/K$4)-INT(($B42/K$4)))*(INDEX('D Fleet'!$J$5:$J$36,INT(($B42/K$4))+2)-INDEX('D Fleet'!$J$5:$J$36,INT(($B42/K$4))+1)),0)</f>
        <v/>
      </c>
      <c r="L42" s="350">
        <f>IFERROR(INDEX('D Fleet'!$C$5:$C$63,MATCH(L$3-$B42,'D Fleet'!$B$5:$B$63,0)),0)*IFERROR(INDEX('D Fleet'!$J$5:$J$36,INT(($B42/L$4))+1)+(($B42/L$4)-INT(($B42/L$4)))*(INDEX('D Fleet'!$J$5:$J$36,INT(($B42/L$4))+2)-INDEX('D Fleet'!$J$5:$J$36,INT(($B42/L$4))+1)),0)</f>
        <v/>
      </c>
      <c r="M42" s="350">
        <f>IFERROR(INDEX('D Fleet'!$C$5:$C$63,MATCH(M$3-$B42,'D Fleet'!$B$5:$B$63,0)),0)*IFERROR(INDEX('D Fleet'!$J$5:$J$36,INT(($B42/M$4))+1)+(($B42/M$4)-INT(($B42/M$4)))*(INDEX('D Fleet'!$J$5:$J$36,INT(($B42/M$4))+2)-INDEX('D Fleet'!$J$5:$J$36,INT(($B42/M$4))+1)),0)</f>
        <v/>
      </c>
      <c r="N42" s="350">
        <f>IFERROR(INDEX('D Fleet'!$C$5:$C$63,MATCH(N$3-$B42,'D Fleet'!$B$5:$B$63,0)),0)*IFERROR(INDEX('D Fleet'!$J$5:$J$36,INT(($B42/N$4))+1)+(($B42/N$4)-INT(($B42/N$4)))*(INDEX('D Fleet'!$J$5:$J$36,INT(($B42/N$4))+2)-INDEX('D Fleet'!$J$5:$J$36,INT(($B42/N$4))+1)),0)</f>
        <v/>
      </c>
      <c r="P42" s="350">
        <f>E42*$D42*'E1 Fleet'!$D$97</f>
        <v/>
      </c>
      <c r="Q42" s="350">
        <f>F42*$D42*'E1 Fleet'!$D$97</f>
        <v/>
      </c>
      <c r="R42" s="350">
        <f>G42*$D42*'E1 Fleet'!$D$97</f>
        <v/>
      </c>
      <c r="S42" s="350">
        <f>H42*$D42*'E1 Fleet'!$D$97</f>
        <v/>
      </c>
      <c r="T42" s="350">
        <f>I42*$D42*'E1 Fleet'!$D$97</f>
        <v/>
      </c>
      <c r="U42" s="350">
        <f>J42*$D42*'E1 Fleet'!$D$97</f>
        <v/>
      </c>
      <c r="V42" s="350">
        <f>K42*$D42*'E1 Fleet'!$D$97</f>
        <v/>
      </c>
      <c r="W42" s="350">
        <f>L42*$D42*'E1 Fleet'!$D$97</f>
        <v/>
      </c>
      <c r="X42" s="350">
        <f>M42*$D42*'E1 Fleet'!$D$97</f>
        <v/>
      </c>
      <c r="Y42" s="350">
        <f>N42*$D42*'E1 Fleet'!$D$97</f>
        <v/>
      </c>
    </row>
    <row r="43">
      <c r="A43" t="inlineStr">
        <is>
          <t>Car</t>
        </is>
      </c>
      <c r="B43" s="456" t="n">
        <v>36</v>
      </c>
      <c r="C43" s="456" t="n">
        <v>3</v>
      </c>
      <c r="D43" s="348">
        <f>IF($B43=0,'E1 Fleet'!$D$93,1)*EXP(-'E1 Fleet'!$D$94*MAX($B43-6,0))</f>
        <v/>
      </c>
      <c r="E43" s="350">
        <f>IFERROR(INDEX('D Fleet'!$C$5:$C$63,MATCH(E$3-$B43,'D Fleet'!$B$5:$B$63,0)),0)*IFERROR(INDEX('D Fleet'!$J$5:$J$36,INT(($B43/E$4))+1)+(($B43/E$4)-INT(($B43/E$4)))*(INDEX('D Fleet'!$J$5:$J$36,INT(($B43/E$4))+2)-INDEX('D Fleet'!$J$5:$J$36,INT(($B43/E$4))+1)),0)</f>
        <v/>
      </c>
      <c r="F43" s="350">
        <f>IFERROR(INDEX('D Fleet'!$C$5:$C$63,MATCH(F$3-$B43,'D Fleet'!$B$5:$B$63,0)),0)*IFERROR(INDEX('D Fleet'!$J$5:$J$36,INT(($B43/F$4))+1)+(($B43/F$4)-INT(($B43/F$4)))*(INDEX('D Fleet'!$J$5:$J$36,INT(($B43/F$4))+2)-INDEX('D Fleet'!$J$5:$J$36,INT(($B43/F$4))+1)),0)</f>
        <v/>
      </c>
      <c r="G43" s="350">
        <f>IFERROR(INDEX('D Fleet'!$C$5:$C$63,MATCH(G$3-$B43,'D Fleet'!$B$5:$B$63,0)),0)*IFERROR(INDEX('D Fleet'!$J$5:$J$36,INT(($B43/G$4))+1)+(($B43/G$4)-INT(($B43/G$4)))*(INDEX('D Fleet'!$J$5:$J$36,INT(($B43/G$4))+2)-INDEX('D Fleet'!$J$5:$J$36,INT(($B43/G$4))+1)),0)</f>
        <v/>
      </c>
      <c r="H43" s="350">
        <f>IFERROR(INDEX('D Fleet'!$C$5:$C$63,MATCH(H$3-$B43,'D Fleet'!$B$5:$B$63,0)),0)*IFERROR(INDEX('D Fleet'!$J$5:$J$36,INT(($B43/H$4))+1)+(($B43/H$4)-INT(($B43/H$4)))*(INDEX('D Fleet'!$J$5:$J$36,INT(($B43/H$4))+2)-INDEX('D Fleet'!$J$5:$J$36,INT(($B43/H$4))+1)),0)</f>
        <v/>
      </c>
      <c r="I43" s="350">
        <f>IFERROR(INDEX('D Fleet'!$C$5:$C$63,MATCH(I$3-$B43,'D Fleet'!$B$5:$B$63,0)),0)*IFERROR(INDEX('D Fleet'!$J$5:$J$36,INT(($B43/I$4))+1)+(($B43/I$4)-INT(($B43/I$4)))*(INDEX('D Fleet'!$J$5:$J$36,INT(($B43/I$4))+2)-INDEX('D Fleet'!$J$5:$J$36,INT(($B43/I$4))+1)),0)</f>
        <v/>
      </c>
      <c r="J43" s="350">
        <f>IFERROR(INDEX('D Fleet'!$C$5:$C$63,MATCH(J$3-$B43,'D Fleet'!$B$5:$B$63,0)),0)*IFERROR(INDEX('D Fleet'!$J$5:$J$36,INT(($B43/J$4))+1)+(($B43/J$4)-INT(($B43/J$4)))*(INDEX('D Fleet'!$J$5:$J$36,INT(($B43/J$4))+2)-INDEX('D Fleet'!$J$5:$J$36,INT(($B43/J$4))+1)),0)</f>
        <v/>
      </c>
      <c r="K43" s="350">
        <f>IFERROR(INDEX('D Fleet'!$C$5:$C$63,MATCH(K$3-$B43,'D Fleet'!$B$5:$B$63,0)),0)*IFERROR(INDEX('D Fleet'!$J$5:$J$36,INT(($B43/K$4))+1)+(($B43/K$4)-INT(($B43/K$4)))*(INDEX('D Fleet'!$J$5:$J$36,INT(($B43/K$4))+2)-INDEX('D Fleet'!$J$5:$J$36,INT(($B43/K$4))+1)),0)</f>
        <v/>
      </c>
      <c r="L43" s="350">
        <f>IFERROR(INDEX('D Fleet'!$C$5:$C$63,MATCH(L$3-$B43,'D Fleet'!$B$5:$B$63,0)),0)*IFERROR(INDEX('D Fleet'!$J$5:$J$36,INT(($B43/L$4))+1)+(($B43/L$4)-INT(($B43/L$4)))*(INDEX('D Fleet'!$J$5:$J$36,INT(($B43/L$4))+2)-INDEX('D Fleet'!$J$5:$J$36,INT(($B43/L$4))+1)),0)</f>
        <v/>
      </c>
      <c r="M43" s="350">
        <f>IFERROR(INDEX('D Fleet'!$C$5:$C$63,MATCH(M$3-$B43,'D Fleet'!$B$5:$B$63,0)),0)*IFERROR(INDEX('D Fleet'!$J$5:$J$36,INT(($B43/M$4))+1)+(($B43/M$4)-INT(($B43/M$4)))*(INDEX('D Fleet'!$J$5:$J$36,INT(($B43/M$4))+2)-INDEX('D Fleet'!$J$5:$J$36,INT(($B43/M$4))+1)),0)</f>
        <v/>
      </c>
      <c r="N43" s="350">
        <f>IFERROR(INDEX('D Fleet'!$C$5:$C$63,MATCH(N$3-$B43,'D Fleet'!$B$5:$B$63,0)),0)*IFERROR(INDEX('D Fleet'!$J$5:$J$36,INT(($B43/N$4))+1)+(($B43/N$4)-INT(($B43/N$4)))*(INDEX('D Fleet'!$J$5:$J$36,INT(($B43/N$4))+2)-INDEX('D Fleet'!$J$5:$J$36,INT(($B43/N$4))+1)),0)</f>
        <v/>
      </c>
      <c r="P43" s="350">
        <f>E43*$D43*'E1 Fleet'!$D$97</f>
        <v/>
      </c>
      <c r="Q43" s="350">
        <f>F43*$D43*'E1 Fleet'!$D$97</f>
        <v/>
      </c>
      <c r="R43" s="350">
        <f>G43*$D43*'E1 Fleet'!$D$97</f>
        <v/>
      </c>
      <c r="S43" s="350">
        <f>H43*$D43*'E1 Fleet'!$D$97</f>
        <v/>
      </c>
      <c r="T43" s="350">
        <f>I43*$D43*'E1 Fleet'!$D$97</f>
        <v/>
      </c>
      <c r="U43" s="350">
        <f>J43*$D43*'E1 Fleet'!$D$97</f>
        <v/>
      </c>
      <c r="V43" s="350">
        <f>K43*$D43*'E1 Fleet'!$D$97</f>
        <v/>
      </c>
      <c r="W43" s="350">
        <f>L43*$D43*'E1 Fleet'!$D$97</f>
        <v/>
      </c>
      <c r="X43" s="350">
        <f>M43*$D43*'E1 Fleet'!$D$97</f>
        <v/>
      </c>
      <c r="Y43" s="350">
        <f>N43*$D43*'E1 Fleet'!$D$97</f>
        <v/>
      </c>
    </row>
    <row r="44">
      <c r="A44" t="inlineStr">
        <is>
          <t>Car</t>
        </is>
      </c>
      <c r="B44" s="456" t="n">
        <v>37</v>
      </c>
      <c r="C44" s="456" t="n">
        <v>3</v>
      </c>
      <c r="D44" s="348">
        <f>IF($B44=0,'E1 Fleet'!$D$93,1)*EXP(-'E1 Fleet'!$D$94*MAX($B44-6,0))</f>
        <v/>
      </c>
      <c r="E44" s="350">
        <f>IFERROR(INDEX('D Fleet'!$C$5:$C$63,MATCH(E$3-$B44,'D Fleet'!$B$5:$B$63,0)),0)*IFERROR(INDEX('D Fleet'!$J$5:$J$36,INT(($B44/E$4))+1)+(($B44/E$4)-INT(($B44/E$4)))*(INDEX('D Fleet'!$J$5:$J$36,INT(($B44/E$4))+2)-INDEX('D Fleet'!$J$5:$J$36,INT(($B44/E$4))+1)),0)</f>
        <v/>
      </c>
      <c r="F44" s="350">
        <f>IFERROR(INDEX('D Fleet'!$C$5:$C$63,MATCH(F$3-$B44,'D Fleet'!$B$5:$B$63,0)),0)*IFERROR(INDEX('D Fleet'!$J$5:$J$36,INT(($B44/F$4))+1)+(($B44/F$4)-INT(($B44/F$4)))*(INDEX('D Fleet'!$J$5:$J$36,INT(($B44/F$4))+2)-INDEX('D Fleet'!$J$5:$J$36,INT(($B44/F$4))+1)),0)</f>
        <v/>
      </c>
      <c r="G44" s="350">
        <f>IFERROR(INDEX('D Fleet'!$C$5:$C$63,MATCH(G$3-$B44,'D Fleet'!$B$5:$B$63,0)),0)*IFERROR(INDEX('D Fleet'!$J$5:$J$36,INT(($B44/G$4))+1)+(($B44/G$4)-INT(($B44/G$4)))*(INDEX('D Fleet'!$J$5:$J$36,INT(($B44/G$4))+2)-INDEX('D Fleet'!$J$5:$J$36,INT(($B44/G$4))+1)),0)</f>
        <v/>
      </c>
      <c r="H44" s="350">
        <f>IFERROR(INDEX('D Fleet'!$C$5:$C$63,MATCH(H$3-$B44,'D Fleet'!$B$5:$B$63,0)),0)*IFERROR(INDEX('D Fleet'!$J$5:$J$36,INT(($B44/H$4))+1)+(($B44/H$4)-INT(($B44/H$4)))*(INDEX('D Fleet'!$J$5:$J$36,INT(($B44/H$4))+2)-INDEX('D Fleet'!$J$5:$J$36,INT(($B44/H$4))+1)),0)</f>
        <v/>
      </c>
      <c r="I44" s="350">
        <f>IFERROR(INDEX('D Fleet'!$C$5:$C$63,MATCH(I$3-$B44,'D Fleet'!$B$5:$B$63,0)),0)*IFERROR(INDEX('D Fleet'!$J$5:$J$36,INT(($B44/I$4))+1)+(($B44/I$4)-INT(($B44/I$4)))*(INDEX('D Fleet'!$J$5:$J$36,INT(($B44/I$4))+2)-INDEX('D Fleet'!$J$5:$J$36,INT(($B44/I$4))+1)),0)</f>
        <v/>
      </c>
      <c r="J44" s="350">
        <f>IFERROR(INDEX('D Fleet'!$C$5:$C$63,MATCH(J$3-$B44,'D Fleet'!$B$5:$B$63,0)),0)*IFERROR(INDEX('D Fleet'!$J$5:$J$36,INT(($B44/J$4))+1)+(($B44/J$4)-INT(($B44/J$4)))*(INDEX('D Fleet'!$J$5:$J$36,INT(($B44/J$4))+2)-INDEX('D Fleet'!$J$5:$J$36,INT(($B44/J$4))+1)),0)</f>
        <v/>
      </c>
      <c r="K44" s="350">
        <f>IFERROR(INDEX('D Fleet'!$C$5:$C$63,MATCH(K$3-$B44,'D Fleet'!$B$5:$B$63,0)),0)*IFERROR(INDEX('D Fleet'!$J$5:$J$36,INT(($B44/K$4))+1)+(($B44/K$4)-INT(($B44/K$4)))*(INDEX('D Fleet'!$J$5:$J$36,INT(($B44/K$4))+2)-INDEX('D Fleet'!$J$5:$J$36,INT(($B44/K$4))+1)),0)</f>
        <v/>
      </c>
      <c r="L44" s="350">
        <f>IFERROR(INDEX('D Fleet'!$C$5:$C$63,MATCH(L$3-$B44,'D Fleet'!$B$5:$B$63,0)),0)*IFERROR(INDEX('D Fleet'!$J$5:$J$36,INT(($B44/L$4))+1)+(($B44/L$4)-INT(($B44/L$4)))*(INDEX('D Fleet'!$J$5:$J$36,INT(($B44/L$4))+2)-INDEX('D Fleet'!$J$5:$J$36,INT(($B44/L$4))+1)),0)</f>
        <v/>
      </c>
      <c r="M44" s="350">
        <f>IFERROR(INDEX('D Fleet'!$C$5:$C$63,MATCH(M$3-$B44,'D Fleet'!$B$5:$B$63,0)),0)*IFERROR(INDEX('D Fleet'!$J$5:$J$36,INT(($B44/M$4))+1)+(($B44/M$4)-INT(($B44/M$4)))*(INDEX('D Fleet'!$J$5:$J$36,INT(($B44/M$4))+2)-INDEX('D Fleet'!$J$5:$J$36,INT(($B44/M$4))+1)),0)</f>
        <v/>
      </c>
      <c r="N44" s="350">
        <f>IFERROR(INDEX('D Fleet'!$C$5:$C$63,MATCH(N$3-$B44,'D Fleet'!$B$5:$B$63,0)),0)*IFERROR(INDEX('D Fleet'!$J$5:$J$36,INT(($B44/N$4))+1)+(($B44/N$4)-INT(($B44/N$4)))*(INDEX('D Fleet'!$J$5:$J$36,INT(($B44/N$4))+2)-INDEX('D Fleet'!$J$5:$J$36,INT(($B44/N$4))+1)),0)</f>
        <v/>
      </c>
      <c r="P44" s="350">
        <f>E44*$D44*'E1 Fleet'!$D$97</f>
        <v/>
      </c>
      <c r="Q44" s="350">
        <f>F44*$D44*'E1 Fleet'!$D$97</f>
        <v/>
      </c>
      <c r="R44" s="350">
        <f>G44*$D44*'E1 Fleet'!$D$97</f>
        <v/>
      </c>
      <c r="S44" s="350">
        <f>H44*$D44*'E1 Fleet'!$D$97</f>
        <v/>
      </c>
      <c r="T44" s="350">
        <f>I44*$D44*'E1 Fleet'!$D$97</f>
        <v/>
      </c>
      <c r="U44" s="350">
        <f>J44*$D44*'E1 Fleet'!$D$97</f>
        <v/>
      </c>
      <c r="V44" s="350">
        <f>K44*$D44*'E1 Fleet'!$D$97</f>
        <v/>
      </c>
      <c r="W44" s="350">
        <f>L44*$D44*'E1 Fleet'!$D$97</f>
        <v/>
      </c>
      <c r="X44" s="350">
        <f>M44*$D44*'E1 Fleet'!$D$97</f>
        <v/>
      </c>
      <c r="Y44" s="350">
        <f>N44*$D44*'E1 Fleet'!$D$97</f>
        <v/>
      </c>
    </row>
    <row r="45">
      <c r="A45" t="inlineStr">
        <is>
          <t>Car</t>
        </is>
      </c>
      <c r="B45" s="456" t="n">
        <v>38</v>
      </c>
      <c r="C45" s="456" t="n">
        <v>3</v>
      </c>
      <c r="D45" s="348">
        <f>IF($B45=0,'E1 Fleet'!$D$93,1)*EXP(-'E1 Fleet'!$D$94*MAX($B45-6,0))</f>
        <v/>
      </c>
      <c r="E45" s="350">
        <f>IFERROR(INDEX('D Fleet'!$C$5:$C$63,MATCH(E$3-$B45,'D Fleet'!$B$5:$B$63,0)),0)*IFERROR(INDEX('D Fleet'!$J$5:$J$36,INT(($B45/E$4))+1)+(($B45/E$4)-INT(($B45/E$4)))*(INDEX('D Fleet'!$J$5:$J$36,INT(($B45/E$4))+2)-INDEX('D Fleet'!$J$5:$J$36,INT(($B45/E$4))+1)),0)</f>
        <v/>
      </c>
      <c r="F45" s="350">
        <f>IFERROR(INDEX('D Fleet'!$C$5:$C$63,MATCH(F$3-$B45,'D Fleet'!$B$5:$B$63,0)),0)*IFERROR(INDEX('D Fleet'!$J$5:$J$36,INT(($B45/F$4))+1)+(($B45/F$4)-INT(($B45/F$4)))*(INDEX('D Fleet'!$J$5:$J$36,INT(($B45/F$4))+2)-INDEX('D Fleet'!$J$5:$J$36,INT(($B45/F$4))+1)),0)</f>
        <v/>
      </c>
      <c r="G45" s="350">
        <f>IFERROR(INDEX('D Fleet'!$C$5:$C$63,MATCH(G$3-$B45,'D Fleet'!$B$5:$B$63,0)),0)*IFERROR(INDEX('D Fleet'!$J$5:$J$36,INT(($B45/G$4))+1)+(($B45/G$4)-INT(($B45/G$4)))*(INDEX('D Fleet'!$J$5:$J$36,INT(($B45/G$4))+2)-INDEX('D Fleet'!$J$5:$J$36,INT(($B45/G$4))+1)),0)</f>
        <v/>
      </c>
      <c r="H45" s="350">
        <f>IFERROR(INDEX('D Fleet'!$C$5:$C$63,MATCH(H$3-$B45,'D Fleet'!$B$5:$B$63,0)),0)*IFERROR(INDEX('D Fleet'!$J$5:$J$36,INT(($B45/H$4))+1)+(($B45/H$4)-INT(($B45/H$4)))*(INDEX('D Fleet'!$J$5:$J$36,INT(($B45/H$4))+2)-INDEX('D Fleet'!$J$5:$J$36,INT(($B45/H$4))+1)),0)</f>
        <v/>
      </c>
      <c r="I45" s="350">
        <f>IFERROR(INDEX('D Fleet'!$C$5:$C$63,MATCH(I$3-$B45,'D Fleet'!$B$5:$B$63,0)),0)*IFERROR(INDEX('D Fleet'!$J$5:$J$36,INT(($B45/I$4))+1)+(($B45/I$4)-INT(($B45/I$4)))*(INDEX('D Fleet'!$J$5:$J$36,INT(($B45/I$4))+2)-INDEX('D Fleet'!$J$5:$J$36,INT(($B45/I$4))+1)),0)</f>
        <v/>
      </c>
      <c r="J45" s="350">
        <f>IFERROR(INDEX('D Fleet'!$C$5:$C$63,MATCH(J$3-$B45,'D Fleet'!$B$5:$B$63,0)),0)*IFERROR(INDEX('D Fleet'!$J$5:$J$36,INT(($B45/J$4))+1)+(($B45/J$4)-INT(($B45/J$4)))*(INDEX('D Fleet'!$J$5:$J$36,INT(($B45/J$4))+2)-INDEX('D Fleet'!$J$5:$J$36,INT(($B45/J$4))+1)),0)</f>
        <v/>
      </c>
      <c r="K45" s="350">
        <f>IFERROR(INDEX('D Fleet'!$C$5:$C$63,MATCH(K$3-$B45,'D Fleet'!$B$5:$B$63,0)),0)*IFERROR(INDEX('D Fleet'!$J$5:$J$36,INT(($B45/K$4))+1)+(($B45/K$4)-INT(($B45/K$4)))*(INDEX('D Fleet'!$J$5:$J$36,INT(($B45/K$4))+2)-INDEX('D Fleet'!$J$5:$J$36,INT(($B45/K$4))+1)),0)</f>
        <v/>
      </c>
      <c r="L45" s="350">
        <f>IFERROR(INDEX('D Fleet'!$C$5:$C$63,MATCH(L$3-$B45,'D Fleet'!$B$5:$B$63,0)),0)*IFERROR(INDEX('D Fleet'!$J$5:$J$36,INT(($B45/L$4))+1)+(($B45/L$4)-INT(($B45/L$4)))*(INDEX('D Fleet'!$J$5:$J$36,INT(($B45/L$4))+2)-INDEX('D Fleet'!$J$5:$J$36,INT(($B45/L$4))+1)),0)</f>
        <v/>
      </c>
      <c r="M45" s="350">
        <f>IFERROR(INDEX('D Fleet'!$C$5:$C$63,MATCH(M$3-$B45,'D Fleet'!$B$5:$B$63,0)),0)*IFERROR(INDEX('D Fleet'!$J$5:$J$36,INT(($B45/M$4))+1)+(($B45/M$4)-INT(($B45/M$4)))*(INDEX('D Fleet'!$J$5:$J$36,INT(($B45/M$4))+2)-INDEX('D Fleet'!$J$5:$J$36,INT(($B45/M$4))+1)),0)</f>
        <v/>
      </c>
      <c r="N45" s="350">
        <f>IFERROR(INDEX('D Fleet'!$C$5:$C$63,MATCH(N$3-$B45,'D Fleet'!$B$5:$B$63,0)),0)*IFERROR(INDEX('D Fleet'!$J$5:$J$36,INT(($B45/N$4))+1)+(($B45/N$4)-INT(($B45/N$4)))*(INDEX('D Fleet'!$J$5:$J$36,INT(($B45/N$4))+2)-INDEX('D Fleet'!$J$5:$J$36,INT(($B45/N$4))+1)),0)</f>
        <v/>
      </c>
      <c r="P45" s="350">
        <f>E45*$D45*'E1 Fleet'!$D$97</f>
        <v/>
      </c>
      <c r="Q45" s="350">
        <f>F45*$D45*'E1 Fleet'!$D$97</f>
        <v/>
      </c>
      <c r="R45" s="350">
        <f>G45*$D45*'E1 Fleet'!$D$97</f>
        <v/>
      </c>
      <c r="S45" s="350">
        <f>H45*$D45*'E1 Fleet'!$D$97</f>
        <v/>
      </c>
      <c r="T45" s="350">
        <f>I45*$D45*'E1 Fleet'!$D$97</f>
        <v/>
      </c>
      <c r="U45" s="350">
        <f>J45*$D45*'E1 Fleet'!$D$97</f>
        <v/>
      </c>
      <c r="V45" s="350">
        <f>K45*$D45*'E1 Fleet'!$D$97</f>
        <v/>
      </c>
      <c r="W45" s="350">
        <f>L45*$D45*'E1 Fleet'!$D$97</f>
        <v/>
      </c>
      <c r="X45" s="350">
        <f>M45*$D45*'E1 Fleet'!$D$97</f>
        <v/>
      </c>
      <c r="Y45" s="350">
        <f>N45*$D45*'E1 Fleet'!$D$97</f>
        <v/>
      </c>
    </row>
    <row r="46">
      <c r="A46" t="inlineStr">
        <is>
          <t>Car</t>
        </is>
      </c>
      <c r="B46" s="456" t="n">
        <v>39</v>
      </c>
      <c r="C46" s="456" t="n">
        <v>3</v>
      </c>
      <c r="D46" s="348">
        <f>IF($B46=0,'E1 Fleet'!$D$93,1)*EXP(-'E1 Fleet'!$D$94*MAX($B46-6,0))</f>
        <v/>
      </c>
      <c r="E46" s="350">
        <f>IFERROR(INDEX('D Fleet'!$C$5:$C$63,MATCH(E$3-$B46,'D Fleet'!$B$5:$B$63,0)),0)*IFERROR(INDEX('D Fleet'!$J$5:$J$36,INT(($B46/E$4))+1)+(($B46/E$4)-INT(($B46/E$4)))*(INDEX('D Fleet'!$J$5:$J$36,INT(($B46/E$4))+2)-INDEX('D Fleet'!$J$5:$J$36,INT(($B46/E$4))+1)),0)</f>
        <v/>
      </c>
      <c r="F46" s="350">
        <f>IFERROR(INDEX('D Fleet'!$C$5:$C$63,MATCH(F$3-$B46,'D Fleet'!$B$5:$B$63,0)),0)*IFERROR(INDEX('D Fleet'!$J$5:$J$36,INT(($B46/F$4))+1)+(($B46/F$4)-INT(($B46/F$4)))*(INDEX('D Fleet'!$J$5:$J$36,INT(($B46/F$4))+2)-INDEX('D Fleet'!$J$5:$J$36,INT(($B46/F$4))+1)),0)</f>
        <v/>
      </c>
      <c r="G46" s="350">
        <f>IFERROR(INDEX('D Fleet'!$C$5:$C$63,MATCH(G$3-$B46,'D Fleet'!$B$5:$B$63,0)),0)*IFERROR(INDEX('D Fleet'!$J$5:$J$36,INT(($B46/G$4))+1)+(($B46/G$4)-INT(($B46/G$4)))*(INDEX('D Fleet'!$J$5:$J$36,INT(($B46/G$4))+2)-INDEX('D Fleet'!$J$5:$J$36,INT(($B46/G$4))+1)),0)</f>
        <v/>
      </c>
      <c r="H46" s="350">
        <f>IFERROR(INDEX('D Fleet'!$C$5:$C$63,MATCH(H$3-$B46,'D Fleet'!$B$5:$B$63,0)),0)*IFERROR(INDEX('D Fleet'!$J$5:$J$36,INT(($B46/H$4))+1)+(($B46/H$4)-INT(($B46/H$4)))*(INDEX('D Fleet'!$J$5:$J$36,INT(($B46/H$4))+2)-INDEX('D Fleet'!$J$5:$J$36,INT(($B46/H$4))+1)),0)</f>
        <v/>
      </c>
      <c r="I46" s="350">
        <f>IFERROR(INDEX('D Fleet'!$C$5:$C$63,MATCH(I$3-$B46,'D Fleet'!$B$5:$B$63,0)),0)*IFERROR(INDEX('D Fleet'!$J$5:$J$36,INT(($B46/I$4))+1)+(($B46/I$4)-INT(($B46/I$4)))*(INDEX('D Fleet'!$J$5:$J$36,INT(($B46/I$4))+2)-INDEX('D Fleet'!$J$5:$J$36,INT(($B46/I$4))+1)),0)</f>
        <v/>
      </c>
      <c r="J46" s="350">
        <f>IFERROR(INDEX('D Fleet'!$C$5:$C$63,MATCH(J$3-$B46,'D Fleet'!$B$5:$B$63,0)),0)*IFERROR(INDEX('D Fleet'!$J$5:$J$36,INT(($B46/J$4))+1)+(($B46/J$4)-INT(($B46/J$4)))*(INDEX('D Fleet'!$J$5:$J$36,INT(($B46/J$4))+2)-INDEX('D Fleet'!$J$5:$J$36,INT(($B46/J$4))+1)),0)</f>
        <v/>
      </c>
      <c r="K46" s="350">
        <f>IFERROR(INDEX('D Fleet'!$C$5:$C$63,MATCH(K$3-$B46,'D Fleet'!$B$5:$B$63,0)),0)*IFERROR(INDEX('D Fleet'!$J$5:$J$36,INT(($B46/K$4))+1)+(($B46/K$4)-INT(($B46/K$4)))*(INDEX('D Fleet'!$J$5:$J$36,INT(($B46/K$4))+2)-INDEX('D Fleet'!$J$5:$J$36,INT(($B46/K$4))+1)),0)</f>
        <v/>
      </c>
      <c r="L46" s="350">
        <f>IFERROR(INDEX('D Fleet'!$C$5:$C$63,MATCH(L$3-$B46,'D Fleet'!$B$5:$B$63,0)),0)*IFERROR(INDEX('D Fleet'!$J$5:$J$36,INT(($B46/L$4))+1)+(($B46/L$4)-INT(($B46/L$4)))*(INDEX('D Fleet'!$J$5:$J$36,INT(($B46/L$4))+2)-INDEX('D Fleet'!$J$5:$J$36,INT(($B46/L$4))+1)),0)</f>
        <v/>
      </c>
      <c r="M46" s="350">
        <f>IFERROR(INDEX('D Fleet'!$C$5:$C$63,MATCH(M$3-$B46,'D Fleet'!$B$5:$B$63,0)),0)*IFERROR(INDEX('D Fleet'!$J$5:$J$36,INT(($B46/M$4))+1)+(($B46/M$4)-INT(($B46/M$4)))*(INDEX('D Fleet'!$J$5:$J$36,INT(($B46/M$4))+2)-INDEX('D Fleet'!$J$5:$J$36,INT(($B46/M$4))+1)),0)</f>
        <v/>
      </c>
      <c r="N46" s="350">
        <f>IFERROR(INDEX('D Fleet'!$C$5:$C$63,MATCH(N$3-$B46,'D Fleet'!$B$5:$B$63,0)),0)*IFERROR(INDEX('D Fleet'!$J$5:$J$36,INT(($B46/N$4))+1)+(($B46/N$4)-INT(($B46/N$4)))*(INDEX('D Fleet'!$J$5:$J$36,INT(($B46/N$4))+2)-INDEX('D Fleet'!$J$5:$J$36,INT(($B46/N$4))+1)),0)</f>
        <v/>
      </c>
      <c r="P46" s="350">
        <f>E46*$D46*'E1 Fleet'!$D$97</f>
        <v/>
      </c>
      <c r="Q46" s="350">
        <f>F46*$D46*'E1 Fleet'!$D$97</f>
        <v/>
      </c>
      <c r="R46" s="350">
        <f>G46*$D46*'E1 Fleet'!$D$97</f>
        <v/>
      </c>
      <c r="S46" s="350">
        <f>H46*$D46*'E1 Fleet'!$D$97</f>
        <v/>
      </c>
      <c r="T46" s="350">
        <f>I46*$D46*'E1 Fleet'!$D$97</f>
        <v/>
      </c>
      <c r="U46" s="350">
        <f>J46*$D46*'E1 Fleet'!$D$97</f>
        <v/>
      </c>
      <c r="V46" s="350">
        <f>K46*$D46*'E1 Fleet'!$D$97</f>
        <v/>
      </c>
      <c r="W46" s="350">
        <f>L46*$D46*'E1 Fleet'!$D$97</f>
        <v/>
      </c>
      <c r="X46" s="350">
        <f>M46*$D46*'E1 Fleet'!$D$97</f>
        <v/>
      </c>
      <c r="Y46" s="350">
        <f>N46*$D46*'E1 Fleet'!$D$97</f>
        <v/>
      </c>
    </row>
    <row r="47">
      <c r="A47" t="inlineStr">
        <is>
          <t>Car</t>
        </is>
      </c>
      <c r="B47" s="456" t="n">
        <v>40</v>
      </c>
      <c r="C47" s="456" t="n">
        <v>3</v>
      </c>
      <c r="D47" s="348">
        <f>IF($B47=0,'E1 Fleet'!$D$93,1)*EXP(-'E1 Fleet'!$D$94*MAX($B47-6,0))</f>
        <v/>
      </c>
      <c r="E47" s="350">
        <f>IFERROR(INDEX('D Fleet'!$C$5:$C$63,MATCH(E$3-$B47,'D Fleet'!$B$5:$B$63,0)),0)*IFERROR(INDEX('D Fleet'!$J$5:$J$36,INT(($B47/E$4))+1)+(($B47/E$4)-INT(($B47/E$4)))*(INDEX('D Fleet'!$J$5:$J$36,INT(($B47/E$4))+2)-INDEX('D Fleet'!$J$5:$J$36,INT(($B47/E$4))+1)),0)</f>
        <v/>
      </c>
      <c r="F47" s="350">
        <f>IFERROR(INDEX('D Fleet'!$C$5:$C$63,MATCH(F$3-$B47,'D Fleet'!$B$5:$B$63,0)),0)*IFERROR(INDEX('D Fleet'!$J$5:$J$36,INT(($B47/F$4))+1)+(($B47/F$4)-INT(($B47/F$4)))*(INDEX('D Fleet'!$J$5:$J$36,INT(($B47/F$4))+2)-INDEX('D Fleet'!$J$5:$J$36,INT(($B47/F$4))+1)),0)</f>
        <v/>
      </c>
      <c r="G47" s="350">
        <f>IFERROR(INDEX('D Fleet'!$C$5:$C$63,MATCH(G$3-$B47,'D Fleet'!$B$5:$B$63,0)),0)*IFERROR(INDEX('D Fleet'!$J$5:$J$36,INT(($B47/G$4))+1)+(($B47/G$4)-INT(($B47/G$4)))*(INDEX('D Fleet'!$J$5:$J$36,INT(($B47/G$4))+2)-INDEX('D Fleet'!$J$5:$J$36,INT(($B47/G$4))+1)),0)</f>
        <v/>
      </c>
      <c r="H47" s="350">
        <f>IFERROR(INDEX('D Fleet'!$C$5:$C$63,MATCH(H$3-$B47,'D Fleet'!$B$5:$B$63,0)),0)*IFERROR(INDEX('D Fleet'!$J$5:$J$36,INT(($B47/H$4))+1)+(($B47/H$4)-INT(($B47/H$4)))*(INDEX('D Fleet'!$J$5:$J$36,INT(($B47/H$4))+2)-INDEX('D Fleet'!$J$5:$J$36,INT(($B47/H$4))+1)),0)</f>
        <v/>
      </c>
      <c r="I47" s="350">
        <f>IFERROR(INDEX('D Fleet'!$C$5:$C$63,MATCH(I$3-$B47,'D Fleet'!$B$5:$B$63,0)),0)*IFERROR(INDEX('D Fleet'!$J$5:$J$36,INT(($B47/I$4))+1)+(($B47/I$4)-INT(($B47/I$4)))*(INDEX('D Fleet'!$J$5:$J$36,INT(($B47/I$4))+2)-INDEX('D Fleet'!$J$5:$J$36,INT(($B47/I$4))+1)),0)</f>
        <v/>
      </c>
      <c r="J47" s="350">
        <f>IFERROR(INDEX('D Fleet'!$C$5:$C$63,MATCH(J$3-$B47,'D Fleet'!$B$5:$B$63,0)),0)*IFERROR(INDEX('D Fleet'!$J$5:$J$36,INT(($B47/J$4))+1)+(($B47/J$4)-INT(($B47/J$4)))*(INDEX('D Fleet'!$J$5:$J$36,INT(($B47/J$4))+2)-INDEX('D Fleet'!$J$5:$J$36,INT(($B47/J$4))+1)),0)</f>
        <v/>
      </c>
      <c r="K47" s="350">
        <f>IFERROR(INDEX('D Fleet'!$C$5:$C$63,MATCH(K$3-$B47,'D Fleet'!$B$5:$B$63,0)),0)*IFERROR(INDEX('D Fleet'!$J$5:$J$36,INT(($B47/K$4))+1)+(($B47/K$4)-INT(($B47/K$4)))*(INDEX('D Fleet'!$J$5:$J$36,INT(($B47/K$4))+2)-INDEX('D Fleet'!$J$5:$J$36,INT(($B47/K$4))+1)),0)</f>
        <v/>
      </c>
      <c r="L47" s="350">
        <f>IFERROR(INDEX('D Fleet'!$C$5:$C$63,MATCH(L$3-$B47,'D Fleet'!$B$5:$B$63,0)),0)*IFERROR(INDEX('D Fleet'!$J$5:$J$36,INT(($B47/L$4))+1)+(($B47/L$4)-INT(($B47/L$4)))*(INDEX('D Fleet'!$J$5:$J$36,INT(($B47/L$4))+2)-INDEX('D Fleet'!$J$5:$J$36,INT(($B47/L$4))+1)),0)</f>
        <v/>
      </c>
      <c r="M47" s="350">
        <f>IFERROR(INDEX('D Fleet'!$C$5:$C$63,MATCH(M$3-$B47,'D Fleet'!$B$5:$B$63,0)),0)*IFERROR(INDEX('D Fleet'!$J$5:$J$36,INT(($B47/M$4))+1)+(($B47/M$4)-INT(($B47/M$4)))*(INDEX('D Fleet'!$J$5:$J$36,INT(($B47/M$4))+2)-INDEX('D Fleet'!$J$5:$J$36,INT(($B47/M$4))+1)),0)</f>
        <v/>
      </c>
      <c r="N47" s="350">
        <f>IFERROR(INDEX('D Fleet'!$C$5:$C$63,MATCH(N$3-$B47,'D Fleet'!$B$5:$B$63,0)),0)*IFERROR(INDEX('D Fleet'!$J$5:$J$36,INT(($B47/N$4))+1)+(($B47/N$4)-INT(($B47/N$4)))*(INDEX('D Fleet'!$J$5:$J$36,INT(($B47/N$4))+2)-INDEX('D Fleet'!$J$5:$J$36,INT(($B47/N$4))+1)),0)</f>
        <v/>
      </c>
      <c r="P47" s="350">
        <f>E47*$D47*'E1 Fleet'!$D$97</f>
        <v/>
      </c>
      <c r="Q47" s="350">
        <f>F47*$D47*'E1 Fleet'!$D$97</f>
        <v/>
      </c>
      <c r="R47" s="350">
        <f>G47*$D47*'E1 Fleet'!$D$97</f>
        <v/>
      </c>
      <c r="S47" s="350">
        <f>H47*$D47*'E1 Fleet'!$D$97</f>
        <v/>
      </c>
      <c r="T47" s="350">
        <f>I47*$D47*'E1 Fleet'!$D$97</f>
        <v/>
      </c>
      <c r="U47" s="350">
        <f>J47*$D47*'E1 Fleet'!$D$97</f>
        <v/>
      </c>
      <c r="V47" s="350">
        <f>K47*$D47*'E1 Fleet'!$D$97</f>
        <v/>
      </c>
      <c r="W47" s="350">
        <f>L47*$D47*'E1 Fleet'!$D$97</f>
        <v/>
      </c>
      <c r="X47" s="350">
        <f>M47*$D47*'E1 Fleet'!$D$97</f>
        <v/>
      </c>
      <c r="Y47" s="350">
        <f>N47*$D47*'E1 Fleet'!$D$97</f>
        <v/>
      </c>
    </row>
    <row r="48">
      <c r="A48" t="inlineStr">
        <is>
          <t>Car</t>
        </is>
      </c>
      <c r="B48" s="456" t="n">
        <v>41</v>
      </c>
      <c r="C48" s="456" t="n">
        <v>3</v>
      </c>
      <c r="D48" s="348">
        <f>IF($B48=0,'E1 Fleet'!$D$93,1)*EXP(-'E1 Fleet'!$D$94*MAX($B48-6,0))</f>
        <v/>
      </c>
      <c r="E48" s="350">
        <f>IFERROR(INDEX('D Fleet'!$C$5:$C$63,MATCH(E$3-$B48,'D Fleet'!$B$5:$B$63,0)),0)*IFERROR(INDEX('D Fleet'!$J$5:$J$36,INT(($B48/E$4))+1)+(($B48/E$4)-INT(($B48/E$4)))*(INDEX('D Fleet'!$J$5:$J$36,INT(($B48/E$4))+2)-INDEX('D Fleet'!$J$5:$J$36,INT(($B48/E$4))+1)),0)</f>
        <v/>
      </c>
      <c r="F48" s="350">
        <f>IFERROR(INDEX('D Fleet'!$C$5:$C$63,MATCH(F$3-$B48,'D Fleet'!$B$5:$B$63,0)),0)*IFERROR(INDEX('D Fleet'!$J$5:$J$36,INT(($B48/F$4))+1)+(($B48/F$4)-INT(($B48/F$4)))*(INDEX('D Fleet'!$J$5:$J$36,INT(($B48/F$4))+2)-INDEX('D Fleet'!$J$5:$J$36,INT(($B48/F$4))+1)),0)</f>
        <v/>
      </c>
      <c r="G48" s="350">
        <f>IFERROR(INDEX('D Fleet'!$C$5:$C$63,MATCH(G$3-$B48,'D Fleet'!$B$5:$B$63,0)),0)*IFERROR(INDEX('D Fleet'!$J$5:$J$36,INT(($B48/G$4))+1)+(($B48/G$4)-INT(($B48/G$4)))*(INDEX('D Fleet'!$J$5:$J$36,INT(($B48/G$4))+2)-INDEX('D Fleet'!$J$5:$J$36,INT(($B48/G$4))+1)),0)</f>
        <v/>
      </c>
      <c r="H48" s="350">
        <f>IFERROR(INDEX('D Fleet'!$C$5:$C$63,MATCH(H$3-$B48,'D Fleet'!$B$5:$B$63,0)),0)*IFERROR(INDEX('D Fleet'!$J$5:$J$36,INT(($B48/H$4))+1)+(($B48/H$4)-INT(($B48/H$4)))*(INDEX('D Fleet'!$J$5:$J$36,INT(($B48/H$4))+2)-INDEX('D Fleet'!$J$5:$J$36,INT(($B48/H$4))+1)),0)</f>
        <v/>
      </c>
      <c r="I48" s="350">
        <f>IFERROR(INDEX('D Fleet'!$C$5:$C$63,MATCH(I$3-$B48,'D Fleet'!$B$5:$B$63,0)),0)*IFERROR(INDEX('D Fleet'!$J$5:$J$36,INT(($B48/I$4))+1)+(($B48/I$4)-INT(($B48/I$4)))*(INDEX('D Fleet'!$J$5:$J$36,INT(($B48/I$4))+2)-INDEX('D Fleet'!$J$5:$J$36,INT(($B48/I$4))+1)),0)</f>
        <v/>
      </c>
      <c r="J48" s="350">
        <f>IFERROR(INDEX('D Fleet'!$C$5:$C$63,MATCH(J$3-$B48,'D Fleet'!$B$5:$B$63,0)),0)*IFERROR(INDEX('D Fleet'!$J$5:$J$36,INT(($B48/J$4))+1)+(($B48/J$4)-INT(($B48/J$4)))*(INDEX('D Fleet'!$J$5:$J$36,INT(($B48/J$4))+2)-INDEX('D Fleet'!$J$5:$J$36,INT(($B48/J$4))+1)),0)</f>
        <v/>
      </c>
      <c r="K48" s="350">
        <f>IFERROR(INDEX('D Fleet'!$C$5:$C$63,MATCH(K$3-$B48,'D Fleet'!$B$5:$B$63,0)),0)*IFERROR(INDEX('D Fleet'!$J$5:$J$36,INT(($B48/K$4))+1)+(($B48/K$4)-INT(($B48/K$4)))*(INDEX('D Fleet'!$J$5:$J$36,INT(($B48/K$4))+2)-INDEX('D Fleet'!$J$5:$J$36,INT(($B48/K$4))+1)),0)</f>
        <v/>
      </c>
      <c r="L48" s="350">
        <f>IFERROR(INDEX('D Fleet'!$C$5:$C$63,MATCH(L$3-$B48,'D Fleet'!$B$5:$B$63,0)),0)*IFERROR(INDEX('D Fleet'!$J$5:$J$36,INT(($B48/L$4))+1)+(($B48/L$4)-INT(($B48/L$4)))*(INDEX('D Fleet'!$J$5:$J$36,INT(($B48/L$4))+2)-INDEX('D Fleet'!$J$5:$J$36,INT(($B48/L$4))+1)),0)</f>
        <v/>
      </c>
      <c r="M48" s="350">
        <f>IFERROR(INDEX('D Fleet'!$C$5:$C$63,MATCH(M$3-$B48,'D Fleet'!$B$5:$B$63,0)),0)*IFERROR(INDEX('D Fleet'!$J$5:$J$36,INT(($B48/M$4))+1)+(($B48/M$4)-INT(($B48/M$4)))*(INDEX('D Fleet'!$J$5:$J$36,INT(($B48/M$4))+2)-INDEX('D Fleet'!$J$5:$J$36,INT(($B48/M$4))+1)),0)</f>
        <v/>
      </c>
      <c r="N48" s="350">
        <f>IFERROR(INDEX('D Fleet'!$C$5:$C$63,MATCH(N$3-$B48,'D Fleet'!$B$5:$B$63,0)),0)*IFERROR(INDEX('D Fleet'!$J$5:$J$36,INT(($B48/N$4))+1)+(($B48/N$4)-INT(($B48/N$4)))*(INDEX('D Fleet'!$J$5:$J$36,INT(($B48/N$4))+2)-INDEX('D Fleet'!$J$5:$J$36,INT(($B48/N$4))+1)),0)</f>
        <v/>
      </c>
      <c r="P48" s="350">
        <f>E48*$D48*'E1 Fleet'!$D$97</f>
        <v/>
      </c>
      <c r="Q48" s="350">
        <f>F48*$D48*'E1 Fleet'!$D$97</f>
        <v/>
      </c>
      <c r="R48" s="350">
        <f>G48*$D48*'E1 Fleet'!$D$97</f>
        <v/>
      </c>
      <c r="S48" s="350">
        <f>H48*$D48*'E1 Fleet'!$D$97</f>
        <v/>
      </c>
      <c r="T48" s="350">
        <f>I48*$D48*'E1 Fleet'!$D$97</f>
        <v/>
      </c>
      <c r="U48" s="350">
        <f>J48*$D48*'E1 Fleet'!$D$97</f>
        <v/>
      </c>
      <c r="V48" s="350">
        <f>K48*$D48*'E1 Fleet'!$D$97</f>
        <v/>
      </c>
      <c r="W48" s="350">
        <f>L48*$D48*'E1 Fleet'!$D$97</f>
        <v/>
      </c>
      <c r="X48" s="350">
        <f>M48*$D48*'E1 Fleet'!$D$97</f>
        <v/>
      </c>
      <c r="Y48" s="350">
        <f>N48*$D48*'E1 Fleet'!$D$97</f>
        <v/>
      </c>
    </row>
    <row r="49">
      <c r="A49" t="inlineStr">
        <is>
          <t>Car</t>
        </is>
      </c>
      <c r="B49" s="456" t="n">
        <v>42</v>
      </c>
      <c r="C49" s="456" t="n">
        <v>3</v>
      </c>
      <c r="D49" s="348">
        <f>IF($B49=0,'E1 Fleet'!$D$93,1)*EXP(-'E1 Fleet'!$D$94*MAX($B49-6,0))</f>
        <v/>
      </c>
      <c r="E49" s="350">
        <f>IFERROR(INDEX('D Fleet'!$C$5:$C$63,MATCH(E$3-$B49,'D Fleet'!$B$5:$B$63,0)),0)*IFERROR(INDEX('D Fleet'!$J$5:$J$36,INT(($B49/E$4))+1)+(($B49/E$4)-INT(($B49/E$4)))*(INDEX('D Fleet'!$J$5:$J$36,INT(($B49/E$4))+2)-INDEX('D Fleet'!$J$5:$J$36,INT(($B49/E$4))+1)),0)</f>
        <v/>
      </c>
      <c r="F49" s="350">
        <f>IFERROR(INDEX('D Fleet'!$C$5:$C$63,MATCH(F$3-$B49,'D Fleet'!$B$5:$B$63,0)),0)*IFERROR(INDEX('D Fleet'!$J$5:$J$36,INT(($B49/F$4))+1)+(($B49/F$4)-INT(($B49/F$4)))*(INDEX('D Fleet'!$J$5:$J$36,INT(($B49/F$4))+2)-INDEX('D Fleet'!$J$5:$J$36,INT(($B49/F$4))+1)),0)</f>
        <v/>
      </c>
      <c r="G49" s="350">
        <f>IFERROR(INDEX('D Fleet'!$C$5:$C$63,MATCH(G$3-$B49,'D Fleet'!$B$5:$B$63,0)),0)*IFERROR(INDEX('D Fleet'!$J$5:$J$36,INT(($B49/G$4))+1)+(($B49/G$4)-INT(($B49/G$4)))*(INDEX('D Fleet'!$J$5:$J$36,INT(($B49/G$4))+2)-INDEX('D Fleet'!$J$5:$J$36,INT(($B49/G$4))+1)),0)</f>
        <v/>
      </c>
      <c r="H49" s="350">
        <f>IFERROR(INDEX('D Fleet'!$C$5:$C$63,MATCH(H$3-$B49,'D Fleet'!$B$5:$B$63,0)),0)*IFERROR(INDEX('D Fleet'!$J$5:$J$36,INT(($B49/H$4))+1)+(($B49/H$4)-INT(($B49/H$4)))*(INDEX('D Fleet'!$J$5:$J$36,INT(($B49/H$4))+2)-INDEX('D Fleet'!$J$5:$J$36,INT(($B49/H$4))+1)),0)</f>
        <v/>
      </c>
      <c r="I49" s="350">
        <f>IFERROR(INDEX('D Fleet'!$C$5:$C$63,MATCH(I$3-$B49,'D Fleet'!$B$5:$B$63,0)),0)*IFERROR(INDEX('D Fleet'!$J$5:$J$36,INT(($B49/I$4))+1)+(($B49/I$4)-INT(($B49/I$4)))*(INDEX('D Fleet'!$J$5:$J$36,INT(($B49/I$4))+2)-INDEX('D Fleet'!$J$5:$J$36,INT(($B49/I$4))+1)),0)</f>
        <v/>
      </c>
      <c r="J49" s="350">
        <f>IFERROR(INDEX('D Fleet'!$C$5:$C$63,MATCH(J$3-$B49,'D Fleet'!$B$5:$B$63,0)),0)*IFERROR(INDEX('D Fleet'!$J$5:$J$36,INT(($B49/J$4))+1)+(($B49/J$4)-INT(($B49/J$4)))*(INDEX('D Fleet'!$J$5:$J$36,INT(($B49/J$4))+2)-INDEX('D Fleet'!$J$5:$J$36,INT(($B49/J$4))+1)),0)</f>
        <v/>
      </c>
      <c r="K49" s="350">
        <f>IFERROR(INDEX('D Fleet'!$C$5:$C$63,MATCH(K$3-$B49,'D Fleet'!$B$5:$B$63,0)),0)*IFERROR(INDEX('D Fleet'!$J$5:$J$36,INT(($B49/K$4))+1)+(($B49/K$4)-INT(($B49/K$4)))*(INDEX('D Fleet'!$J$5:$J$36,INT(($B49/K$4))+2)-INDEX('D Fleet'!$J$5:$J$36,INT(($B49/K$4))+1)),0)</f>
        <v/>
      </c>
      <c r="L49" s="350">
        <f>IFERROR(INDEX('D Fleet'!$C$5:$C$63,MATCH(L$3-$B49,'D Fleet'!$B$5:$B$63,0)),0)*IFERROR(INDEX('D Fleet'!$J$5:$J$36,INT(($B49/L$4))+1)+(($B49/L$4)-INT(($B49/L$4)))*(INDEX('D Fleet'!$J$5:$J$36,INT(($B49/L$4))+2)-INDEX('D Fleet'!$J$5:$J$36,INT(($B49/L$4))+1)),0)</f>
        <v/>
      </c>
      <c r="M49" s="350">
        <f>IFERROR(INDEX('D Fleet'!$C$5:$C$63,MATCH(M$3-$B49,'D Fleet'!$B$5:$B$63,0)),0)*IFERROR(INDEX('D Fleet'!$J$5:$J$36,INT(($B49/M$4))+1)+(($B49/M$4)-INT(($B49/M$4)))*(INDEX('D Fleet'!$J$5:$J$36,INT(($B49/M$4))+2)-INDEX('D Fleet'!$J$5:$J$36,INT(($B49/M$4))+1)),0)</f>
        <v/>
      </c>
      <c r="N49" s="350">
        <f>IFERROR(INDEX('D Fleet'!$C$5:$C$63,MATCH(N$3-$B49,'D Fleet'!$B$5:$B$63,0)),0)*IFERROR(INDEX('D Fleet'!$J$5:$J$36,INT(($B49/N$4))+1)+(($B49/N$4)-INT(($B49/N$4)))*(INDEX('D Fleet'!$J$5:$J$36,INT(($B49/N$4))+2)-INDEX('D Fleet'!$J$5:$J$36,INT(($B49/N$4))+1)),0)</f>
        <v/>
      </c>
      <c r="P49" s="350">
        <f>E49*$D49*'E1 Fleet'!$D$97</f>
        <v/>
      </c>
      <c r="Q49" s="350">
        <f>F49*$D49*'E1 Fleet'!$D$97</f>
        <v/>
      </c>
      <c r="R49" s="350">
        <f>G49*$D49*'E1 Fleet'!$D$97</f>
        <v/>
      </c>
      <c r="S49" s="350">
        <f>H49*$D49*'E1 Fleet'!$D$97</f>
        <v/>
      </c>
      <c r="T49" s="350">
        <f>I49*$D49*'E1 Fleet'!$D$97</f>
        <v/>
      </c>
      <c r="U49" s="350">
        <f>J49*$D49*'E1 Fleet'!$D$97</f>
        <v/>
      </c>
      <c r="V49" s="350">
        <f>K49*$D49*'E1 Fleet'!$D$97</f>
        <v/>
      </c>
      <c r="W49" s="350">
        <f>L49*$D49*'E1 Fleet'!$D$97</f>
        <v/>
      </c>
      <c r="X49" s="350">
        <f>M49*$D49*'E1 Fleet'!$D$97</f>
        <v/>
      </c>
      <c r="Y49" s="350">
        <f>N49*$D49*'E1 Fleet'!$D$97</f>
        <v/>
      </c>
    </row>
    <row r="50">
      <c r="A50" t="inlineStr">
        <is>
          <t>Car</t>
        </is>
      </c>
      <c r="B50" s="456" t="n">
        <v>43</v>
      </c>
      <c r="C50" s="456" t="n">
        <v>3</v>
      </c>
      <c r="D50" s="348">
        <f>IF($B50=0,'E1 Fleet'!$D$93,1)*EXP(-'E1 Fleet'!$D$94*MAX($B50-6,0))</f>
        <v/>
      </c>
      <c r="E50" s="350">
        <f>IFERROR(INDEX('D Fleet'!$C$5:$C$63,MATCH(E$3-$B50,'D Fleet'!$B$5:$B$63,0)),0)*IFERROR(INDEX('D Fleet'!$J$5:$J$36,INT(($B50/E$4))+1)+(($B50/E$4)-INT(($B50/E$4)))*(INDEX('D Fleet'!$J$5:$J$36,INT(($B50/E$4))+2)-INDEX('D Fleet'!$J$5:$J$36,INT(($B50/E$4))+1)),0)</f>
        <v/>
      </c>
      <c r="F50" s="350">
        <f>IFERROR(INDEX('D Fleet'!$C$5:$C$63,MATCH(F$3-$B50,'D Fleet'!$B$5:$B$63,0)),0)*IFERROR(INDEX('D Fleet'!$J$5:$J$36,INT(($B50/F$4))+1)+(($B50/F$4)-INT(($B50/F$4)))*(INDEX('D Fleet'!$J$5:$J$36,INT(($B50/F$4))+2)-INDEX('D Fleet'!$J$5:$J$36,INT(($B50/F$4))+1)),0)</f>
        <v/>
      </c>
      <c r="G50" s="350">
        <f>IFERROR(INDEX('D Fleet'!$C$5:$C$63,MATCH(G$3-$B50,'D Fleet'!$B$5:$B$63,0)),0)*IFERROR(INDEX('D Fleet'!$J$5:$J$36,INT(($B50/G$4))+1)+(($B50/G$4)-INT(($B50/G$4)))*(INDEX('D Fleet'!$J$5:$J$36,INT(($B50/G$4))+2)-INDEX('D Fleet'!$J$5:$J$36,INT(($B50/G$4))+1)),0)</f>
        <v/>
      </c>
      <c r="H50" s="350">
        <f>IFERROR(INDEX('D Fleet'!$C$5:$C$63,MATCH(H$3-$B50,'D Fleet'!$B$5:$B$63,0)),0)*IFERROR(INDEX('D Fleet'!$J$5:$J$36,INT(($B50/H$4))+1)+(($B50/H$4)-INT(($B50/H$4)))*(INDEX('D Fleet'!$J$5:$J$36,INT(($B50/H$4))+2)-INDEX('D Fleet'!$J$5:$J$36,INT(($B50/H$4))+1)),0)</f>
        <v/>
      </c>
      <c r="I50" s="350">
        <f>IFERROR(INDEX('D Fleet'!$C$5:$C$63,MATCH(I$3-$B50,'D Fleet'!$B$5:$B$63,0)),0)*IFERROR(INDEX('D Fleet'!$J$5:$J$36,INT(($B50/I$4))+1)+(($B50/I$4)-INT(($B50/I$4)))*(INDEX('D Fleet'!$J$5:$J$36,INT(($B50/I$4))+2)-INDEX('D Fleet'!$J$5:$J$36,INT(($B50/I$4))+1)),0)</f>
        <v/>
      </c>
      <c r="J50" s="350">
        <f>IFERROR(INDEX('D Fleet'!$C$5:$C$63,MATCH(J$3-$B50,'D Fleet'!$B$5:$B$63,0)),0)*IFERROR(INDEX('D Fleet'!$J$5:$J$36,INT(($B50/J$4))+1)+(($B50/J$4)-INT(($B50/J$4)))*(INDEX('D Fleet'!$J$5:$J$36,INT(($B50/J$4))+2)-INDEX('D Fleet'!$J$5:$J$36,INT(($B50/J$4))+1)),0)</f>
        <v/>
      </c>
      <c r="K50" s="350">
        <f>IFERROR(INDEX('D Fleet'!$C$5:$C$63,MATCH(K$3-$B50,'D Fleet'!$B$5:$B$63,0)),0)*IFERROR(INDEX('D Fleet'!$J$5:$J$36,INT(($B50/K$4))+1)+(($B50/K$4)-INT(($B50/K$4)))*(INDEX('D Fleet'!$J$5:$J$36,INT(($B50/K$4))+2)-INDEX('D Fleet'!$J$5:$J$36,INT(($B50/K$4))+1)),0)</f>
        <v/>
      </c>
      <c r="L50" s="350">
        <f>IFERROR(INDEX('D Fleet'!$C$5:$C$63,MATCH(L$3-$B50,'D Fleet'!$B$5:$B$63,0)),0)*IFERROR(INDEX('D Fleet'!$J$5:$J$36,INT(($B50/L$4))+1)+(($B50/L$4)-INT(($B50/L$4)))*(INDEX('D Fleet'!$J$5:$J$36,INT(($B50/L$4))+2)-INDEX('D Fleet'!$J$5:$J$36,INT(($B50/L$4))+1)),0)</f>
        <v/>
      </c>
      <c r="M50" s="350">
        <f>IFERROR(INDEX('D Fleet'!$C$5:$C$63,MATCH(M$3-$B50,'D Fleet'!$B$5:$B$63,0)),0)*IFERROR(INDEX('D Fleet'!$J$5:$J$36,INT(($B50/M$4))+1)+(($B50/M$4)-INT(($B50/M$4)))*(INDEX('D Fleet'!$J$5:$J$36,INT(($B50/M$4))+2)-INDEX('D Fleet'!$J$5:$J$36,INT(($B50/M$4))+1)),0)</f>
        <v/>
      </c>
      <c r="N50" s="350">
        <f>IFERROR(INDEX('D Fleet'!$C$5:$C$63,MATCH(N$3-$B50,'D Fleet'!$B$5:$B$63,0)),0)*IFERROR(INDEX('D Fleet'!$J$5:$J$36,INT(($B50/N$4))+1)+(($B50/N$4)-INT(($B50/N$4)))*(INDEX('D Fleet'!$J$5:$J$36,INT(($B50/N$4))+2)-INDEX('D Fleet'!$J$5:$J$36,INT(($B50/N$4))+1)),0)</f>
        <v/>
      </c>
      <c r="P50" s="350">
        <f>E50*$D50*'E1 Fleet'!$D$97</f>
        <v/>
      </c>
      <c r="Q50" s="350">
        <f>F50*$D50*'E1 Fleet'!$D$97</f>
        <v/>
      </c>
      <c r="R50" s="350">
        <f>G50*$D50*'E1 Fleet'!$D$97</f>
        <v/>
      </c>
      <c r="S50" s="350">
        <f>H50*$D50*'E1 Fleet'!$D$97</f>
        <v/>
      </c>
      <c r="T50" s="350">
        <f>I50*$D50*'E1 Fleet'!$D$97</f>
        <v/>
      </c>
      <c r="U50" s="350">
        <f>J50*$D50*'E1 Fleet'!$D$97</f>
        <v/>
      </c>
      <c r="V50" s="350">
        <f>K50*$D50*'E1 Fleet'!$D$97</f>
        <v/>
      </c>
      <c r="W50" s="350">
        <f>L50*$D50*'E1 Fleet'!$D$97</f>
        <v/>
      </c>
      <c r="X50" s="350">
        <f>M50*$D50*'E1 Fleet'!$D$97</f>
        <v/>
      </c>
      <c r="Y50" s="350">
        <f>N50*$D50*'E1 Fleet'!$D$97</f>
        <v/>
      </c>
    </row>
    <row r="51">
      <c r="A51" t="inlineStr">
        <is>
          <t>Car</t>
        </is>
      </c>
      <c r="B51" s="456" t="n">
        <v>44</v>
      </c>
      <c r="C51" s="456" t="n">
        <v>3</v>
      </c>
      <c r="D51" s="348">
        <f>IF($B51=0,'E1 Fleet'!$D$93,1)*EXP(-'E1 Fleet'!$D$94*MAX($B51-6,0))</f>
        <v/>
      </c>
      <c r="E51" s="350">
        <f>IFERROR(INDEX('D Fleet'!$C$5:$C$63,MATCH(E$3-$B51,'D Fleet'!$B$5:$B$63,0)),0)*IFERROR(INDEX('D Fleet'!$J$5:$J$36,INT(($B51/E$4))+1)+(($B51/E$4)-INT(($B51/E$4)))*(INDEX('D Fleet'!$J$5:$J$36,INT(($B51/E$4))+2)-INDEX('D Fleet'!$J$5:$J$36,INT(($B51/E$4))+1)),0)</f>
        <v/>
      </c>
      <c r="F51" s="350">
        <f>IFERROR(INDEX('D Fleet'!$C$5:$C$63,MATCH(F$3-$B51,'D Fleet'!$B$5:$B$63,0)),0)*IFERROR(INDEX('D Fleet'!$J$5:$J$36,INT(($B51/F$4))+1)+(($B51/F$4)-INT(($B51/F$4)))*(INDEX('D Fleet'!$J$5:$J$36,INT(($B51/F$4))+2)-INDEX('D Fleet'!$J$5:$J$36,INT(($B51/F$4))+1)),0)</f>
        <v/>
      </c>
      <c r="G51" s="350">
        <f>IFERROR(INDEX('D Fleet'!$C$5:$C$63,MATCH(G$3-$B51,'D Fleet'!$B$5:$B$63,0)),0)*IFERROR(INDEX('D Fleet'!$J$5:$J$36,INT(($B51/G$4))+1)+(($B51/G$4)-INT(($B51/G$4)))*(INDEX('D Fleet'!$J$5:$J$36,INT(($B51/G$4))+2)-INDEX('D Fleet'!$J$5:$J$36,INT(($B51/G$4))+1)),0)</f>
        <v/>
      </c>
      <c r="H51" s="350">
        <f>IFERROR(INDEX('D Fleet'!$C$5:$C$63,MATCH(H$3-$B51,'D Fleet'!$B$5:$B$63,0)),0)*IFERROR(INDEX('D Fleet'!$J$5:$J$36,INT(($B51/H$4))+1)+(($B51/H$4)-INT(($B51/H$4)))*(INDEX('D Fleet'!$J$5:$J$36,INT(($B51/H$4))+2)-INDEX('D Fleet'!$J$5:$J$36,INT(($B51/H$4))+1)),0)</f>
        <v/>
      </c>
      <c r="I51" s="350">
        <f>IFERROR(INDEX('D Fleet'!$C$5:$C$63,MATCH(I$3-$B51,'D Fleet'!$B$5:$B$63,0)),0)*IFERROR(INDEX('D Fleet'!$J$5:$J$36,INT(($B51/I$4))+1)+(($B51/I$4)-INT(($B51/I$4)))*(INDEX('D Fleet'!$J$5:$J$36,INT(($B51/I$4))+2)-INDEX('D Fleet'!$J$5:$J$36,INT(($B51/I$4))+1)),0)</f>
        <v/>
      </c>
      <c r="J51" s="350">
        <f>IFERROR(INDEX('D Fleet'!$C$5:$C$63,MATCH(J$3-$B51,'D Fleet'!$B$5:$B$63,0)),0)*IFERROR(INDEX('D Fleet'!$J$5:$J$36,INT(($B51/J$4))+1)+(($B51/J$4)-INT(($B51/J$4)))*(INDEX('D Fleet'!$J$5:$J$36,INT(($B51/J$4))+2)-INDEX('D Fleet'!$J$5:$J$36,INT(($B51/J$4))+1)),0)</f>
        <v/>
      </c>
      <c r="K51" s="350">
        <f>IFERROR(INDEX('D Fleet'!$C$5:$C$63,MATCH(K$3-$B51,'D Fleet'!$B$5:$B$63,0)),0)*IFERROR(INDEX('D Fleet'!$J$5:$J$36,INT(($B51/K$4))+1)+(($B51/K$4)-INT(($B51/K$4)))*(INDEX('D Fleet'!$J$5:$J$36,INT(($B51/K$4))+2)-INDEX('D Fleet'!$J$5:$J$36,INT(($B51/K$4))+1)),0)</f>
        <v/>
      </c>
      <c r="L51" s="350">
        <f>IFERROR(INDEX('D Fleet'!$C$5:$C$63,MATCH(L$3-$B51,'D Fleet'!$B$5:$B$63,0)),0)*IFERROR(INDEX('D Fleet'!$J$5:$J$36,INT(($B51/L$4))+1)+(($B51/L$4)-INT(($B51/L$4)))*(INDEX('D Fleet'!$J$5:$J$36,INT(($B51/L$4))+2)-INDEX('D Fleet'!$J$5:$J$36,INT(($B51/L$4))+1)),0)</f>
        <v/>
      </c>
      <c r="M51" s="350">
        <f>IFERROR(INDEX('D Fleet'!$C$5:$C$63,MATCH(M$3-$B51,'D Fleet'!$B$5:$B$63,0)),0)*IFERROR(INDEX('D Fleet'!$J$5:$J$36,INT(($B51/M$4))+1)+(($B51/M$4)-INT(($B51/M$4)))*(INDEX('D Fleet'!$J$5:$J$36,INT(($B51/M$4))+2)-INDEX('D Fleet'!$J$5:$J$36,INT(($B51/M$4))+1)),0)</f>
        <v/>
      </c>
      <c r="N51" s="350">
        <f>IFERROR(INDEX('D Fleet'!$C$5:$C$63,MATCH(N$3-$B51,'D Fleet'!$B$5:$B$63,0)),0)*IFERROR(INDEX('D Fleet'!$J$5:$J$36,INT(($B51/N$4))+1)+(($B51/N$4)-INT(($B51/N$4)))*(INDEX('D Fleet'!$J$5:$J$36,INT(($B51/N$4))+2)-INDEX('D Fleet'!$J$5:$J$36,INT(($B51/N$4))+1)),0)</f>
        <v/>
      </c>
      <c r="P51" s="350">
        <f>E51*$D51*'E1 Fleet'!$D$97</f>
        <v/>
      </c>
      <c r="Q51" s="350">
        <f>F51*$D51*'E1 Fleet'!$D$97</f>
        <v/>
      </c>
      <c r="R51" s="350">
        <f>G51*$D51*'E1 Fleet'!$D$97</f>
        <v/>
      </c>
      <c r="S51" s="350">
        <f>H51*$D51*'E1 Fleet'!$D$97</f>
        <v/>
      </c>
      <c r="T51" s="350">
        <f>I51*$D51*'E1 Fleet'!$D$97</f>
        <v/>
      </c>
      <c r="U51" s="350">
        <f>J51*$D51*'E1 Fleet'!$D$97</f>
        <v/>
      </c>
      <c r="V51" s="350">
        <f>K51*$D51*'E1 Fleet'!$D$97</f>
        <v/>
      </c>
      <c r="W51" s="350">
        <f>L51*$D51*'E1 Fleet'!$D$97</f>
        <v/>
      </c>
      <c r="X51" s="350">
        <f>M51*$D51*'E1 Fleet'!$D$97</f>
        <v/>
      </c>
      <c r="Y51" s="350">
        <f>N51*$D51*'E1 Fleet'!$D$97</f>
        <v/>
      </c>
    </row>
    <row r="52">
      <c r="A52" t="inlineStr">
        <is>
          <t>Car</t>
        </is>
      </c>
      <c r="B52" s="456" t="n">
        <v>45</v>
      </c>
      <c r="C52" s="456" t="n">
        <v>3</v>
      </c>
      <c r="D52" s="348">
        <f>IF($B52=0,'E1 Fleet'!$D$93,1)*EXP(-'E1 Fleet'!$D$94*MAX($B52-6,0))</f>
        <v/>
      </c>
      <c r="E52" s="350">
        <f>IFERROR(INDEX('D Fleet'!$C$5:$C$63,MATCH(E$3-$B52,'D Fleet'!$B$5:$B$63,0)),0)*IFERROR(INDEX('D Fleet'!$J$5:$J$36,INT(($B52/E$4))+1)+(($B52/E$4)-INT(($B52/E$4)))*(INDEX('D Fleet'!$J$5:$J$36,INT(($B52/E$4))+2)-INDEX('D Fleet'!$J$5:$J$36,INT(($B52/E$4))+1)),0)</f>
        <v/>
      </c>
      <c r="F52" s="350">
        <f>IFERROR(INDEX('D Fleet'!$C$5:$C$63,MATCH(F$3-$B52,'D Fleet'!$B$5:$B$63,0)),0)*IFERROR(INDEX('D Fleet'!$J$5:$J$36,INT(($B52/F$4))+1)+(($B52/F$4)-INT(($B52/F$4)))*(INDEX('D Fleet'!$J$5:$J$36,INT(($B52/F$4))+2)-INDEX('D Fleet'!$J$5:$J$36,INT(($B52/F$4))+1)),0)</f>
        <v/>
      </c>
      <c r="G52" s="350">
        <f>IFERROR(INDEX('D Fleet'!$C$5:$C$63,MATCH(G$3-$B52,'D Fleet'!$B$5:$B$63,0)),0)*IFERROR(INDEX('D Fleet'!$J$5:$J$36,INT(($B52/G$4))+1)+(($B52/G$4)-INT(($B52/G$4)))*(INDEX('D Fleet'!$J$5:$J$36,INT(($B52/G$4))+2)-INDEX('D Fleet'!$J$5:$J$36,INT(($B52/G$4))+1)),0)</f>
        <v/>
      </c>
      <c r="H52" s="350">
        <f>IFERROR(INDEX('D Fleet'!$C$5:$C$63,MATCH(H$3-$B52,'D Fleet'!$B$5:$B$63,0)),0)*IFERROR(INDEX('D Fleet'!$J$5:$J$36,INT(($B52/H$4))+1)+(($B52/H$4)-INT(($B52/H$4)))*(INDEX('D Fleet'!$J$5:$J$36,INT(($B52/H$4))+2)-INDEX('D Fleet'!$J$5:$J$36,INT(($B52/H$4))+1)),0)</f>
        <v/>
      </c>
      <c r="I52" s="350">
        <f>IFERROR(INDEX('D Fleet'!$C$5:$C$63,MATCH(I$3-$B52,'D Fleet'!$B$5:$B$63,0)),0)*IFERROR(INDEX('D Fleet'!$J$5:$J$36,INT(($B52/I$4))+1)+(($B52/I$4)-INT(($B52/I$4)))*(INDEX('D Fleet'!$J$5:$J$36,INT(($B52/I$4))+2)-INDEX('D Fleet'!$J$5:$J$36,INT(($B52/I$4))+1)),0)</f>
        <v/>
      </c>
      <c r="J52" s="350">
        <f>IFERROR(INDEX('D Fleet'!$C$5:$C$63,MATCH(J$3-$B52,'D Fleet'!$B$5:$B$63,0)),0)*IFERROR(INDEX('D Fleet'!$J$5:$J$36,INT(($B52/J$4))+1)+(($B52/J$4)-INT(($B52/J$4)))*(INDEX('D Fleet'!$J$5:$J$36,INT(($B52/J$4))+2)-INDEX('D Fleet'!$J$5:$J$36,INT(($B52/J$4))+1)),0)</f>
        <v/>
      </c>
      <c r="K52" s="350">
        <f>IFERROR(INDEX('D Fleet'!$C$5:$C$63,MATCH(K$3-$B52,'D Fleet'!$B$5:$B$63,0)),0)*IFERROR(INDEX('D Fleet'!$J$5:$J$36,INT(($B52/K$4))+1)+(($B52/K$4)-INT(($B52/K$4)))*(INDEX('D Fleet'!$J$5:$J$36,INT(($B52/K$4))+2)-INDEX('D Fleet'!$J$5:$J$36,INT(($B52/K$4))+1)),0)</f>
        <v/>
      </c>
      <c r="L52" s="350">
        <f>IFERROR(INDEX('D Fleet'!$C$5:$C$63,MATCH(L$3-$B52,'D Fleet'!$B$5:$B$63,0)),0)*IFERROR(INDEX('D Fleet'!$J$5:$J$36,INT(($B52/L$4))+1)+(($B52/L$4)-INT(($B52/L$4)))*(INDEX('D Fleet'!$J$5:$J$36,INT(($B52/L$4))+2)-INDEX('D Fleet'!$J$5:$J$36,INT(($B52/L$4))+1)),0)</f>
        <v/>
      </c>
      <c r="M52" s="350">
        <f>IFERROR(INDEX('D Fleet'!$C$5:$C$63,MATCH(M$3-$B52,'D Fleet'!$B$5:$B$63,0)),0)*IFERROR(INDEX('D Fleet'!$J$5:$J$36,INT(($B52/M$4))+1)+(($B52/M$4)-INT(($B52/M$4)))*(INDEX('D Fleet'!$J$5:$J$36,INT(($B52/M$4))+2)-INDEX('D Fleet'!$J$5:$J$36,INT(($B52/M$4))+1)),0)</f>
        <v/>
      </c>
      <c r="N52" s="350">
        <f>IFERROR(INDEX('D Fleet'!$C$5:$C$63,MATCH(N$3-$B52,'D Fleet'!$B$5:$B$63,0)),0)*IFERROR(INDEX('D Fleet'!$J$5:$J$36,INT(($B52/N$4))+1)+(($B52/N$4)-INT(($B52/N$4)))*(INDEX('D Fleet'!$J$5:$J$36,INT(($B52/N$4))+2)-INDEX('D Fleet'!$J$5:$J$36,INT(($B52/N$4))+1)),0)</f>
        <v/>
      </c>
      <c r="P52" s="350">
        <f>E52*$D52*'E1 Fleet'!$D$97</f>
        <v/>
      </c>
      <c r="Q52" s="350">
        <f>F52*$D52*'E1 Fleet'!$D$97</f>
        <v/>
      </c>
      <c r="R52" s="350">
        <f>G52*$D52*'E1 Fleet'!$D$97</f>
        <v/>
      </c>
      <c r="S52" s="350">
        <f>H52*$D52*'E1 Fleet'!$D$97</f>
        <v/>
      </c>
      <c r="T52" s="350">
        <f>I52*$D52*'E1 Fleet'!$D$97</f>
        <v/>
      </c>
      <c r="U52" s="350">
        <f>J52*$D52*'E1 Fleet'!$D$97</f>
        <v/>
      </c>
      <c r="V52" s="350">
        <f>K52*$D52*'E1 Fleet'!$D$97</f>
        <v/>
      </c>
      <c r="W52" s="350">
        <f>L52*$D52*'E1 Fleet'!$D$97</f>
        <v/>
      </c>
      <c r="X52" s="350">
        <f>M52*$D52*'E1 Fleet'!$D$97</f>
        <v/>
      </c>
      <c r="Y52" s="350">
        <f>N52*$D52*'E1 Fleet'!$D$97</f>
        <v/>
      </c>
    </row>
    <row r="53">
      <c r="A53" t="inlineStr">
        <is>
          <t>SUV</t>
        </is>
      </c>
      <c r="B53" s="456" t="n">
        <v>0</v>
      </c>
      <c r="C53" s="456" t="n">
        <v>0</v>
      </c>
      <c r="D53" s="348">
        <f>IF($B53=0,'E1 Fleet'!$D$93,1)*EXP(-'E1 Fleet'!$D$94*MAX($B53-6,0))</f>
        <v/>
      </c>
      <c r="E53" s="350">
        <f>IFERROR(INDEX('D Fleet'!$D$5:$D$63,MATCH(E$3-$B53,'D Fleet'!$B$5:$B$63,0)),0)*IFERROR(INDEX('D Fleet'!$K$5:$K$36,INT(($B53/E$5))+1)+(($B53/E$5)-INT(($B53/E$5)))*(INDEX('D Fleet'!$K$5:$K$36,INT(($B53/E$5))+2)-INDEX('D Fleet'!$K$5:$K$36,INT(($B53/E$5))+1)),0)</f>
        <v/>
      </c>
      <c r="F53" s="350">
        <f>IFERROR(INDEX('D Fleet'!$D$5:$D$63,MATCH(F$3-$B53,'D Fleet'!$B$5:$B$63,0)),0)*IFERROR(INDEX('D Fleet'!$K$5:$K$36,INT(($B53/F$5))+1)+(($B53/F$5)-INT(($B53/F$5)))*(INDEX('D Fleet'!$K$5:$K$36,INT(($B53/F$5))+2)-INDEX('D Fleet'!$K$5:$K$36,INT(($B53/F$5))+1)),0)</f>
        <v/>
      </c>
      <c r="G53" s="350">
        <f>IFERROR(INDEX('D Fleet'!$D$5:$D$63,MATCH(G$3-$B53,'D Fleet'!$B$5:$B$63,0)),0)*IFERROR(INDEX('D Fleet'!$K$5:$K$36,INT(($B53/G$5))+1)+(($B53/G$5)-INT(($B53/G$5)))*(INDEX('D Fleet'!$K$5:$K$36,INT(($B53/G$5))+2)-INDEX('D Fleet'!$K$5:$K$36,INT(($B53/G$5))+1)),0)</f>
        <v/>
      </c>
      <c r="H53" s="350">
        <f>IFERROR(INDEX('D Fleet'!$D$5:$D$63,MATCH(H$3-$B53,'D Fleet'!$B$5:$B$63,0)),0)*IFERROR(INDEX('D Fleet'!$K$5:$K$36,INT(($B53/H$5))+1)+(($B53/H$5)-INT(($B53/H$5)))*(INDEX('D Fleet'!$K$5:$K$36,INT(($B53/H$5))+2)-INDEX('D Fleet'!$K$5:$K$36,INT(($B53/H$5))+1)),0)</f>
        <v/>
      </c>
      <c r="I53" s="350">
        <f>IFERROR(INDEX('D Fleet'!$D$5:$D$63,MATCH(I$3-$B53,'D Fleet'!$B$5:$B$63,0)),0)*IFERROR(INDEX('D Fleet'!$K$5:$K$36,INT(($B53/I$5))+1)+(($B53/I$5)-INT(($B53/I$5)))*(INDEX('D Fleet'!$K$5:$K$36,INT(($B53/I$5))+2)-INDEX('D Fleet'!$K$5:$K$36,INT(($B53/I$5))+1)),0)</f>
        <v/>
      </c>
      <c r="J53" s="350">
        <f>IFERROR(INDEX('D Fleet'!$D$5:$D$63,MATCH(J$3-$B53,'D Fleet'!$B$5:$B$63,0)),0)*IFERROR(INDEX('D Fleet'!$K$5:$K$36,INT(($B53/J$5))+1)+(($B53/J$5)-INT(($B53/J$5)))*(INDEX('D Fleet'!$K$5:$K$36,INT(($B53/J$5))+2)-INDEX('D Fleet'!$K$5:$K$36,INT(($B53/J$5))+1)),0)</f>
        <v/>
      </c>
      <c r="K53" s="350">
        <f>IFERROR(INDEX('D Fleet'!$D$5:$D$63,MATCH(K$3-$B53,'D Fleet'!$B$5:$B$63,0)),0)*IFERROR(INDEX('D Fleet'!$K$5:$K$36,INT(($B53/K$5))+1)+(($B53/K$5)-INT(($B53/K$5)))*(INDEX('D Fleet'!$K$5:$K$36,INT(($B53/K$5))+2)-INDEX('D Fleet'!$K$5:$K$36,INT(($B53/K$5))+1)),0)</f>
        <v/>
      </c>
      <c r="L53" s="350">
        <f>IFERROR(INDEX('D Fleet'!$D$5:$D$63,MATCH(L$3-$B53,'D Fleet'!$B$5:$B$63,0)),0)*IFERROR(INDEX('D Fleet'!$K$5:$K$36,INT(($B53/L$5))+1)+(($B53/L$5)-INT(($B53/L$5)))*(INDEX('D Fleet'!$K$5:$K$36,INT(($B53/L$5))+2)-INDEX('D Fleet'!$K$5:$K$36,INT(($B53/L$5))+1)),0)</f>
        <v/>
      </c>
      <c r="M53" s="350">
        <f>IFERROR(INDEX('D Fleet'!$D$5:$D$63,MATCH(M$3-$B53,'D Fleet'!$B$5:$B$63,0)),0)*IFERROR(INDEX('D Fleet'!$K$5:$K$36,INT(($B53/M$5))+1)+(($B53/M$5)-INT(($B53/M$5)))*(INDEX('D Fleet'!$K$5:$K$36,INT(($B53/M$5))+2)-INDEX('D Fleet'!$K$5:$K$36,INT(($B53/M$5))+1)),0)</f>
        <v/>
      </c>
      <c r="N53" s="350">
        <f>IFERROR(INDEX('D Fleet'!$D$5:$D$63,MATCH(N$3-$B53,'D Fleet'!$B$5:$B$63,0)),0)*IFERROR(INDEX('D Fleet'!$K$5:$K$36,INT(($B53/N$5))+1)+(($B53/N$5)-INT(($B53/N$5)))*(INDEX('D Fleet'!$K$5:$K$36,INT(($B53/N$5))+2)-INDEX('D Fleet'!$K$5:$K$36,INT(($B53/N$5))+1)),0)</f>
        <v/>
      </c>
      <c r="P53" s="350">
        <f>E53*$D53*'E1 Fleet'!$D$98</f>
        <v/>
      </c>
      <c r="Q53" s="350">
        <f>F53*$D53*'E1 Fleet'!$D$98</f>
        <v/>
      </c>
      <c r="R53" s="350">
        <f>G53*$D53*'E1 Fleet'!$D$98</f>
        <v/>
      </c>
      <c r="S53" s="350">
        <f>H53*$D53*'E1 Fleet'!$D$98</f>
        <v/>
      </c>
      <c r="T53" s="350">
        <f>I53*$D53*'E1 Fleet'!$D$98</f>
        <v/>
      </c>
      <c r="U53" s="350">
        <f>J53*$D53*'E1 Fleet'!$D$98</f>
        <v/>
      </c>
      <c r="V53" s="350">
        <f>K53*$D53*'E1 Fleet'!$D$98</f>
        <v/>
      </c>
      <c r="W53" s="350">
        <f>L53*$D53*'E1 Fleet'!$D$98</f>
        <v/>
      </c>
      <c r="X53" s="350">
        <f>M53*$D53*'E1 Fleet'!$D$98</f>
        <v/>
      </c>
      <c r="Y53" s="350">
        <f>N53*$D53*'E1 Fleet'!$D$98</f>
        <v/>
      </c>
    </row>
    <row r="54">
      <c r="A54" t="inlineStr">
        <is>
          <t>SUV</t>
        </is>
      </c>
      <c r="B54" s="456" t="n">
        <v>1</v>
      </c>
      <c r="C54" s="456" t="n">
        <v>1</v>
      </c>
      <c r="D54" s="348">
        <f>IF($B54=0,'E1 Fleet'!$D$93,1)*EXP(-'E1 Fleet'!$D$94*MAX($B54-6,0))</f>
        <v/>
      </c>
      <c r="E54" s="350">
        <f>IFERROR(INDEX('D Fleet'!$D$5:$D$63,MATCH(E$3-$B54,'D Fleet'!$B$5:$B$63,0)),0)*IFERROR(INDEX('D Fleet'!$K$5:$K$36,INT(($B54/E$5))+1)+(($B54/E$5)-INT(($B54/E$5)))*(INDEX('D Fleet'!$K$5:$K$36,INT(($B54/E$5))+2)-INDEX('D Fleet'!$K$5:$K$36,INT(($B54/E$5))+1)),0)</f>
        <v/>
      </c>
      <c r="F54" s="350">
        <f>IFERROR(INDEX('D Fleet'!$D$5:$D$63,MATCH(F$3-$B54,'D Fleet'!$B$5:$B$63,0)),0)*IFERROR(INDEX('D Fleet'!$K$5:$K$36,INT(($B54/F$5))+1)+(($B54/F$5)-INT(($B54/F$5)))*(INDEX('D Fleet'!$K$5:$K$36,INT(($B54/F$5))+2)-INDEX('D Fleet'!$K$5:$K$36,INT(($B54/F$5))+1)),0)</f>
        <v/>
      </c>
      <c r="G54" s="350">
        <f>IFERROR(INDEX('D Fleet'!$D$5:$D$63,MATCH(G$3-$B54,'D Fleet'!$B$5:$B$63,0)),0)*IFERROR(INDEX('D Fleet'!$K$5:$K$36,INT(($B54/G$5))+1)+(($B54/G$5)-INT(($B54/G$5)))*(INDEX('D Fleet'!$K$5:$K$36,INT(($B54/G$5))+2)-INDEX('D Fleet'!$K$5:$K$36,INT(($B54/G$5))+1)),0)</f>
        <v/>
      </c>
      <c r="H54" s="350">
        <f>IFERROR(INDEX('D Fleet'!$D$5:$D$63,MATCH(H$3-$B54,'D Fleet'!$B$5:$B$63,0)),0)*IFERROR(INDEX('D Fleet'!$K$5:$K$36,INT(($B54/H$5))+1)+(($B54/H$5)-INT(($B54/H$5)))*(INDEX('D Fleet'!$K$5:$K$36,INT(($B54/H$5))+2)-INDEX('D Fleet'!$K$5:$K$36,INT(($B54/H$5))+1)),0)</f>
        <v/>
      </c>
      <c r="I54" s="350">
        <f>IFERROR(INDEX('D Fleet'!$D$5:$D$63,MATCH(I$3-$B54,'D Fleet'!$B$5:$B$63,0)),0)*IFERROR(INDEX('D Fleet'!$K$5:$K$36,INT(($B54/I$5))+1)+(($B54/I$5)-INT(($B54/I$5)))*(INDEX('D Fleet'!$K$5:$K$36,INT(($B54/I$5))+2)-INDEX('D Fleet'!$K$5:$K$36,INT(($B54/I$5))+1)),0)</f>
        <v/>
      </c>
      <c r="J54" s="350">
        <f>IFERROR(INDEX('D Fleet'!$D$5:$D$63,MATCH(J$3-$B54,'D Fleet'!$B$5:$B$63,0)),0)*IFERROR(INDEX('D Fleet'!$K$5:$K$36,INT(($B54/J$5))+1)+(($B54/J$5)-INT(($B54/J$5)))*(INDEX('D Fleet'!$K$5:$K$36,INT(($B54/J$5))+2)-INDEX('D Fleet'!$K$5:$K$36,INT(($B54/J$5))+1)),0)</f>
        <v/>
      </c>
      <c r="K54" s="350">
        <f>IFERROR(INDEX('D Fleet'!$D$5:$D$63,MATCH(K$3-$B54,'D Fleet'!$B$5:$B$63,0)),0)*IFERROR(INDEX('D Fleet'!$K$5:$K$36,INT(($B54/K$5))+1)+(($B54/K$5)-INT(($B54/K$5)))*(INDEX('D Fleet'!$K$5:$K$36,INT(($B54/K$5))+2)-INDEX('D Fleet'!$K$5:$K$36,INT(($B54/K$5))+1)),0)</f>
        <v/>
      </c>
      <c r="L54" s="350">
        <f>IFERROR(INDEX('D Fleet'!$D$5:$D$63,MATCH(L$3-$B54,'D Fleet'!$B$5:$B$63,0)),0)*IFERROR(INDEX('D Fleet'!$K$5:$K$36,INT(($B54/L$5))+1)+(($B54/L$5)-INT(($B54/L$5)))*(INDEX('D Fleet'!$K$5:$K$36,INT(($B54/L$5))+2)-INDEX('D Fleet'!$K$5:$K$36,INT(($B54/L$5))+1)),0)</f>
        <v/>
      </c>
      <c r="M54" s="350">
        <f>IFERROR(INDEX('D Fleet'!$D$5:$D$63,MATCH(M$3-$B54,'D Fleet'!$B$5:$B$63,0)),0)*IFERROR(INDEX('D Fleet'!$K$5:$K$36,INT(($B54/M$5))+1)+(($B54/M$5)-INT(($B54/M$5)))*(INDEX('D Fleet'!$K$5:$K$36,INT(($B54/M$5))+2)-INDEX('D Fleet'!$K$5:$K$36,INT(($B54/M$5))+1)),0)</f>
        <v/>
      </c>
      <c r="N54" s="350">
        <f>IFERROR(INDEX('D Fleet'!$D$5:$D$63,MATCH(N$3-$B54,'D Fleet'!$B$5:$B$63,0)),0)*IFERROR(INDEX('D Fleet'!$K$5:$K$36,INT(($B54/N$5))+1)+(($B54/N$5)-INT(($B54/N$5)))*(INDEX('D Fleet'!$K$5:$K$36,INT(($B54/N$5))+2)-INDEX('D Fleet'!$K$5:$K$36,INT(($B54/N$5))+1)),0)</f>
        <v/>
      </c>
      <c r="P54" s="350">
        <f>E54*$D54*'E1 Fleet'!$D$98</f>
        <v/>
      </c>
      <c r="Q54" s="350">
        <f>F54*$D54*'E1 Fleet'!$D$98</f>
        <v/>
      </c>
      <c r="R54" s="350">
        <f>G54*$D54*'E1 Fleet'!$D$98</f>
        <v/>
      </c>
      <c r="S54" s="350">
        <f>H54*$D54*'E1 Fleet'!$D$98</f>
        <v/>
      </c>
      <c r="T54" s="350">
        <f>I54*$D54*'E1 Fleet'!$D$98</f>
        <v/>
      </c>
      <c r="U54" s="350">
        <f>J54*$D54*'E1 Fleet'!$D$98</f>
        <v/>
      </c>
      <c r="V54" s="350">
        <f>K54*$D54*'E1 Fleet'!$D$98</f>
        <v/>
      </c>
      <c r="W54" s="350">
        <f>L54*$D54*'E1 Fleet'!$D$98</f>
        <v/>
      </c>
      <c r="X54" s="350">
        <f>M54*$D54*'E1 Fleet'!$D$98</f>
        <v/>
      </c>
      <c r="Y54" s="350">
        <f>N54*$D54*'E1 Fleet'!$D$98</f>
        <v/>
      </c>
    </row>
    <row r="55">
      <c r="A55" t="inlineStr">
        <is>
          <t>SUV</t>
        </is>
      </c>
      <c r="B55" s="456" t="n">
        <v>2</v>
      </c>
      <c r="C55" s="456" t="n">
        <v>1</v>
      </c>
      <c r="D55" s="348">
        <f>IF($B55=0,'E1 Fleet'!$D$93,1)*EXP(-'E1 Fleet'!$D$94*MAX($B55-6,0))</f>
        <v/>
      </c>
      <c r="E55" s="350">
        <f>IFERROR(INDEX('D Fleet'!$D$5:$D$63,MATCH(E$3-$B55,'D Fleet'!$B$5:$B$63,0)),0)*IFERROR(INDEX('D Fleet'!$K$5:$K$36,INT(($B55/E$5))+1)+(($B55/E$5)-INT(($B55/E$5)))*(INDEX('D Fleet'!$K$5:$K$36,INT(($B55/E$5))+2)-INDEX('D Fleet'!$K$5:$K$36,INT(($B55/E$5))+1)),0)</f>
        <v/>
      </c>
      <c r="F55" s="350">
        <f>IFERROR(INDEX('D Fleet'!$D$5:$D$63,MATCH(F$3-$B55,'D Fleet'!$B$5:$B$63,0)),0)*IFERROR(INDEX('D Fleet'!$K$5:$K$36,INT(($B55/F$5))+1)+(($B55/F$5)-INT(($B55/F$5)))*(INDEX('D Fleet'!$K$5:$K$36,INT(($B55/F$5))+2)-INDEX('D Fleet'!$K$5:$K$36,INT(($B55/F$5))+1)),0)</f>
        <v/>
      </c>
      <c r="G55" s="350">
        <f>IFERROR(INDEX('D Fleet'!$D$5:$D$63,MATCH(G$3-$B55,'D Fleet'!$B$5:$B$63,0)),0)*IFERROR(INDEX('D Fleet'!$K$5:$K$36,INT(($B55/G$5))+1)+(($B55/G$5)-INT(($B55/G$5)))*(INDEX('D Fleet'!$K$5:$K$36,INT(($B55/G$5))+2)-INDEX('D Fleet'!$K$5:$K$36,INT(($B55/G$5))+1)),0)</f>
        <v/>
      </c>
      <c r="H55" s="350">
        <f>IFERROR(INDEX('D Fleet'!$D$5:$D$63,MATCH(H$3-$B55,'D Fleet'!$B$5:$B$63,0)),0)*IFERROR(INDEX('D Fleet'!$K$5:$K$36,INT(($B55/H$5))+1)+(($B55/H$5)-INT(($B55/H$5)))*(INDEX('D Fleet'!$K$5:$K$36,INT(($B55/H$5))+2)-INDEX('D Fleet'!$K$5:$K$36,INT(($B55/H$5))+1)),0)</f>
        <v/>
      </c>
      <c r="I55" s="350">
        <f>IFERROR(INDEX('D Fleet'!$D$5:$D$63,MATCH(I$3-$B55,'D Fleet'!$B$5:$B$63,0)),0)*IFERROR(INDEX('D Fleet'!$K$5:$K$36,INT(($B55/I$5))+1)+(($B55/I$5)-INT(($B55/I$5)))*(INDEX('D Fleet'!$K$5:$K$36,INT(($B55/I$5))+2)-INDEX('D Fleet'!$K$5:$K$36,INT(($B55/I$5))+1)),0)</f>
        <v/>
      </c>
      <c r="J55" s="350">
        <f>IFERROR(INDEX('D Fleet'!$D$5:$D$63,MATCH(J$3-$B55,'D Fleet'!$B$5:$B$63,0)),0)*IFERROR(INDEX('D Fleet'!$K$5:$K$36,INT(($B55/J$5))+1)+(($B55/J$5)-INT(($B55/J$5)))*(INDEX('D Fleet'!$K$5:$K$36,INT(($B55/J$5))+2)-INDEX('D Fleet'!$K$5:$K$36,INT(($B55/J$5))+1)),0)</f>
        <v/>
      </c>
      <c r="K55" s="350">
        <f>IFERROR(INDEX('D Fleet'!$D$5:$D$63,MATCH(K$3-$B55,'D Fleet'!$B$5:$B$63,0)),0)*IFERROR(INDEX('D Fleet'!$K$5:$K$36,INT(($B55/K$5))+1)+(($B55/K$5)-INT(($B55/K$5)))*(INDEX('D Fleet'!$K$5:$K$36,INT(($B55/K$5))+2)-INDEX('D Fleet'!$K$5:$K$36,INT(($B55/K$5))+1)),0)</f>
        <v/>
      </c>
      <c r="L55" s="350">
        <f>IFERROR(INDEX('D Fleet'!$D$5:$D$63,MATCH(L$3-$B55,'D Fleet'!$B$5:$B$63,0)),0)*IFERROR(INDEX('D Fleet'!$K$5:$K$36,INT(($B55/L$5))+1)+(($B55/L$5)-INT(($B55/L$5)))*(INDEX('D Fleet'!$K$5:$K$36,INT(($B55/L$5))+2)-INDEX('D Fleet'!$K$5:$K$36,INT(($B55/L$5))+1)),0)</f>
        <v/>
      </c>
      <c r="M55" s="350">
        <f>IFERROR(INDEX('D Fleet'!$D$5:$D$63,MATCH(M$3-$B55,'D Fleet'!$B$5:$B$63,0)),0)*IFERROR(INDEX('D Fleet'!$K$5:$K$36,INT(($B55/M$5))+1)+(($B55/M$5)-INT(($B55/M$5)))*(INDEX('D Fleet'!$K$5:$K$36,INT(($B55/M$5))+2)-INDEX('D Fleet'!$K$5:$K$36,INT(($B55/M$5))+1)),0)</f>
        <v/>
      </c>
      <c r="N55" s="350">
        <f>IFERROR(INDEX('D Fleet'!$D$5:$D$63,MATCH(N$3-$B55,'D Fleet'!$B$5:$B$63,0)),0)*IFERROR(INDEX('D Fleet'!$K$5:$K$36,INT(($B55/N$5))+1)+(($B55/N$5)-INT(($B55/N$5)))*(INDEX('D Fleet'!$K$5:$K$36,INT(($B55/N$5))+2)-INDEX('D Fleet'!$K$5:$K$36,INT(($B55/N$5))+1)),0)</f>
        <v/>
      </c>
      <c r="P55" s="350">
        <f>E55*$D55*'E1 Fleet'!$D$98</f>
        <v/>
      </c>
      <c r="Q55" s="350">
        <f>F55*$D55*'E1 Fleet'!$D$98</f>
        <v/>
      </c>
      <c r="R55" s="350">
        <f>G55*$D55*'E1 Fleet'!$D$98</f>
        <v/>
      </c>
      <c r="S55" s="350">
        <f>H55*$D55*'E1 Fleet'!$D$98</f>
        <v/>
      </c>
      <c r="T55" s="350">
        <f>I55*$D55*'E1 Fleet'!$D$98</f>
        <v/>
      </c>
      <c r="U55" s="350">
        <f>J55*$D55*'E1 Fleet'!$D$98</f>
        <v/>
      </c>
      <c r="V55" s="350">
        <f>K55*$D55*'E1 Fleet'!$D$98</f>
        <v/>
      </c>
      <c r="W55" s="350">
        <f>L55*$D55*'E1 Fleet'!$D$98</f>
        <v/>
      </c>
      <c r="X55" s="350">
        <f>M55*$D55*'E1 Fleet'!$D$98</f>
        <v/>
      </c>
      <c r="Y55" s="350">
        <f>N55*$D55*'E1 Fleet'!$D$98</f>
        <v/>
      </c>
    </row>
    <row r="56">
      <c r="A56" t="inlineStr">
        <is>
          <t>SUV</t>
        </is>
      </c>
      <c r="B56" s="456" t="n">
        <v>3</v>
      </c>
      <c r="C56" s="456" t="n">
        <v>1</v>
      </c>
      <c r="D56" s="348">
        <f>IF($B56=0,'E1 Fleet'!$D$93,1)*EXP(-'E1 Fleet'!$D$94*MAX($B56-6,0))</f>
        <v/>
      </c>
      <c r="E56" s="350">
        <f>IFERROR(INDEX('D Fleet'!$D$5:$D$63,MATCH(E$3-$B56,'D Fleet'!$B$5:$B$63,0)),0)*IFERROR(INDEX('D Fleet'!$K$5:$K$36,INT(($B56/E$5))+1)+(($B56/E$5)-INT(($B56/E$5)))*(INDEX('D Fleet'!$K$5:$K$36,INT(($B56/E$5))+2)-INDEX('D Fleet'!$K$5:$K$36,INT(($B56/E$5))+1)),0)</f>
        <v/>
      </c>
      <c r="F56" s="350">
        <f>IFERROR(INDEX('D Fleet'!$D$5:$D$63,MATCH(F$3-$B56,'D Fleet'!$B$5:$B$63,0)),0)*IFERROR(INDEX('D Fleet'!$K$5:$K$36,INT(($B56/F$5))+1)+(($B56/F$5)-INT(($B56/F$5)))*(INDEX('D Fleet'!$K$5:$K$36,INT(($B56/F$5))+2)-INDEX('D Fleet'!$K$5:$K$36,INT(($B56/F$5))+1)),0)</f>
        <v/>
      </c>
      <c r="G56" s="350">
        <f>IFERROR(INDEX('D Fleet'!$D$5:$D$63,MATCH(G$3-$B56,'D Fleet'!$B$5:$B$63,0)),0)*IFERROR(INDEX('D Fleet'!$K$5:$K$36,INT(($B56/G$5))+1)+(($B56/G$5)-INT(($B56/G$5)))*(INDEX('D Fleet'!$K$5:$K$36,INT(($B56/G$5))+2)-INDEX('D Fleet'!$K$5:$K$36,INT(($B56/G$5))+1)),0)</f>
        <v/>
      </c>
      <c r="H56" s="350">
        <f>IFERROR(INDEX('D Fleet'!$D$5:$D$63,MATCH(H$3-$B56,'D Fleet'!$B$5:$B$63,0)),0)*IFERROR(INDEX('D Fleet'!$K$5:$K$36,INT(($B56/H$5))+1)+(($B56/H$5)-INT(($B56/H$5)))*(INDEX('D Fleet'!$K$5:$K$36,INT(($B56/H$5))+2)-INDEX('D Fleet'!$K$5:$K$36,INT(($B56/H$5))+1)),0)</f>
        <v/>
      </c>
      <c r="I56" s="350">
        <f>IFERROR(INDEX('D Fleet'!$D$5:$D$63,MATCH(I$3-$B56,'D Fleet'!$B$5:$B$63,0)),0)*IFERROR(INDEX('D Fleet'!$K$5:$K$36,INT(($B56/I$5))+1)+(($B56/I$5)-INT(($B56/I$5)))*(INDEX('D Fleet'!$K$5:$K$36,INT(($B56/I$5))+2)-INDEX('D Fleet'!$K$5:$K$36,INT(($B56/I$5))+1)),0)</f>
        <v/>
      </c>
      <c r="J56" s="350">
        <f>IFERROR(INDEX('D Fleet'!$D$5:$D$63,MATCH(J$3-$B56,'D Fleet'!$B$5:$B$63,0)),0)*IFERROR(INDEX('D Fleet'!$K$5:$K$36,INT(($B56/J$5))+1)+(($B56/J$5)-INT(($B56/J$5)))*(INDEX('D Fleet'!$K$5:$K$36,INT(($B56/J$5))+2)-INDEX('D Fleet'!$K$5:$K$36,INT(($B56/J$5))+1)),0)</f>
        <v/>
      </c>
      <c r="K56" s="350">
        <f>IFERROR(INDEX('D Fleet'!$D$5:$D$63,MATCH(K$3-$B56,'D Fleet'!$B$5:$B$63,0)),0)*IFERROR(INDEX('D Fleet'!$K$5:$K$36,INT(($B56/K$5))+1)+(($B56/K$5)-INT(($B56/K$5)))*(INDEX('D Fleet'!$K$5:$K$36,INT(($B56/K$5))+2)-INDEX('D Fleet'!$K$5:$K$36,INT(($B56/K$5))+1)),0)</f>
        <v/>
      </c>
      <c r="L56" s="350">
        <f>IFERROR(INDEX('D Fleet'!$D$5:$D$63,MATCH(L$3-$B56,'D Fleet'!$B$5:$B$63,0)),0)*IFERROR(INDEX('D Fleet'!$K$5:$K$36,INT(($B56/L$5))+1)+(($B56/L$5)-INT(($B56/L$5)))*(INDEX('D Fleet'!$K$5:$K$36,INT(($B56/L$5))+2)-INDEX('D Fleet'!$K$5:$K$36,INT(($B56/L$5))+1)),0)</f>
        <v/>
      </c>
      <c r="M56" s="350">
        <f>IFERROR(INDEX('D Fleet'!$D$5:$D$63,MATCH(M$3-$B56,'D Fleet'!$B$5:$B$63,0)),0)*IFERROR(INDEX('D Fleet'!$K$5:$K$36,INT(($B56/M$5))+1)+(($B56/M$5)-INT(($B56/M$5)))*(INDEX('D Fleet'!$K$5:$K$36,INT(($B56/M$5))+2)-INDEX('D Fleet'!$K$5:$K$36,INT(($B56/M$5))+1)),0)</f>
        <v/>
      </c>
      <c r="N56" s="350">
        <f>IFERROR(INDEX('D Fleet'!$D$5:$D$63,MATCH(N$3-$B56,'D Fleet'!$B$5:$B$63,0)),0)*IFERROR(INDEX('D Fleet'!$K$5:$K$36,INT(($B56/N$5))+1)+(($B56/N$5)-INT(($B56/N$5)))*(INDEX('D Fleet'!$K$5:$K$36,INT(($B56/N$5))+2)-INDEX('D Fleet'!$K$5:$K$36,INT(($B56/N$5))+1)),0)</f>
        <v/>
      </c>
      <c r="P56" s="350">
        <f>E56*$D56*'E1 Fleet'!$D$98</f>
        <v/>
      </c>
      <c r="Q56" s="350">
        <f>F56*$D56*'E1 Fleet'!$D$98</f>
        <v/>
      </c>
      <c r="R56" s="350">
        <f>G56*$D56*'E1 Fleet'!$D$98</f>
        <v/>
      </c>
      <c r="S56" s="350">
        <f>H56*$D56*'E1 Fleet'!$D$98</f>
        <v/>
      </c>
      <c r="T56" s="350">
        <f>I56*$D56*'E1 Fleet'!$D$98</f>
        <v/>
      </c>
      <c r="U56" s="350">
        <f>J56*$D56*'E1 Fleet'!$D$98</f>
        <v/>
      </c>
      <c r="V56" s="350">
        <f>K56*$D56*'E1 Fleet'!$D$98</f>
        <v/>
      </c>
      <c r="W56" s="350">
        <f>L56*$D56*'E1 Fleet'!$D$98</f>
        <v/>
      </c>
      <c r="X56" s="350">
        <f>M56*$D56*'E1 Fleet'!$D$98</f>
        <v/>
      </c>
      <c r="Y56" s="350">
        <f>N56*$D56*'E1 Fleet'!$D$98</f>
        <v/>
      </c>
    </row>
    <row r="57">
      <c r="A57" t="inlineStr">
        <is>
          <t>SUV</t>
        </is>
      </c>
      <c r="B57" s="456" t="n">
        <v>4</v>
      </c>
      <c r="C57" s="456" t="n">
        <v>2</v>
      </c>
      <c r="D57" s="348">
        <f>IF($B57=0,'E1 Fleet'!$D$93,1)*EXP(-'E1 Fleet'!$D$94*MAX($B57-6,0))</f>
        <v/>
      </c>
      <c r="E57" s="350">
        <f>IFERROR(INDEX('D Fleet'!$D$5:$D$63,MATCH(E$3-$B57,'D Fleet'!$B$5:$B$63,0)),0)*IFERROR(INDEX('D Fleet'!$K$5:$K$36,INT(($B57/E$5))+1)+(($B57/E$5)-INT(($B57/E$5)))*(INDEX('D Fleet'!$K$5:$K$36,INT(($B57/E$5))+2)-INDEX('D Fleet'!$K$5:$K$36,INT(($B57/E$5))+1)),0)</f>
        <v/>
      </c>
      <c r="F57" s="350">
        <f>IFERROR(INDEX('D Fleet'!$D$5:$D$63,MATCH(F$3-$B57,'D Fleet'!$B$5:$B$63,0)),0)*IFERROR(INDEX('D Fleet'!$K$5:$K$36,INT(($B57/F$5))+1)+(($B57/F$5)-INT(($B57/F$5)))*(INDEX('D Fleet'!$K$5:$K$36,INT(($B57/F$5))+2)-INDEX('D Fleet'!$K$5:$K$36,INT(($B57/F$5))+1)),0)</f>
        <v/>
      </c>
      <c r="G57" s="350">
        <f>IFERROR(INDEX('D Fleet'!$D$5:$D$63,MATCH(G$3-$B57,'D Fleet'!$B$5:$B$63,0)),0)*IFERROR(INDEX('D Fleet'!$K$5:$K$36,INT(($B57/G$5))+1)+(($B57/G$5)-INT(($B57/G$5)))*(INDEX('D Fleet'!$K$5:$K$36,INT(($B57/G$5))+2)-INDEX('D Fleet'!$K$5:$K$36,INT(($B57/G$5))+1)),0)</f>
        <v/>
      </c>
      <c r="H57" s="350">
        <f>IFERROR(INDEX('D Fleet'!$D$5:$D$63,MATCH(H$3-$B57,'D Fleet'!$B$5:$B$63,0)),0)*IFERROR(INDEX('D Fleet'!$K$5:$K$36,INT(($B57/H$5))+1)+(($B57/H$5)-INT(($B57/H$5)))*(INDEX('D Fleet'!$K$5:$K$36,INT(($B57/H$5))+2)-INDEX('D Fleet'!$K$5:$K$36,INT(($B57/H$5))+1)),0)</f>
        <v/>
      </c>
      <c r="I57" s="350">
        <f>IFERROR(INDEX('D Fleet'!$D$5:$D$63,MATCH(I$3-$B57,'D Fleet'!$B$5:$B$63,0)),0)*IFERROR(INDEX('D Fleet'!$K$5:$K$36,INT(($B57/I$5))+1)+(($B57/I$5)-INT(($B57/I$5)))*(INDEX('D Fleet'!$K$5:$K$36,INT(($B57/I$5))+2)-INDEX('D Fleet'!$K$5:$K$36,INT(($B57/I$5))+1)),0)</f>
        <v/>
      </c>
      <c r="J57" s="350">
        <f>IFERROR(INDEX('D Fleet'!$D$5:$D$63,MATCH(J$3-$B57,'D Fleet'!$B$5:$B$63,0)),0)*IFERROR(INDEX('D Fleet'!$K$5:$K$36,INT(($B57/J$5))+1)+(($B57/J$5)-INT(($B57/J$5)))*(INDEX('D Fleet'!$K$5:$K$36,INT(($B57/J$5))+2)-INDEX('D Fleet'!$K$5:$K$36,INT(($B57/J$5))+1)),0)</f>
        <v/>
      </c>
      <c r="K57" s="350">
        <f>IFERROR(INDEX('D Fleet'!$D$5:$D$63,MATCH(K$3-$B57,'D Fleet'!$B$5:$B$63,0)),0)*IFERROR(INDEX('D Fleet'!$K$5:$K$36,INT(($B57/K$5))+1)+(($B57/K$5)-INT(($B57/K$5)))*(INDEX('D Fleet'!$K$5:$K$36,INT(($B57/K$5))+2)-INDEX('D Fleet'!$K$5:$K$36,INT(($B57/K$5))+1)),0)</f>
        <v/>
      </c>
      <c r="L57" s="350">
        <f>IFERROR(INDEX('D Fleet'!$D$5:$D$63,MATCH(L$3-$B57,'D Fleet'!$B$5:$B$63,0)),0)*IFERROR(INDEX('D Fleet'!$K$5:$K$36,INT(($B57/L$5))+1)+(($B57/L$5)-INT(($B57/L$5)))*(INDEX('D Fleet'!$K$5:$K$36,INT(($B57/L$5))+2)-INDEX('D Fleet'!$K$5:$K$36,INT(($B57/L$5))+1)),0)</f>
        <v/>
      </c>
      <c r="M57" s="350">
        <f>IFERROR(INDEX('D Fleet'!$D$5:$D$63,MATCH(M$3-$B57,'D Fleet'!$B$5:$B$63,0)),0)*IFERROR(INDEX('D Fleet'!$K$5:$K$36,INT(($B57/M$5))+1)+(($B57/M$5)-INT(($B57/M$5)))*(INDEX('D Fleet'!$K$5:$K$36,INT(($B57/M$5))+2)-INDEX('D Fleet'!$K$5:$K$36,INT(($B57/M$5))+1)),0)</f>
        <v/>
      </c>
      <c r="N57" s="350">
        <f>IFERROR(INDEX('D Fleet'!$D$5:$D$63,MATCH(N$3-$B57,'D Fleet'!$B$5:$B$63,0)),0)*IFERROR(INDEX('D Fleet'!$K$5:$K$36,INT(($B57/N$5))+1)+(($B57/N$5)-INT(($B57/N$5)))*(INDEX('D Fleet'!$K$5:$K$36,INT(($B57/N$5))+2)-INDEX('D Fleet'!$K$5:$K$36,INT(($B57/N$5))+1)),0)</f>
        <v/>
      </c>
      <c r="P57" s="350">
        <f>E57*$D57*'E1 Fleet'!$D$98</f>
        <v/>
      </c>
      <c r="Q57" s="350">
        <f>F57*$D57*'E1 Fleet'!$D$98</f>
        <v/>
      </c>
      <c r="R57" s="350">
        <f>G57*$D57*'E1 Fleet'!$D$98</f>
        <v/>
      </c>
      <c r="S57" s="350">
        <f>H57*$D57*'E1 Fleet'!$D$98</f>
        <v/>
      </c>
      <c r="T57" s="350">
        <f>I57*$D57*'E1 Fleet'!$D$98</f>
        <v/>
      </c>
      <c r="U57" s="350">
        <f>J57*$D57*'E1 Fleet'!$D$98</f>
        <v/>
      </c>
      <c r="V57" s="350">
        <f>K57*$D57*'E1 Fleet'!$D$98</f>
        <v/>
      </c>
      <c r="W57" s="350">
        <f>L57*$D57*'E1 Fleet'!$D$98</f>
        <v/>
      </c>
      <c r="X57" s="350">
        <f>M57*$D57*'E1 Fleet'!$D$98</f>
        <v/>
      </c>
      <c r="Y57" s="350">
        <f>N57*$D57*'E1 Fleet'!$D$98</f>
        <v/>
      </c>
    </row>
    <row r="58">
      <c r="A58" t="inlineStr">
        <is>
          <t>SUV</t>
        </is>
      </c>
      <c r="B58" s="456" t="n">
        <v>5</v>
      </c>
      <c r="C58" s="456" t="n">
        <v>2</v>
      </c>
      <c r="D58" s="348">
        <f>IF($B58=0,'E1 Fleet'!$D$93,1)*EXP(-'E1 Fleet'!$D$94*MAX($B58-6,0))</f>
        <v/>
      </c>
      <c r="E58" s="350">
        <f>IFERROR(INDEX('D Fleet'!$D$5:$D$63,MATCH(E$3-$B58,'D Fleet'!$B$5:$B$63,0)),0)*IFERROR(INDEX('D Fleet'!$K$5:$K$36,INT(($B58/E$5))+1)+(($B58/E$5)-INT(($B58/E$5)))*(INDEX('D Fleet'!$K$5:$K$36,INT(($B58/E$5))+2)-INDEX('D Fleet'!$K$5:$K$36,INT(($B58/E$5))+1)),0)</f>
        <v/>
      </c>
      <c r="F58" s="350">
        <f>IFERROR(INDEX('D Fleet'!$D$5:$D$63,MATCH(F$3-$B58,'D Fleet'!$B$5:$B$63,0)),0)*IFERROR(INDEX('D Fleet'!$K$5:$K$36,INT(($B58/F$5))+1)+(($B58/F$5)-INT(($B58/F$5)))*(INDEX('D Fleet'!$K$5:$K$36,INT(($B58/F$5))+2)-INDEX('D Fleet'!$K$5:$K$36,INT(($B58/F$5))+1)),0)</f>
        <v/>
      </c>
      <c r="G58" s="350">
        <f>IFERROR(INDEX('D Fleet'!$D$5:$D$63,MATCH(G$3-$B58,'D Fleet'!$B$5:$B$63,0)),0)*IFERROR(INDEX('D Fleet'!$K$5:$K$36,INT(($B58/G$5))+1)+(($B58/G$5)-INT(($B58/G$5)))*(INDEX('D Fleet'!$K$5:$K$36,INT(($B58/G$5))+2)-INDEX('D Fleet'!$K$5:$K$36,INT(($B58/G$5))+1)),0)</f>
        <v/>
      </c>
      <c r="H58" s="350">
        <f>IFERROR(INDEX('D Fleet'!$D$5:$D$63,MATCH(H$3-$B58,'D Fleet'!$B$5:$B$63,0)),0)*IFERROR(INDEX('D Fleet'!$K$5:$K$36,INT(($B58/H$5))+1)+(($B58/H$5)-INT(($B58/H$5)))*(INDEX('D Fleet'!$K$5:$K$36,INT(($B58/H$5))+2)-INDEX('D Fleet'!$K$5:$K$36,INT(($B58/H$5))+1)),0)</f>
        <v/>
      </c>
      <c r="I58" s="350">
        <f>IFERROR(INDEX('D Fleet'!$D$5:$D$63,MATCH(I$3-$B58,'D Fleet'!$B$5:$B$63,0)),0)*IFERROR(INDEX('D Fleet'!$K$5:$K$36,INT(($B58/I$5))+1)+(($B58/I$5)-INT(($B58/I$5)))*(INDEX('D Fleet'!$K$5:$K$36,INT(($B58/I$5))+2)-INDEX('D Fleet'!$K$5:$K$36,INT(($B58/I$5))+1)),0)</f>
        <v/>
      </c>
      <c r="J58" s="350">
        <f>IFERROR(INDEX('D Fleet'!$D$5:$D$63,MATCH(J$3-$B58,'D Fleet'!$B$5:$B$63,0)),0)*IFERROR(INDEX('D Fleet'!$K$5:$K$36,INT(($B58/J$5))+1)+(($B58/J$5)-INT(($B58/J$5)))*(INDEX('D Fleet'!$K$5:$K$36,INT(($B58/J$5))+2)-INDEX('D Fleet'!$K$5:$K$36,INT(($B58/J$5))+1)),0)</f>
        <v/>
      </c>
      <c r="K58" s="350">
        <f>IFERROR(INDEX('D Fleet'!$D$5:$D$63,MATCH(K$3-$B58,'D Fleet'!$B$5:$B$63,0)),0)*IFERROR(INDEX('D Fleet'!$K$5:$K$36,INT(($B58/K$5))+1)+(($B58/K$5)-INT(($B58/K$5)))*(INDEX('D Fleet'!$K$5:$K$36,INT(($B58/K$5))+2)-INDEX('D Fleet'!$K$5:$K$36,INT(($B58/K$5))+1)),0)</f>
        <v/>
      </c>
      <c r="L58" s="350">
        <f>IFERROR(INDEX('D Fleet'!$D$5:$D$63,MATCH(L$3-$B58,'D Fleet'!$B$5:$B$63,0)),0)*IFERROR(INDEX('D Fleet'!$K$5:$K$36,INT(($B58/L$5))+1)+(($B58/L$5)-INT(($B58/L$5)))*(INDEX('D Fleet'!$K$5:$K$36,INT(($B58/L$5))+2)-INDEX('D Fleet'!$K$5:$K$36,INT(($B58/L$5))+1)),0)</f>
        <v/>
      </c>
      <c r="M58" s="350">
        <f>IFERROR(INDEX('D Fleet'!$D$5:$D$63,MATCH(M$3-$B58,'D Fleet'!$B$5:$B$63,0)),0)*IFERROR(INDEX('D Fleet'!$K$5:$K$36,INT(($B58/M$5))+1)+(($B58/M$5)-INT(($B58/M$5)))*(INDEX('D Fleet'!$K$5:$K$36,INT(($B58/M$5))+2)-INDEX('D Fleet'!$K$5:$K$36,INT(($B58/M$5))+1)),0)</f>
        <v/>
      </c>
      <c r="N58" s="350">
        <f>IFERROR(INDEX('D Fleet'!$D$5:$D$63,MATCH(N$3-$B58,'D Fleet'!$B$5:$B$63,0)),0)*IFERROR(INDEX('D Fleet'!$K$5:$K$36,INT(($B58/N$5))+1)+(($B58/N$5)-INT(($B58/N$5)))*(INDEX('D Fleet'!$K$5:$K$36,INT(($B58/N$5))+2)-INDEX('D Fleet'!$K$5:$K$36,INT(($B58/N$5))+1)),0)</f>
        <v/>
      </c>
      <c r="P58" s="350">
        <f>E58*$D58*'E1 Fleet'!$D$98</f>
        <v/>
      </c>
      <c r="Q58" s="350">
        <f>F58*$D58*'E1 Fleet'!$D$98</f>
        <v/>
      </c>
      <c r="R58" s="350">
        <f>G58*$D58*'E1 Fleet'!$D$98</f>
        <v/>
      </c>
      <c r="S58" s="350">
        <f>H58*$D58*'E1 Fleet'!$D$98</f>
        <v/>
      </c>
      <c r="T58" s="350">
        <f>I58*$D58*'E1 Fleet'!$D$98</f>
        <v/>
      </c>
      <c r="U58" s="350">
        <f>J58*$D58*'E1 Fleet'!$D$98</f>
        <v/>
      </c>
      <c r="V58" s="350">
        <f>K58*$D58*'E1 Fleet'!$D$98</f>
        <v/>
      </c>
      <c r="W58" s="350">
        <f>L58*$D58*'E1 Fleet'!$D$98</f>
        <v/>
      </c>
      <c r="X58" s="350">
        <f>M58*$D58*'E1 Fleet'!$D$98</f>
        <v/>
      </c>
      <c r="Y58" s="350">
        <f>N58*$D58*'E1 Fleet'!$D$98</f>
        <v/>
      </c>
    </row>
    <row r="59">
      <c r="A59" t="inlineStr">
        <is>
          <t>SUV</t>
        </is>
      </c>
      <c r="B59" s="456" t="n">
        <v>6</v>
      </c>
      <c r="C59" s="456" t="n">
        <v>2</v>
      </c>
      <c r="D59" s="348">
        <f>IF($B59=0,'E1 Fleet'!$D$93,1)*EXP(-'E1 Fleet'!$D$94*MAX($B59-6,0))</f>
        <v/>
      </c>
      <c r="E59" s="350">
        <f>IFERROR(INDEX('D Fleet'!$D$5:$D$63,MATCH(E$3-$B59,'D Fleet'!$B$5:$B$63,0)),0)*IFERROR(INDEX('D Fleet'!$K$5:$K$36,INT(($B59/E$5))+1)+(($B59/E$5)-INT(($B59/E$5)))*(INDEX('D Fleet'!$K$5:$K$36,INT(($B59/E$5))+2)-INDEX('D Fleet'!$K$5:$K$36,INT(($B59/E$5))+1)),0)</f>
        <v/>
      </c>
      <c r="F59" s="350">
        <f>IFERROR(INDEX('D Fleet'!$D$5:$D$63,MATCH(F$3-$B59,'D Fleet'!$B$5:$B$63,0)),0)*IFERROR(INDEX('D Fleet'!$K$5:$K$36,INT(($B59/F$5))+1)+(($B59/F$5)-INT(($B59/F$5)))*(INDEX('D Fleet'!$K$5:$K$36,INT(($B59/F$5))+2)-INDEX('D Fleet'!$K$5:$K$36,INT(($B59/F$5))+1)),0)</f>
        <v/>
      </c>
      <c r="G59" s="350">
        <f>IFERROR(INDEX('D Fleet'!$D$5:$D$63,MATCH(G$3-$B59,'D Fleet'!$B$5:$B$63,0)),0)*IFERROR(INDEX('D Fleet'!$K$5:$K$36,INT(($B59/G$5))+1)+(($B59/G$5)-INT(($B59/G$5)))*(INDEX('D Fleet'!$K$5:$K$36,INT(($B59/G$5))+2)-INDEX('D Fleet'!$K$5:$K$36,INT(($B59/G$5))+1)),0)</f>
        <v/>
      </c>
      <c r="H59" s="350">
        <f>IFERROR(INDEX('D Fleet'!$D$5:$D$63,MATCH(H$3-$B59,'D Fleet'!$B$5:$B$63,0)),0)*IFERROR(INDEX('D Fleet'!$K$5:$K$36,INT(($B59/H$5))+1)+(($B59/H$5)-INT(($B59/H$5)))*(INDEX('D Fleet'!$K$5:$K$36,INT(($B59/H$5))+2)-INDEX('D Fleet'!$K$5:$K$36,INT(($B59/H$5))+1)),0)</f>
        <v/>
      </c>
      <c r="I59" s="350">
        <f>IFERROR(INDEX('D Fleet'!$D$5:$D$63,MATCH(I$3-$B59,'D Fleet'!$B$5:$B$63,0)),0)*IFERROR(INDEX('D Fleet'!$K$5:$K$36,INT(($B59/I$5))+1)+(($B59/I$5)-INT(($B59/I$5)))*(INDEX('D Fleet'!$K$5:$K$36,INT(($B59/I$5))+2)-INDEX('D Fleet'!$K$5:$K$36,INT(($B59/I$5))+1)),0)</f>
        <v/>
      </c>
      <c r="J59" s="350">
        <f>IFERROR(INDEX('D Fleet'!$D$5:$D$63,MATCH(J$3-$B59,'D Fleet'!$B$5:$B$63,0)),0)*IFERROR(INDEX('D Fleet'!$K$5:$K$36,INT(($B59/J$5))+1)+(($B59/J$5)-INT(($B59/J$5)))*(INDEX('D Fleet'!$K$5:$K$36,INT(($B59/J$5))+2)-INDEX('D Fleet'!$K$5:$K$36,INT(($B59/J$5))+1)),0)</f>
        <v/>
      </c>
      <c r="K59" s="350">
        <f>IFERROR(INDEX('D Fleet'!$D$5:$D$63,MATCH(K$3-$B59,'D Fleet'!$B$5:$B$63,0)),0)*IFERROR(INDEX('D Fleet'!$K$5:$K$36,INT(($B59/K$5))+1)+(($B59/K$5)-INT(($B59/K$5)))*(INDEX('D Fleet'!$K$5:$K$36,INT(($B59/K$5))+2)-INDEX('D Fleet'!$K$5:$K$36,INT(($B59/K$5))+1)),0)</f>
        <v/>
      </c>
      <c r="L59" s="350">
        <f>IFERROR(INDEX('D Fleet'!$D$5:$D$63,MATCH(L$3-$B59,'D Fleet'!$B$5:$B$63,0)),0)*IFERROR(INDEX('D Fleet'!$K$5:$K$36,INT(($B59/L$5))+1)+(($B59/L$5)-INT(($B59/L$5)))*(INDEX('D Fleet'!$K$5:$K$36,INT(($B59/L$5))+2)-INDEX('D Fleet'!$K$5:$K$36,INT(($B59/L$5))+1)),0)</f>
        <v/>
      </c>
      <c r="M59" s="350">
        <f>IFERROR(INDEX('D Fleet'!$D$5:$D$63,MATCH(M$3-$B59,'D Fleet'!$B$5:$B$63,0)),0)*IFERROR(INDEX('D Fleet'!$K$5:$K$36,INT(($B59/M$5))+1)+(($B59/M$5)-INT(($B59/M$5)))*(INDEX('D Fleet'!$K$5:$K$36,INT(($B59/M$5))+2)-INDEX('D Fleet'!$K$5:$K$36,INT(($B59/M$5))+1)),0)</f>
        <v/>
      </c>
      <c r="N59" s="350">
        <f>IFERROR(INDEX('D Fleet'!$D$5:$D$63,MATCH(N$3-$B59,'D Fleet'!$B$5:$B$63,0)),0)*IFERROR(INDEX('D Fleet'!$K$5:$K$36,INT(($B59/N$5))+1)+(($B59/N$5)-INT(($B59/N$5)))*(INDEX('D Fleet'!$K$5:$K$36,INT(($B59/N$5))+2)-INDEX('D Fleet'!$K$5:$K$36,INT(($B59/N$5))+1)),0)</f>
        <v/>
      </c>
      <c r="P59" s="350">
        <f>E59*$D59*'E1 Fleet'!$D$98</f>
        <v/>
      </c>
      <c r="Q59" s="350">
        <f>F59*$D59*'E1 Fleet'!$D$98</f>
        <v/>
      </c>
      <c r="R59" s="350">
        <f>G59*$D59*'E1 Fleet'!$D$98</f>
        <v/>
      </c>
      <c r="S59" s="350">
        <f>H59*$D59*'E1 Fleet'!$D$98</f>
        <v/>
      </c>
      <c r="T59" s="350">
        <f>I59*$D59*'E1 Fleet'!$D$98</f>
        <v/>
      </c>
      <c r="U59" s="350">
        <f>J59*$D59*'E1 Fleet'!$D$98</f>
        <v/>
      </c>
      <c r="V59" s="350">
        <f>K59*$D59*'E1 Fleet'!$D$98</f>
        <v/>
      </c>
      <c r="W59" s="350">
        <f>L59*$D59*'E1 Fleet'!$D$98</f>
        <v/>
      </c>
      <c r="X59" s="350">
        <f>M59*$D59*'E1 Fleet'!$D$98</f>
        <v/>
      </c>
      <c r="Y59" s="350">
        <f>N59*$D59*'E1 Fleet'!$D$98</f>
        <v/>
      </c>
    </row>
    <row r="60">
      <c r="A60" t="inlineStr">
        <is>
          <t>SUV</t>
        </is>
      </c>
      <c r="B60" s="456" t="n">
        <v>7</v>
      </c>
      <c r="C60" s="456" t="n">
        <v>3</v>
      </c>
      <c r="D60" s="348">
        <f>IF($B60=0,'E1 Fleet'!$D$93,1)*EXP(-'E1 Fleet'!$D$94*MAX($B60-6,0))</f>
        <v/>
      </c>
      <c r="E60" s="350">
        <f>IFERROR(INDEX('D Fleet'!$D$5:$D$63,MATCH(E$3-$B60,'D Fleet'!$B$5:$B$63,0)),0)*IFERROR(INDEX('D Fleet'!$K$5:$K$36,INT(($B60/E$5))+1)+(($B60/E$5)-INT(($B60/E$5)))*(INDEX('D Fleet'!$K$5:$K$36,INT(($B60/E$5))+2)-INDEX('D Fleet'!$K$5:$K$36,INT(($B60/E$5))+1)),0)</f>
        <v/>
      </c>
      <c r="F60" s="350">
        <f>IFERROR(INDEX('D Fleet'!$D$5:$D$63,MATCH(F$3-$B60,'D Fleet'!$B$5:$B$63,0)),0)*IFERROR(INDEX('D Fleet'!$K$5:$K$36,INT(($B60/F$5))+1)+(($B60/F$5)-INT(($B60/F$5)))*(INDEX('D Fleet'!$K$5:$K$36,INT(($B60/F$5))+2)-INDEX('D Fleet'!$K$5:$K$36,INT(($B60/F$5))+1)),0)</f>
        <v/>
      </c>
      <c r="G60" s="350">
        <f>IFERROR(INDEX('D Fleet'!$D$5:$D$63,MATCH(G$3-$B60,'D Fleet'!$B$5:$B$63,0)),0)*IFERROR(INDEX('D Fleet'!$K$5:$K$36,INT(($B60/G$5))+1)+(($B60/G$5)-INT(($B60/G$5)))*(INDEX('D Fleet'!$K$5:$K$36,INT(($B60/G$5))+2)-INDEX('D Fleet'!$K$5:$K$36,INT(($B60/G$5))+1)),0)</f>
        <v/>
      </c>
      <c r="H60" s="350">
        <f>IFERROR(INDEX('D Fleet'!$D$5:$D$63,MATCH(H$3-$B60,'D Fleet'!$B$5:$B$63,0)),0)*IFERROR(INDEX('D Fleet'!$K$5:$K$36,INT(($B60/H$5))+1)+(($B60/H$5)-INT(($B60/H$5)))*(INDEX('D Fleet'!$K$5:$K$36,INT(($B60/H$5))+2)-INDEX('D Fleet'!$K$5:$K$36,INT(($B60/H$5))+1)),0)</f>
        <v/>
      </c>
      <c r="I60" s="350">
        <f>IFERROR(INDEX('D Fleet'!$D$5:$D$63,MATCH(I$3-$B60,'D Fleet'!$B$5:$B$63,0)),0)*IFERROR(INDEX('D Fleet'!$K$5:$K$36,INT(($B60/I$5))+1)+(($B60/I$5)-INT(($B60/I$5)))*(INDEX('D Fleet'!$K$5:$K$36,INT(($B60/I$5))+2)-INDEX('D Fleet'!$K$5:$K$36,INT(($B60/I$5))+1)),0)</f>
        <v/>
      </c>
      <c r="J60" s="350">
        <f>IFERROR(INDEX('D Fleet'!$D$5:$D$63,MATCH(J$3-$B60,'D Fleet'!$B$5:$B$63,0)),0)*IFERROR(INDEX('D Fleet'!$K$5:$K$36,INT(($B60/J$5))+1)+(($B60/J$5)-INT(($B60/J$5)))*(INDEX('D Fleet'!$K$5:$K$36,INT(($B60/J$5))+2)-INDEX('D Fleet'!$K$5:$K$36,INT(($B60/J$5))+1)),0)</f>
        <v/>
      </c>
      <c r="K60" s="350">
        <f>IFERROR(INDEX('D Fleet'!$D$5:$D$63,MATCH(K$3-$B60,'D Fleet'!$B$5:$B$63,0)),0)*IFERROR(INDEX('D Fleet'!$K$5:$K$36,INT(($B60/K$5))+1)+(($B60/K$5)-INT(($B60/K$5)))*(INDEX('D Fleet'!$K$5:$K$36,INT(($B60/K$5))+2)-INDEX('D Fleet'!$K$5:$K$36,INT(($B60/K$5))+1)),0)</f>
        <v/>
      </c>
      <c r="L60" s="350">
        <f>IFERROR(INDEX('D Fleet'!$D$5:$D$63,MATCH(L$3-$B60,'D Fleet'!$B$5:$B$63,0)),0)*IFERROR(INDEX('D Fleet'!$K$5:$K$36,INT(($B60/L$5))+1)+(($B60/L$5)-INT(($B60/L$5)))*(INDEX('D Fleet'!$K$5:$K$36,INT(($B60/L$5))+2)-INDEX('D Fleet'!$K$5:$K$36,INT(($B60/L$5))+1)),0)</f>
        <v/>
      </c>
      <c r="M60" s="350">
        <f>IFERROR(INDEX('D Fleet'!$D$5:$D$63,MATCH(M$3-$B60,'D Fleet'!$B$5:$B$63,0)),0)*IFERROR(INDEX('D Fleet'!$K$5:$K$36,INT(($B60/M$5))+1)+(($B60/M$5)-INT(($B60/M$5)))*(INDEX('D Fleet'!$K$5:$K$36,INT(($B60/M$5))+2)-INDEX('D Fleet'!$K$5:$K$36,INT(($B60/M$5))+1)),0)</f>
        <v/>
      </c>
      <c r="N60" s="350">
        <f>IFERROR(INDEX('D Fleet'!$D$5:$D$63,MATCH(N$3-$B60,'D Fleet'!$B$5:$B$63,0)),0)*IFERROR(INDEX('D Fleet'!$K$5:$K$36,INT(($B60/N$5))+1)+(($B60/N$5)-INT(($B60/N$5)))*(INDEX('D Fleet'!$K$5:$K$36,INT(($B60/N$5))+2)-INDEX('D Fleet'!$K$5:$K$36,INT(($B60/N$5))+1)),0)</f>
        <v/>
      </c>
      <c r="P60" s="350">
        <f>E60*$D60*'E1 Fleet'!$D$98</f>
        <v/>
      </c>
      <c r="Q60" s="350">
        <f>F60*$D60*'E1 Fleet'!$D$98</f>
        <v/>
      </c>
      <c r="R60" s="350">
        <f>G60*$D60*'E1 Fleet'!$D$98</f>
        <v/>
      </c>
      <c r="S60" s="350">
        <f>H60*$D60*'E1 Fleet'!$D$98</f>
        <v/>
      </c>
      <c r="T60" s="350">
        <f>I60*$D60*'E1 Fleet'!$D$98</f>
        <v/>
      </c>
      <c r="U60" s="350">
        <f>J60*$D60*'E1 Fleet'!$D$98</f>
        <v/>
      </c>
      <c r="V60" s="350">
        <f>K60*$D60*'E1 Fleet'!$D$98</f>
        <v/>
      </c>
      <c r="W60" s="350">
        <f>L60*$D60*'E1 Fleet'!$D$98</f>
        <v/>
      </c>
      <c r="X60" s="350">
        <f>M60*$D60*'E1 Fleet'!$D$98</f>
        <v/>
      </c>
      <c r="Y60" s="350">
        <f>N60*$D60*'E1 Fleet'!$D$98</f>
        <v/>
      </c>
    </row>
    <row r="61">
      <c r="A61" t="inlineStr">
        <is>
          <t>SUV</t>
        </is>
      </c>
      <c r="B61" s="456" t="n">
        <v>8</v>
      </c>
      <c r="C61" s="456" t="n">
        <v>3</v>
      </c>
      <c r="D61" s="348">
        <f>IF($B61=0,'E1 Fleet'!$D$93,1)*EXP(-'E1 Fleet'!$D$94*MAX($B61-6,0))</f>
        <v/>
      </c>
      <c r="E61" s="350">
        <f>IFERROR(INDEX('D Fleet'!$D$5:$D$63,MATCH(E$3-$B61,'D Fleet'!$B$5:$B$63,0)),0)*IFERROR(INDEX('D Fleet'!$K$5:$K$36,INT(($B61/E$5))+1)+(($B61/E$5)-INT(($B61/E$5)))*(INDEX('D Fleet'!$K$5:$K$36,INT(($B61/E$5))+2)-INDEX('D Fleet'!$K$5:$K$36,INT(($B61/E$5))+1)),0)</f>
        <v/>
      </c>
      <c r="F61" s="350">
        <f>IFERROR(INDEX('D Fleet'!$D$5:$D$63,MATCH(F$3-$B61,'D Fleet'!$B$5:$B$63,0)),0)*IFERROR(INDEX('D Fleet'!$K$5:$K$36,INT(($B61/F$5))+1)+(($B61/F$5)-INT(($B61/F$5)))*(INDEX('D Fleet'!$K$5:$K$36,INT(($B61/F$5))+2)-INDEX('D Fleet'!$K$5:$K$36,INT(($B61/F$5))+1)),0)</f>
        <v/>
      </c>
      <c r="G61" s="350">
        <f>IFERROR(INDEX('D Fleet'!$D$5:$D$63,MATCH(G$3-$B61,'D Fleet'!$B$5:$B$63,0)),0)*IFERROR(INDEX('D Fleet'!$K$5:$K$36,INT(($B61/G$5))+1)+(($B61/G$5)-INT(($B61/G$5)))*(INDEX('D Fleet'!$K$5:$K$36,INT(($B61/G$5))+2)-INDEX('D Fleet'!$K$5:$K$36,INT(($B61/G$5))+1)),0)</f>
        <v/>
      </c>
      <c r="H61" s="350">
        <f>IFERROR(INDEX('D Fleet'!$D$5:$D$63,MATCH(H$3-$B61,'D Fleet'!$B$5:$B$63,0)),0)*IFERROR(INDEX('D Fleet'!$K$5:$K$36,INT(($B61/H$5))+1)+(($B61/H$5)-INT(($B61/H$5)))*(INDEX('D Fleet'!$K$5:$K$36,INT(($B61/H$5))+2)-INDEX('D Fleet'!$K$5:$K$36,INT(($B61/H$5))+1)),0)</f>
        <v/>
      </c>
      <c r="I61" s="350">
        <f>IFERROR(INDEX('D Fleet'!$D$5:$D$63,MATCH(I$3-$B61,'D Fleet'!$B$5:$B$63,0)),0)*IFERROR(INDEX('D Fleet'!$K$5:$K$36,INT(($B61/I$5))+1)+(($B61/I$5)-INT(($B61/I$5)))*(INDEX('D Fleet'!$K$5:$K$36,INT(($B61/I$5))+2)-INDEX('D Fleet'!$K$5:$K$36,INT(($B61/I$5))+1)),0)</f>
        <v/>
      </c>
      <c r="J61" s="350">
        <f>IFERROR(INDEX('D Fleet'!$D$5:$D$63,MATCH(J$3-$B61,'D Fleet'!$B$5:$B$63,0)),0)*IFERROR(INDEX('D Fleet'!$K$5:$K$36,INT(($B61/J$5))+1)+(($B61/J$5)-INT(($B61/J$5)))*(INDEX('D Fleet'!$K$5:$K$36,INT(($B61/J$5))+2)-INDEX('D Fleet'!$K$5:$K$36,INT(($B61/J$5))+1)),0)</f>
        <v/>
      </c>
      <c r="K61" s="350">
        <f>IFERROR(INDEX('D Fleet'!$D$5:$D$63,MATCH(K$3-$B61,'D Fleet'!$B$5:$B$63,0)),0)*IFERROR(INDEX('D Fleet'!$K$5:$K$36,INT(($B61/K$5))+1)+(($B61/K$5)-INT(($B61/K$5)))*(INDEX('D Fleet'!$K$5:$K$36,INT(($B61/K$5))+2)-INDEX('D Fleet'!$K$5:$K$36,INT(($B61/K$5))+1)),0)</f>
        <v/>
      </c>
      <c r="L61" s="350">
        <f>IFERROR(INDEX('D Fleet'!$D$5:$D$63,MATCH(L$3-$B61,'D Fleet'!$B$5:$B$63,0)),0)*IFERROR(INDEX('D Fleet'!$K$5:$K$36,INT(($B61/L$5))+1)+(($B61/L$5)-INT(($B61/L$5)))*(INDEX('D Fleet'!$K$5:$K$36,INT(($B61/L$5))+2)-INDEX('D Fleet'!$K$5:$K$36,INT(($B61/L$5))+1)),0)</f>
        <v/>
      </c>
      <c r="M61" s="350">
        <f>IFERROR(INDEX('D Fleet'!$D$5:$D$63,MATCH(M$3-$B61,'D Fleet'!$B$5:$B$63,0)),0)*IFERROR(INDEX('D Fleet'!$K$5:$K$36,INT(($B61/M$5))+1)+(($B61/M$5)-INT(($B61/M$5)))*(INDEX('D Fleet'!$K$5:$K$36,INT(($B61/M$5))+2)-INDEX('D Fleet'!$K$5:$K$36,INT(($B61/M$5))+1)),0)</f>
        <v/>
      </c>
      <c r="N61" s="350">
        <f>IFERROR(INDEX('D Fleet'!$D$5:$D$63,MATCH(N$3-$B61,'D Fleet'!$B$5:$B$63,0)),0)*IFERROR(INDEX('D Fleet'!$K$5:$K$36,INT(($B61/N$5))+1)+(($B61/N$5)-INT(($B61/N$5)))*(INDEX('D Fleet'!$K$5:$K$36,INT(($B61/N$5))+2)-INDEX('D Fleet'!$K$5:$K$36,INT(($B61/N$5))+1)),0)</f>
        <v/>
      </c>
      <c r="P61" s="350">
        <f>E61*$D61*'E1 Fleet'!$D$98</f>
        <v/>
      </c>
      <c r="Q61" s="350">
        <f>F61*$D61*'E1 Fleet'!$D$98</f>
        <v/>
      </c>
      <c r="R61" s="350">
        <f>G61*$D61*'E1 Fleet'!$D$98</f>
        <v/>
      </c>
      <c r="S61" s="350">
        <f>H61*$D61*'E1 Fleet'!$D$98</f>
        <v/>
      </c>
      <c r="T61" s="350">
        <f>I61*$D61*'E1 Fleet'!$D$98</f>
        <v/>
      </c>
      <c r="U61" s="350">
        <f>J61*$D61*'E1 Fleet'!$D$98</f>
        <v/>
      </c>
      <c r="V61" s="350">
        <f>K61*$D61*'E1 Fleet'!$D$98</f>
        <v/>
      </c>
      <c r="W61" s="350">
        <f>L61*$D61*'E1 Fleet'!$D$98</f>
        <v/>
      </c>
      <c r="X61" s="350">
        <f>M61*$D61*'E1 Fleet'!$D$98</f>
        <v/>
      </c>
      <c r="Y61" s="350">
        <f>N61*$D61*'E1 Fleet'!$D$98</f>
        <v/>
      </c>
    </row>
    <row r="62">
      <c r="A62" t="inlineStr">
        <is>
          <t>SUV</t>
        </is>
      </c>
      <c r="B62" s="456" t="n">
        <v>9</v>
      </c>
      <c r="C62" s="456" t="n">
        <v>3</v>
      </c>
      <c r="D62" s="348">
        <f>IF($B62=0,'E1 Fleet'!$D$93,1)*EXP(-'E1 Fleet'!$D$94*MAX($B62-6,0))</f>
        <v/>
      </c>
      <c r="E62" s="350">
        <f>IFERROR(INDEX('D Fleet'!$D$5:$D$63,MATCH(E$3-$B62,'D Fleet'!$B$5:$B$63,0)),0)*IFERROR(INDEX('D Fleet'!$K$5:$K$36,INT(($B62/E$5))+1)+(($B62/E$5)-INT(($B62/E$5)))*(INDEX('D Fleet'!$K$5:$K$36,INT(($B62/E$5))+2)-INDEX('D Fleet'!$K$5:$K$36,INT(($B62/E$5))+1)),0)</f>
        <v/>
      </c>
      <c r="F62" s="350">
        <f>IFERROR(INDEX('D Fleet'!$D$5:$D$63,MATCH(F$3-$B62,'D Fleet'!$B$5:$B$63,0)),0)*IFERROR(INDEX('D Fleet'!$K$5:$K$36,INT(($B62/F$5))+1)+(($B62/F$5)-INT(($B62/F$5)))*(INDEX('D Fleet'!$K$5:$K$36,INT(($B62/F$5))+2)-INDEX('D Fleet'!$K$5:$K$36,INT(($B62/F$5))+1)),0)</f>
        <v/>
      </c>
      <c r="G62" s="350">
        <f>IFERROR(INDEX('D Fleet'!$D$5:$D$63,MATCH(G$3-$B62,'D Fleet'!$B$5:$B$63,0)),0)*IFERROR(INDEX('D Fleet'!$K$5:$K$36,INT(($B62/G$5))+1)+(($B62/G$5)-INT(($B62/G$5)))*(INDEX('D Fleet'!$K$5:$K$36,INT(($B62/G$5))+2)-INDEX('D Fleet'!$K$5:$K$36,INT(($B62/G$5))+1)),0)</f>
        <v/>
      </c>
      <c r="H62" s="350">
        <f>IFERROR(INDEX('D Fleet'!$D$5:$D$63,MATCH(H$3-$B62,'D Fleet'!$B$5:$B$63,0)),0)*IFERROR(INDEX('D Fleet'!$K$5:$K$36,INT(($B62/H$5))+1)+(($B62/H$5)-INT(($B62/H$5)))*(INDEX('D Fleet'!$K$5:$K$36,INT(($B62/H$5))+2)-INDEX('D Fleet'!$K$5:$K$36,INT(($B62/H$5))+1)),0)</f>
        <v/>
      </c>
      <c r="I62" s="350">
        <f>IFERROR(INDEX('D Fleet'!$D$5:$D$63,MATCH(I$3-$B62,'D Fleet'!$B$5:$B$63,0)),0)*IFERROR(INDEX('D Fleet'!$K$5:$K$36,INT(($B62/I$5))+1)+(($B62/I$5)-INT(($B62/I$5)))*(INDEX('D Fleet'!$K$5:$K$36,INT(($B62/I$5))+2)-INDEX('D Fleet'!$K$5:$K$36,INT(($B62/I$5))+1)),0)</f>
        <v/>
      </c>
      <c r="J62" s="350">
        <f>IFERROR(INDEX('D Fleet'!$D$5:$D$63,MATCH(J$3-$B62,'D Fleet'!$B$5:$B$63,0)),0)*IFERROR(INDEX('D Fleet'!$K$5:$K$36,INT(($B62/J$5))+1)+(($B62/J$5)-INT(($B62/J$5)))*(INDEX('D Fleet'!$K$5:$K$36,INT(($B62/J$5))+2)-INDEX('D Fleet'!$K$5:$K$36,INT(($B62/J$5))+1)),0)</f>
        <v/>
      </c>
      <c r="K62" s="350">
        <f>IFERROR(INDEX('D Fleet'!$D$5:$D$63,MATCH(K$3-$B62,'D Fleet'!$B$5:$B$63,0)),0)*IFERROR(INDEX('D Fleet'!$K$5:$K$36,INT(($B62/K$5))+1)+(($B62/K$5)-INT(($B62/K$5)))*(INDEX('D Fleet'!$K$5:$K$36,INT(($B62/K$5))+2)-INDEX('D Fleet'!$K$5:$K$36,INT(($B62/K$5))+1)),0)</f>
        <v/>
      </c>
      <c r="L62" s="350">
        <f>IFERROR(INDEX('D Fleet'!$D$5:$D$63,MATCH(L$3-$B62,'D Fleet'!$B$5:$B$63,0)),0)*IFERROR(INDEX('D Fleet'!$K$5:$K$36,INT(($B62/L$5))+1)+(($B62/L$5)-INT(($B62/L$5)))*(INDEX('D Fleet'!$K$5:$K$36,INT(($B62/L$5))+2)-INDEX('D Fleet'!$K$5:$K$36,INT(($B62/L$5))+1)),0)</f>
        <v/>
      </c>
      <c r="M62" s="350">
        <f>IFERROR(INDEX('D Fleet'!$D$5:$D$63,MATCH(M$3-$B62,'D Fleet'!$B$5:$B$63,0)),0)*IFERROR(INDEX('D Fleet'!$K$5:$K$36,INT(($B62/M$5))+1)+(($B62/M$5)-INT(($B62/M$5)))*(INDEX('D Fleet'!$K$5:$K$36,INT(($B62/M$5))+2)-INDEX('D Fleet'!$K$5:$K$36,INT(($B62/M$5))+1)),0)</f>
        <v/>
      </c>
      <c r="N62" s="350">
        <f>IFERROR(INDEX('D Fleet'!$D$5:$D$63,MATCH(N$3-$B62,'D Fleet'!$B$5:$B$63,0)),0)*IFERROR(INDEX('D Fleet'!$K$5:$K$36,INT(($B62/N$5))+1)+(($B62/N$5)-INT(($B62/N$5)))*(INDEX('D Fleet'!$K$5:$K$36,INT(($B62/N$5))+2)-INDEX('D Fleet'!$K$5:$K$36,INT(($B62/N$5))+1)),0)</f>
        <v/>
      </c>
      <c r="P62" s="350">
        <f>E62*$D62*'E1 Fleet'!$D$98</f>
        <v/>
      </c>
      <c r="Q62" s="350">
        <f>F62*$D62*'E1 Fleet'!$D$98</f>
        <v/>
      </c>
      <c r="R62" s="350">
        <f>G62*$D62*'E1 Fleet'!$D$98</f>
        <v/>
      </c>
      <c r="S62" s="350">
        <f>H62*$D62*'E1 Fleet'!$D$98</f>
        <v/>
      </c>
      <c r="T62" s="350">
        <f>I62*$D62*'E1 Fleet'!$D$98</f>
        <v/>
      </c>
      <c r="U62" s="350">
        <f>J62*$D62*'E1 Fleet'!$D$98</f>
        <v/>
      </c>
      <c r="V62" s="350">
        <f>K62*$D62*'E1 Fleet'!$D$98</f>
        <v/>
      </c>
      <c r="W62" s="350">
        <f>L62*$D62*'E1 Fleet'!$D$98</f>
        <v/>
      </c>
      <c r="X62" s="350">
        <f>M62*$D62*'E1 Fleet'!$D$98</f>
        <v/>
      </c>
      <c r="Y62" s="350">
        <f>N62*$D62*'E1 Fleet'!$D$98</f>
        <v/>
      </c>
    </row>
    <row r="63">
      <c r="A63" t="inlineStr">
        <is>
          <t>SUV</t>
        </is>
      </c>
      <c r="B63" s="456" t="n">
        <v>10</v>
      </c>
      <c r="C63" s="456" t="n">
        <v>3</v>
      </c>
      <c r="D63" s="348">
        <f>IF($B63=0,'E1 Fleet'!$D$93,1)*EXP(-'E1 Fleet'!$D$94*MAX($B63-6,0))</f>
        <v/>
      </c>
      <c r="E63" s="350">
        <f>IFERROR(INDEX('D Fleet'!$D$5:$D$63,MATCH(E$3-$B63,'D Fleet'!$B$5:$B$63,0)),0)*IFERROR(INDEX('D Fleet'!$K$5:$K$36,INT(($B63/E$5))+1)+(($B63/E$5)-INT(($B63/E$5)))*(INDEX('D Fleet'!$K$5:$K$36,INT(($B63/E$5))+2)-INDEX('D Fleet'!$K$5:$K$36,INT(($B63/E$5))+1)),0)</f>
        <v/>
      </c>
      <c r="F63" s="350">
        <f>IFERROR(INDEX('D Fleet'!$D$5:$D$63,MATCH(F$3-$B63,'D Fleet'!$B$5:$B$63,0)),0)*IFERROR(INDEX('D Fleet'!$K$5:$K$36,INT(($B63/F$5))+1)+(($B63/F$5)-INT(($B63/F$5)))*(INDEX('D Fleet'!$K$5:$K$36,INT(($B63/F$5))+2)-INDEX('D Fleet'!$K$5:$K$36,INT(($B63/F$5))+1)),0)</f>
        <v/>
      </c>
      <c r="G63" s="350">
        <f>IFERROR(INDEX('D Fleet'!$D$5:$D$63,MATCH(G$3-$B63,'D Fleet'!$B$5:$B$63,0)),0)*IFERROR(INDEX('D Fleet'!$K$5:$K$36,INT(($B63/G$5))+1)+(($B63/G$5)-INT(($B63/G$5)))*(INDEX('D Fleet'!$K$5:$K$36,INT(($B63/G$5))+2)-INDEX('D Fleet'!$K$5:$K$36,INT(($B63/G$5))+1)),0)</f>
        <v/>
      </c>
      <c r="H63" s="350">
        <f>IFERROR(INDEX('D Fleet'!$D$5:$D$63,MATCH(H$3-$B63,'D Fleet'!$B$5:$B$63,0)),0)*IFERROR(INDEX('D Fleet'!$K$5:$K$36,INT(($B63/H$5))+1)+(($B63/H$5)-INT(($B63/H$5)))*(INDEX('D Fleet'!$K$5:$K$36,INT(($B63/H$5))+2)-INDEX('D Fleet'!$K$5:$K$36,INT(($B63/H$5))+1)),0)</f>
        <v/>
      </c>
      <c r="I63" s="350">
        <f>IFERROR(INDEX('D Fleet'!$D$5:$D$63,MATCH(I$3-$B63,'D Fleet'!$B$5:$B$63,0)),0)*IFERROR(INDEX('D Fleet'!$K$5:$K$36,INT(($B63/I$5))+1)+(($B63/I$5)-INT(($B63/I$5)))*(INDEX('D Fleet'!$K$5:$K$36,INT(($B63/I$5))+2)-INDEX('D Fleet'!$K$5:$K$36,INT(($B63/I$5))+1)),0)</f>
        <v/>
      </c>
      <c r="J63" s="350">
        <f>IFERROR(INDEX('D Fleet'!$D$5:$D$63,MATCH(J$3-$B63,'D Fleet'!$B$5:$B$63,0)),0)*IFERROR(INDEX('D Fleet'!$K$5:$K$36,INT(($B63/J$5))+1)+(($B63/J$5)-INT(($B63/J$5)))*(INDEX('D Fleet'!$K$5:$K$36,INT(($B63/J$5))+2)-INDEX('D Fleet'!$K$5:$K$36,INT(($B63/J$5))+1)),0)</f>
        <v/>
      </c>
      <c r="K63" s="350">
        <f>IFERROR(INDEX('D Fleet'!$D$5:$D$63,MATCH(K$3-$B63,'D Fleet'!$B$5:$B$63,0)),0)*IFERROR(INDEX('D Fleet'!$K$5:$K$36,INT(($B63/K$5))+1)+(($B63/K$5)-INT(($B63/K$5)))*(INDEX('D Fleet'!$K$5:$K$36,INT(($B63/K$5))+2)-INDEX('D Fleet'!$K$5:$K$36,INT(($B63/K$5))+1)),0)</f>
        <v/>
      </c>
      <c r="L63" s="350">
        <f>IFERROR(INDEX('D Fleet'!$D$5:$D$63,MATCH(L$3-$B63,'D Fleet'!$B$5:$B$63,0)),0)*IFERROR(INDEX('D Fleet'!$K$5:$K$36,INT(($B63/L$5))+1)+(($B63/L$5)-INT(($B63/L$5)))*(INDEX('D Fleet'!$K$5:$K$36,INT(($B63/L$5))+2)-INDEX('D Fleet'!$K$5:$K$36,INT(($B63/L$5))+1)),0)</f>
        <v/>
      </c>
      <c r="M63" s="350">
        <f>IFERROR(INDEX('D Fleet'!$D$5:$D$63,MATCH(M$3-$B63,'D Fleet'!$B$5:$B$63,0)),0)*IFERROR(INDEX('D Fleet'!$K$5:$K$36,INT(($B63/M$5))+1)+(($B63/M$5)-INT(($B63/M$5)))*(INDEX('D Fleet'!$K$5:$K$36,INT(($B63/M$5))+2)-INDEX('D Fleet'!$K$5:$K$36,INT(($B63/M$5))+1)),0)</f>
        <v/>
      </c>
      <c r="N63" s="350">
        <f>IFERROR(INDEX('D Fleet'!$D$5:$D$63,MATCH(N$3-$B63,'D Fleet'!$B$5:$B$63,0)),0)*IFERROR(INDEX('D Fleet'!$K$5:$K$36,INT(($B63/N$5))+1)+(($B63/N$5)-INT(($B63/N$5)))*(INDEX('D Fleet'!$K$5:$K$36,INT(($B63/N$5))+2)-INDEX('D Fleet'!$K$5:$K$36,INT(($B63/N$5))+1)),0)</f>
        <v/>
      </c>
      <c r="P63" s="350">
        <f>E63*$D63*'E1 Fleet'!$D$98</f>
        <v/>
      </c>
      <c r="Q63" s="350">
        <f>F63*$D63*'E1 Fleet'!$D$98</f>
        <v/>
      </c>
      <c r="R63" s="350">
        <f>G63*$D63*'E1 Fleet'!$D$98</f>
        <v/>
      </c>
      <c r="S63" s="350">
        <f>H63*$D63*'E1 Fleet'!$D$98</f>
        <v/>
      </c>
      <c r="T63" s="350">
        <f>I63*$D63*'E1 Fleet'!$D$98</f>
        <v/>
      </c>
      <c r="U63" s="350">
        <f>J63*$D63*'E1 Fleet'!$D$98</f>
        <v/>
      </c>
      <c r="V63" s="350">
        <f>K63*$D63*'E1 Fleet'!$D$98</f>
        <v/>
      </c>
      <c r="W63" s="350">
        <f>L63*$D63*'E1 Fleet'!$D$98</f>
        <v/>
      </c>
      <c r="X63" s="350">
        <f>M63*$D63*'E1 Fleet'!$D$98</f>
        <v/>
      </c>
      <c r="Y63" s="350">
        <f>N63*$D63*'E1 Fleet'!$D$98</f>
        <v/>
      </c>
    </row>
    <row r="64">
      <c r="A64" t="inlineStr">
        <is>
          <t>SUV</t>
        </is>
      </c>
      <c r="B64" s="456" t="n">
        <v>11</v>
      </c>
      <c r="C64" s="456" t="n">
        <v>3</v>
      </c>
      <c r="D64" s="348">
        <f>IF($B64=0,'E1 Fleet'!$D$93,1)*EXP(-'E1 Fleet'!$D$94*MAX($B64-6,0))</f>
        <v/>
      </c>
      <c r="E64" s="350">
        <f>IFERROR(INDEX('D Fleet'!$D$5:$D$63,MATCH(E$3-$B64,'D Fleet'!$B$5:$B$63,0)),0)*IFERROR(INDEX('D Fleet'!$K$5:$K$36,INT(($B64/E$5))+1)+(($B64/E$5)-INT(($B64/E$5)))*(INDEX('D Fleet'!$K$5:$K$36,INT(($B64/E$5))+2)-INDEX('D Fleet'!$K$5:$K$36,INT(($B64/E$5))+1)),0)</f>
        <v/>
      </c>
      <c r="F64" s="350">
        <f>IFERROR(INDEX('D Fleet'!$D$5:$D$63,MATCH(F$3-$B64,'D Fleet'!$B$5:$B$63,0)),0)*IFERROR(INDEX('D Fleet'!$K$5:$K$36,INT(($B64/F$5))+1)+(($B64/F$5)-INT(($B64/F$5)))*(INDEX('D Fleet'!$K$5:$K$36,INT(($B64/F$5))+2)-INDEX('D Fleet'!$K$5:$K$36,INT(($B64/F$5))+1)),0)</f>
        <v/>
      </c>
      <c r="G64" s="350">
        <f>IFERROR(INDEX('D Fleet'!$D$5:$D$63,MATCH(G$3-$B64,'D Fleet'!$B$5:$B$63,0)),0)*IFERROR(INDEX('D Fleet'!$K$5:$K$36,INT(($B64/G$5))+1)+(($B64/G$5)-INT(($B64/G$5)))*(INDEX('D Fleet'!$K$5:$K$36,INT(($B64/G$5))+2)-INDEX('D Fleet'!$K$5:$K$36,INT(($B64/G$5))+1)),0)</f>
        <v/>
      </c>
      <c r="H64" s="350">
        <f>IFERROR(INDEX('D Fleet'!$D$5:$D$63,MATCH(H$3-$B64,'D Fleet'!$B$5:$B$63,0)),0)*IFERROR(INDEX('D Fleet'!$K$5:$K$36,INT(($B64/H$5))+1)+(($B64/H$5)-INT(($B64/H$5)))*(INDEX('D Fleet'!$K$5:$K$36,INT(($B64/H$5))+2)-INDEX('D Fleet'!$K$5:$K$36,INT(($B64/H$5))+1)),0)</f>
        <v/>
      </c>
      <c r="I64" s="350">
        <f>IFERROR(INDEX('D Fleet'!$D$5:$D$63,MATCH(I$3-$B64,'D Fleet'!$B$5:$B$63,0)),0)*IFERROR(INDEX('D Fleet'!$K$5:$K$36,INT(($B64/I$5))+1)+(($B64/I$5)-INT(($B64/I$5)))*(INDEX('D Fleet'!$K$5:$K$36,INT(($B64/I$5))+2)-INDEX('D Fleet'!$K$5:$K$36,INT(($B64/I$5))+1)),0)</f>
        <v/>
      </c>
      <c r="J64" s="350">
        <f>IFERROR(INDEX('D Fleet'!$D$5:$D$63,MATCH(J$3-$B64,'D Fleet'!$B$5:$B$63,0)),0)*IFERROR(INDEX('D Fleet'!$K$5:$K$36,INT(($B64/J$5))+1)+(($B64/J$5)-INT(($B64/J$5)))*(INDEX('D Fleet'!$K$5:$K$36,INT(($B64/J$5))+2)-INDEX('D Fleet'!$K$5:$K$36,INT(($B64/J$5))+1)),0)</f>
        <v/>
      </c>
      <c r="K64" s="350">
        <f>IFERROR(INDEX('D Fleet'!$D$5:$D$63,MATCH(K$3-$B64,'D Fleet'!$B$5:$B$63,0)),0)*IFERROR(INDEX('D Fleet'!$K$5:$K$36,INT(($B64/K$5))+1)+(($B64/K$5)-INT(($B64/K$5)))*(INDEX('D Fleet'!$K$5:$K$36,INT(($B64/K$5))+2)-INDEX('D Fleet'!$K$5:$K$36,INT(($B64/K$5))+1)),0)</f>
        <v/>
      </c>
      <c r="L64" s="350">
        <f>IFERROR(INDEX('D Fleet'!$D$5:$D$63,MATCH(L$3-$B64,'D Fleet'!$B$5:$B$63,0)),0)*IFERROR(INDEX('D Fleet'!$K$5:$K$36,INT(($B64/L$5))+1)+(($B64/L$5)-INT(($B64/L$5)))*(INDEX('D Fleet'!$K$5:$K$36,INT(($B64/L$5))+2)-INDEX('D Fleet'!$K$5:$K$36,INT(($B64/L$5))+1)),0)</f>
        <v/>
      </c>
      <c r="M64" s="350">
        <f>IFERROR(INDEX('D Fleet'!$D$5:$D$63,MATCH(M$3-$B64,'D Fleet'!$B$5:$B$63,0)),0)*IFERROR(INDEX('D Fleet'!$K$5:$K$36,INT(($B64/M$5))+1)+(($B64/M$5)-INT(($B64/M$5)))*(INDEX('D Fleet'!$K$5:$K$36,INT(($B64/M$5))+2)-INDEX('D Fleet'!$K$5:$K$36,INT(($B64/M$5))+1)),0)</f>
        <v/>
      </c>
      <c r="N64" s="350">
        <f>IFERROR(INDEX('D Fleet'!$D$5:$D$63,MATCH(N$3-$B64,'D Fleet'!$B$5:$B$63,0)),0)*IFERROR(INDEX('D Fleet'!$K$5:$K$36,INT(($B64/N$5))+1)+(($B64/N$5)-INT(($B64/N$5)))*(INDEX('D Fleet'!$K$5:$K$36,INT(($B64/N$5))+2)-INDEX('D Fleet'!$K$5:$K$36,INT(($B64/N$5))+1)),0)</f>
        <v/>
      </c>
      <c r="P64" s="350">
        <f>E64*$D64*'E1 Fleet'!$D$98</f>
        <v/>
      </c>
      <c r="Q64" s="350">
        <f>F64*$D64*'E1 Fleet'!$D$98</f>
        <v/>
      </c>
      <c r="R64" s="350">
        <f>G64*$D64*'E1 Fleet'!$D$98</f>
        <v/>
      </c>
      <c r="S64" s="350">
        <f>H64*$D64*'E1 Fleet'!$D$98</f>
        <v/>
      </c>
      <c r="T64" s="350">
        <f>I64*$D64*'E1 Fleet'!$D$98</f>
        <v/>
      </c>
      <c r="U64" s="350">
        <f>J64*$D64*'E1 Fleet'!$D$98</f>
        <v/>
      </c>
      <c r="V64" s="350">
        <f>K64*$D64*'E1 Fleet'!$D$98</f>
        <v/>
      </c>
      <c r="W64" s="350">
        <f>L64*$D64*'E1 Fleet'!$D$98</f>
        <v/>
      </c>
      <c r="X64" s="350">
        <f>M64*$D64*'E1 Fleet'!$D$98</f>
        <v/>
      </c>
      <c r="Y64" s="350">
        <f>N64*$D64*'E1 Fleet'!$D$98</f>
        <v/>
      </c>
    </row>
    <row r="65">
      <c r="A65" t="inlineStr">
        <is>
          <t>SUV</t>
        </is>
      </c>
      <c r="B65" s="456" t="n">
        <v>12</v>
      </c>
      <c r="C65" s="456" t="n">
        <v>3</v>
      </c>
      <c r="D65" s="348">
        <f>IF($B65=0,'E1 Fleet'!$D$93,1)*EXP(-'E1 Fleet'!$D$94*MAX($B65-6,0))</f>
        <v/>
      </c>
      <c r="E65" s="350">
        <f>IFERROR(INDEX('D Fleet'!$D$5:$D$63,MATCH(E$3-$B65,'D Fleet'!$B$5:$B$63,0)),0)*IFERROR(INDEX('D Fleet'!$K$5:$K$36,INT(($B65/E$5))+1)+(($B65/E$5)-INT(($B65/E$5)))*(INDEX('D Fleet'!$K$5:$K$36,INT(($B65/E$5))+2)-INDEX('D Fleet'!$K$5:$K$36,INT(($B65/E$5))+1)),0)</f>
        <v/>
      </c>
      <c r="F65" s="350">
        <f>IFERROR(INDEX('D Fleet'!$D$5:$D$63,MATCH(F$3-$B65,'D Fleet'!$B$5:$B$63,0)),0)*IFERROR(INDEX('D Fleet'!$K$5:$K$36,INT(($B65/F$5))+1)+(($B65/F$5)-INT(($B65/F$5)))*(INDEX('D Fleet'!$K$5:$K$36,INT(($B65/F$5))+2)-INDEX('D Fleet'!$K$5:$K$36,INT(($B65/F$5))+1)),0)</f>
        <v/>
      </c>
      <c r="G65" s="350">
        <f>IFERROR(INDEX('D Fleet'!$D$5:$D$63,MATCH(G$3-$B65,'D Fleet'!$B$5:$B$63,0)),0)*IFERROR(INDEX('D Fleet'!$K$5:$K$36,INT(($B65/G$5))+1)+(($B65/G$5)-INT(($B65/G$5)))*(INDEX('D Fleet'!$K$5:$K$36,INT(($B65/G$5))+2)-INDEX('D Fleet'!$K$5:$K$36,INT(($B65/G$5))+1)),0)</f>
        <v/>
      </c>
      <c r="H65" s="350">
        <f>IFERROR(INDEX('D Fleet'!$D$5:$D$63,MATCH(H$3-$B65,'D Fleet'!$B$5:$B$63,0)),0)*IFERROR(INDEX('D Fleet'!$K$5:$K$36,INT(($B65/H$5))+1)+(($B65/H$5)-INT(($B65/H$5)))*(INDEX('D Fleet'!$K$5:$K$36,INT(($B65/H$5))+2)-INDEX('D Fleet'!$K$5:$K$36,INT(($B65/H$5))+1)),0)</f>
        <v/>
      </c>
      <c r="I65" s="350">
        <f>IFERROR(INDEX('D Fleet'!$D$5:$D$63,MATCH(I$3-$B65,'D Fleet'!$B$5:$B$63,0)),0)*IFERROR(INDEX('D Fleet'!$K$5:$K$36,INT(($B65/I$5))+1)+(($B65/I$5)-INT(($B65/I$5)))*(INDEX('D Fleet'!$K$5:$K$36,INT(($B65/I$5))+2)-INDEX('D Fleet'!$K$5:$K$36,INT(($B65/I$5))+1)),0)</f>
        <v/>
      </c>
      <c r="J65" s="350">
        <f>IFERROR(INDEX('D Fleet'!$D$5:$D$63,MATCH(J$3-$B65,'D Fleet'!$B$5:$B$63,0)),0)*IFERROR(INDEX('D Fleet'!$K$5:$K$36,INT(($B65/J$5))+1)+(($B65/J$5)-INT(($B65/J$5)))*(INDEX('D Fleet'!$K$5:$K$36,INT(($B65/J$5))+2)-INDEX('D Fleet'!$K$5:$K$36,INT(($B65/J$5))+1)),0)</f>
        <v/>
      </c>
      <c r="K65" s="350">
        <f>IFERROR(INDEX('D Fleet'!$D$5:$D$63,MATCH(K$3-$B65,'D Fleet'!$B$5:$B$63,0)),0)*IFERROR(INDEX('D Fleet'!$K$5:$K$36,INT(($B65/K$5))+1)+(($B65/K$5)-INT(($B65/K$5)))*(INDEX('D Fleet'!$K$5:$K$36,INT(($B65/K$5))+2)-INDEX('D Fleet'!$K$5:$K$36,INT(($B65/K$5))+1)),0)</f>
        <v/>
      </c>
      <c r="L65" s="350">
        <f>IFERROR(INDEX('D Fleet'!$D$5:$D$63,MATCH(L$3-$B65,'D Fleet'!$B$5:$B$63,0)),0)*IFERROR(INDEX('D Fleet'!$K$5:$K$36,INT(($B65/L$5))+1)+(($B65/L$5)-INT(($B65/L$5)))*(INDEX('D Fleet'!$K$5:$K$36,INT(($B65/L$5))+2)-INDEX('D Fleet'!$K$5:$K$36,INT(($B65/L$5))+1)),0)</f>
        <v/>
      </c>
      <c r="M65" s="350">
        <f>IFERROR(INDEX('D Fleet'!$D$5:$D$63,MATCH(M$3-$B65,'D Fleet'!$B$5:$B$63,0)),0)*IFERROR(INDEX('D Fleet'!$K$5:$K$36,INT(($B65/M$5))+1)+(($B65/M$5)-INT(($B65/M$5)))*(INDEX('D Fleet'!$K$5:$K$36,INT(($B65/M$5))+2)-INDEX('D Fleet'!$K$5:$K$36,INT(($B65/M$5))+1)),0)</f>
        <v/>
      </c>
      <c r="N65" s="350">
        <f>IFERROR(INDEX('D Fleet'!$D$5:$D$63,MATCH(N$3-$B65,'D Fleet'!$B$5:$B$63,0)),0)*IFERROR(INDEX('D Fleet'!$K$5:$K$36,INT(($B65/N$5))+1)+(($B65/N$5)-INT(($B65/N$5)))*(INDEX('D Fleet'!$K$5:$K$36,INT(($B65/N$5))+2)-INDEX('D Fleet'!$K$5:$K$36,INT(($B65/N$5))+1)),0)</f>
        <v/>
      </c>
      <c r="P65" s="350">
        <f>E65*$D65*'E1 Fleet'!$D$98</f>
        <v/>
      </c>
      <c r="Q65" s="350">
        <f>F65*$D65*'E1 Fleet'!$D$98</f>
        <v/>
      </c>
      <c r="R65" s="350">
        <f>G65*$D65*'E1 Fleet'!$D$98</f>
        <v/>
      </c>
      <c r="S65" s="350">
        <f>H65*$D65*'E1 Fleet'!$D$98</f>
        <v/>
      </c>
      <c r="T65" s="350">
        <f>I65*$D65*'E1 Fleet'!$D$98</f>
        <v/>
      </c>
      <c r="U65" s="350">
        <f>J65*$D65*'E1 Fleet'!$D$98</f>
        <v/>
      </c>
      <c r="V65" s="350">
        <f>K65*$D65*'E1 Fleet'!$D$98</f>
        <v/>
      </c>
      <c r="W65" s="350">
        <f>L65*$D65*'E1 Fleet'!$D$98</f>
        <v/>
      </c>
      <c r="X65" s="350">
        <f>M65*$D65*'E1 Fleet'!$D$98</f>
        <v/>
      </c>
      <c r="Y65" s="350">
        <f>N65*$D65*'E1 Fleet'!$D$98</f>
        <v/>
      </c>
    </row>
    <row r="66">
      <c r="A66" t="inlineStr">
        <is>
          <t>SUV</t>
        </is>
      </c>
      <c r="B66" s="456" t="n">
        <v>13</v>
      </c>
      <c r="C66" s="456" t="n">
        <v>3</v>
      </c>
      <c r="D66" s="348">
        <f>IF($B66=0,'E1 Fleet'!$D$93,1)*EXP(-'E1 Fleet'!$D$94*MAX($B66-6,0))</f>
        <v/>
      </c>
      <c r="E66" s="350">
        <f>IFERROR(INDEX('D Fleet'!$D$5:$D$63,MATCH(E$3-$B66,'D Fleet'!$B$5:$B$63,0)),0)*IFERROR(INDEX('D Fleet'!$K$5:$K$36,INT(($B66/E$5))+1)+(($B66/E$5)-INT(($B66/E$5)))*(INDEX('D Fleet'!$K$5:$K$36,INT(($B66/E$5))+2)-INDEX('D Fleet'!$K$5:$K$36,INT(($B66/E$5))+1)),0)</f>
        <v/>
      </c>
      <c r="F66" s="350">
        <f>IFERROR(INDEX('D Fleet'!$D$5:$D$63,MATCH(F$3-$B66,'D Fleet'!$B$5:$B$63,0)),0)*IFERROR(INDEX('D Fleet'!$K$5:$K$36,INT(($B66/F$5))+1)+(($B66/F$5)-INT(($B66/F$5)))*(INDEX('D Fleet'!$K$5:$K$36,INT(($B66/F$5))+2)-INDEX('D Fleet'!$K$5:$K$36,INT(($B66/F$5))+1)),0)</f>
        <v/>
      </c>
      <c r="G66" s="350">
        <f>IFERROR(INDEX('D Fleet'!$D$5:$D$63,MATCH(G$3-$B66,'D Fleet'!$B$5:$B$63,0)),0)*IFERROR(INDEX('D Fleet'!$K$5:$K$36,INT(($B66/G$5))+1)+(($B66/G$5)-INT(($B66/G$5)))*(INDEX('D Fleet'!$K$5:$K$36,INT(($B66/G$5))+2)-INDEX('D Fleet'!$K$5:$K$36,INT(($B66/G$5))+1)),0)</f>
        <v/>
      </c>
      <c r="H66" s="350">
        <f>IFERROR(INDEX('D Fleet'!$D$5:$D$63,MATCH(H$3-$B66,'D Fleet'!$B$5:$B$63,0)),0)*IFERROR(INDEX('D Fleet'!$K$5:$K$36,INT(($B66/H$5))+1)+(($B66/H$5)-INT(($B66/H$5)))*(INDEX('D Fleet'!$K$5:$K$36,INT(($B66/H$5))+2)-INDEX('D Fleet'!$K$5:$K$36,INT(($B66/H$5))+1)),0)</f>
        <v/>
      </c>
      <c r="I66" s="350">
        <f>IFERROR(INDEX('D Fleet'!$D$5:$D$63,MATCH(I$3-$B66,'D Fleet'!$B$5:$B$63,0)),0)*IFERROR(INDEX('D Fleet'!$K$5:$K$36,INT(($B66/I$5))+1)+(($B66/I$5)-INT(($B66/I$5)))*(INDEX('D Fleet'!$K$5:$K$36,INT(($B66/I$5))+2)-INDEX('D Fleet'!$K$5:$K$36,INT(($B66/I$5))+1)),0)</f>
        <v/>
      </c>
      <c r="J66" s="350">
        <f>IFERROR(INDEX('D Fleet'!$D$5:$D$63,MATCH(J$3-$B66,'D Fleet'!$B$5:$B$63,0)),0)*IFERROR(INDEX('D Fleet'!$K$5:$K$36,INT(($B66/J$5))+1)+(($B66/J$5)-INT(($B66/J$5)))*(INDEX('D Fleet'!$K$5:$K$36,INT(($B66/J$5))+2)-INDEX('D Fleet'!$K$5:$K$36,INT(($B66/J$5))+1)),0)</f>
        <v/>
      </c>
      <c r="K66" s="350">
        <f>IFERROR(INDEX('D Fleet'!$D$5:$D$63,MATCH(K$3-$B66,'D Fleet'!$B$5:$B$63,0)),0)*IFERROR(INDEX('D Fleet'!$K$5:$K$36,INT(($B66/K$5))+1)+(($B66/K$5)-INT(($B66/K$5)))*(INDEX('D Fleet'!$K$5:$K$36,INT(($B66/K$5))+2)-INDEX('D Fleet'!$K$5:$K$36,INT(($B66/K$5))+1)),0)</f>
        <v/>
      </c>
      <c r="L66" s="350">
        <f>IFERROR(INDEX('D Fleet'!$D$5:$D$63,MATCH(L$3-$B66,'D Fleet'!$B$5:$B$63,0)),0)*IFERROR(INDEX('D Fleet'!$K$5:$K$36,INT(($B66/L$5))+1)+(($B66/L$5)-INT(($B66/L$5)))*(INDEX('D Fleet'!$K$5:$K$36,INT(($B66/L$5))+2)-INDEX('D Fleet'!$K$5:$K$36,INT(($B66/L$5))+1)),0)</f>
        <v/>
      </c>
      <c r="M66" s="350">
        <f>IFERROR(INDEX('D Fleet'!$D$5:$D$63,MATCH(M$3-$B66,'D Fleet'!$B$5:$B$63,0)),0)*IFERROR(INDEX('D Fleet'!$K$5:$K$36,INT(($B66/M$5))+1)+(($B66/M$5)-INT(($B66/M$5)))*(INDEX('D Fleet'!$K$5:$K$36,INT(($B66/M$5))+2)-INDEX('D Fleet'!$K$5:$K$36,INT(($B66/M$5))+1)),0)</f>
        <v/>
      </c>
      <c r="N66" s="350">
        <f>IFERROR(INDEX('D Fleet'!$D$5:$D$63,MATCH(N$3-$B66,'D Fleet'!$B$5:$B$63,0)),0)*IFERROR(INDEX('D Fleet'!$K$5:$K$36,INT(($B66/N$5))+1)+(($B66/N$5)-INT(($B66/N$5)))*(INDEX('D Fleet'!$K$5:$K$36,INT(($B66/N$5))+2)-INDEX('D Fleet'!$K$5:$K$36,INT(($B66/N$5))+1)),0)</f>
        <v/>
      </c>
      <c r="P66" s="350">
        <f>E66*$D66*'E1 Fleet'!$D$98</f>
        <v/>
      </c>
      <c r="Q66" s="350">
        <f>F66*$D66*'E1 Fleet'!$D$98</f>
        <v/>
      </c>
      <c r="R66" s="350">
        <f>G66*$D66*'E1 Fleet'!$D$98</f>
        <v/>
      </c>
      <c r="S66" s="350">
        <f>H66*$D66*'E1 Fleet'!$D$98</f>
        <v/>
      </c>
      <c r="T66" s="350">
        <f>I66*$D66*'E1 Fleet'!$D$98</f>
        <v/>
      </c>
      <c r="U66" s="350">
        <f>J66*$D66*'E1 Fleet'!$D$98</f>
        <v/>
      </c>
      <c r="V66" s="350">
        <f>K66*$D66*'E1 Fleet'!$D$98</f>
        <v/>
      </c>
      <c r="W66" s="350">
        <f>L66*$D66*'E1 Fleet'!$D$98</f>
        <v/>
      </c>
      <c r="X66" s="350">
        <f>M66*$D66*'E1 Fleet'!$D$98</f>
        <v/>
      </c>
      <c r="Y66" s="350">
        <f>N66*$D66*'E1 Fleet'!$D$98</f>
        <v/>
      </c>
    </row>
    <row r="67">
      <c r="A67" t="inlineStr">
        <is>
          <t>SUV</t>
        </is>
      </c>
      <c r="B67" s="456" t="n">
        <v>14</v>
      </c>
      <c r="C67" s="456" t="n">
        <v>3</v>
      </c>
      <c r="D67" s="348">
        <f>IF($B67=0,'E1 Fleet'!$D$93,1)*EXP(-'E1 Fleet'!$D$94*MAX($B67-6,0))</f>
        <v/>
      </c>
      <c r="E67" s="350">
        <f>IFERROR(INDEX('D Fleet'!$D$5:$D$63,MATCH(E$3-$B67,'D Fleet'!$B$5:$B$63,0)),0)*IFERROR(INDEX('D Fleet'!$K$5:$K$36,INT(($B67/E$5))+1)+(($B67/E$5)-INT(($B67/E$5)))*(INDEX('D Fleet'!$K$5:$K$36,INT(($B67/E$5))+2)-INDEX('D Fleet'!$K$5:$K$36,INT(($B67/E$5))+1)),0)</f>
        <v/>
      </c>
      <c r="F67" s="350">
        <f>IFERROR(INDEX('D Fleet'!$D$5:$D$63,MATCH(F$3-$B67,'D Fleet'!$B$5:$B$63,0)),0)*IFERROR(INDEX('D Fleet'!$K$5:$K$36,INT(($B67/F$5))+1)+(($B67/F$5)-INT(($B67/F$5)))*(INDEX('D Fleet'!$K$5:$K$36,INT(($B67/F$5))+2)-INDEX('D Fleet'!$K$5:$K$36,INT(($B67/F$5))+1)),0)</f>
        <v/>
      </c>
      <c r="G67" s="350">
        <f>IFERROR(INDEX('D Fleet'!$D$5:$D$63,MATCH(G$3-$B67,'D Fleet'!$B$5:$B$63,0)),0)*IFERROR(INDEX('D Fleet'!$K$5:$K$36,INT(($B67/G$5))+1)+(($B67/G$5)-INT(($B67/G$5)))*(INDEX('D Fleet'!$K$5:$K$36,INT(($B67/G$5))+2)-INDEX('D Fleet'!$K$5:$K$36,INT(($B67/G$5))+1)),0)</f>
        <v/>
      </c>
      <c r="H67" s="350">
        <f>IFERROR(INDEX('D Fleet'!$D$5:$D$63,MATCH(H$3-$B67,'D Fleet'!$B$5:$B$63,0)),0)*IFERROR(INDEX('D Fleet'!$K$5:$K$36,INT(($B67/H$5))+1)+(($B67/H$5)-INT(($B67/H$5)))*(INDEX('D Fleet'!$K$5:$K$36,INT(($B67/H$5))+2)-INDEX('D Fleet'!$K$5:$K$36,INT(($B67/H$5))+1)),0)</f>
        <v/>
      </c>
      <c r="I67" s="350">
        <f>IFERROR(INDEX('D Fleet'!$D$5:$D$63,MATCH(I$3-$B67,'D Fleet'!$B$5:$B$63,0)),0)*IFERROR(INDEX('D Fleet'!$K$5:$K$36,INT(($B67/I$5))+1)+(($B67/I$5)-INT(($B67/I$5)))*(INDEX('D Fleet'!$K$5:$K$36,INT(($B67/I$5))+2)-INDEX('D Fleet'!$K$5:$K$36,INT(($B67/I$5))+1)),0)</f>
        <v/>
      </c>
      <c r="J67" s="350">
        <f>IFERROR(INDEX('D Fleet'!$D$5:$D$63,MATCH(J$3-$B67,'D Fleet'!$B$5:$B$63,0)),0)*IFERROR(INDEX('D Fleet'!$K$5:$K$36,INT(($B67/J$5))+1)+(($B67/J$5)-INT(($B67/J$5)))*(INDEX('D Fleet'!$K$5:$K$36,INT(($B67/J$5))+2)-INDEX('D Fleet'!$K$5:$K$36,INT(($B67/J$5))+1)),0)</f>
        <v/>
      </c>
      <c r="K67" s="350">
        <f>IFERROR(INDEX('D Fleet'!$D$5:$D$63,MATCH(K$3-$B67,'D Fleet'!$B$5:$B$63,0)),0)*IFERROR(INDEX('D Fleet'!$K$5:$K$36,INT(($B67/K$5))+1)+(($B67/K$5)-INT(($B67/K$5)))*(INDEX('D Fleet'!$K$5:$K$36,INT(($B67/K$5))+2)-INDEX('D Fleet'!$K$5:$K$36,INT(($B67/K$5))+1)),0)</f>
        <v/>
      </c>
      <c r="L67" s="350">
        <f>IFERROR(INDEX('D Fleet'!$D$5:$D$63,MATCH(L$3-$B67,'D Fleet'!$B$5:$B$63,0)),0)*IFERROR(INDEX('D Fleet'!$K$5:$K$36,INT(($B67/L$5))+1)+(($B67/L$5)-INT(($B67/L$5)))*(INDEX('D Fleet'!$K$5:$K$36,INT(($B67/L$5))+2)-INDEX('D Fleet'!$K$5:$K$36,INT(($B67/L$5))+1)),0)</f>
        <v/>
      </c>
      <c r="M67" s="350">
        <f>IFERROR(INDEX('D Fleet'!$D$5:$D$63,MATCH(M$3-$B67,'D Fleet'!$B$5:$B$63,0)),0)*IFERROR(INDEX('D Fleet'!$K$5:$K$36,INT(($B67/M$5))+1)+(($B67/M$5)-INT(($B67/M$5)))*(INDEX('D Fleet'!$K$5:$K$36,INT(($B67/M$5))+2)-INDEX('D Fleet'!$K$5:$K$36,INT(($B67/M$5))+1)),0)</f>
        <v/>
      </c>
      <c r="N67" s="350">
        <f>IFERROR(INDEX('D Fleet'!$D$5:$D$63,MATCH(N$3-$B67,'D Fleet'!$B$5:$B$63,0)),0)*IFERROR(INDEX('D Fleet'!$K$5:$K$36,INT(($B67/N$5))+1)+(($B67/N$5)-INT(($B67/N$5)))*(INDEX('D Fleet'!$K$5:$K$36,INT(($B67/N$5))+2)-INDEX('D Fleet'!$K$5:$K$36,INT(($B67/N$5))+1)),0)</f>
        <v/>
      </c>
      <c r="P67" s="350">
        <f>E67*$D67*'E1 Fleet'!$D$98</f>
        <v/>
      </c>
      <c r="Q67" s="350">
        <f>F67*$D67*'E1 Fleet'!$D$98</f>
        <v/>
      </c>
      <c r="R67" s="350">
        <f>G67*$D67*'E1 Fleet'!$D$98</f>
        <v/>
      </c>
      <c r="S67" s="350">
        <f>H67*$D67*'E1 Fleet'!$D$98</f>
        <v/>
      </c>
      <c r="T67" s="350">
        <f>I67*$D67*'E1 Fleet'!$D$98</f>
        <v/>
      </c>
      <c r="U67" s="350">
        <f>J67*$D67*'E1 Fleet'!$D$98</f>
        <v/>
      </c>
      <c r="V67" s="350">
        <f>K67*$D67*'E1 Fleet'!$D$98</f>
        <v/>
      </c>
      <c r="W67" s="350">
        <f>L67*$D67*'E1 Fleet'!$D$98</f>
        <v/>
      </c>
      <c r="X67" s="350">
        <f>M67*$D67*'E1 Fleet'!$D$98</f>
        <v/>
      </c>
      <c r="Y67" s="350">
        <f>N67*$D67*'E1 Fleet'!$D$98</f>
        <v/>
      </c>
    </row>
    <row r="68">
      <c r="A68" t="inlineStr">
        <is>
          <t>SUV</t>
        </is>
      </c>
      <c r="B68" s="456" t="n">
        <v>15</v>
      </c>
      <c r="C68" s="456" t="n">
        <v>3</v>
      </c>
      <c r="D68" s="348">
        <f>IF($B68=0,'E1 Fleet'!$D$93,1)*EXP(-'E1 Fleet'!$D$94*MAX($B68-6,0))</f>
        <v/>
      </c>
      <c r="E68" s="350">
        <f>IFERROR(INDEX('D Fleet'!$D$5:$D$63,MATCH(E$3-$B68,'D Fleet'!$B$5:$B$63,0)),0)*IFERROR(INDEX('D Fleet'!$K$5:$K$36,INT(($B68/E$5))+1)+(($B68/E$5)-INT(($B68/E$5)))*(INDEX('D Fleet'!$K$5:$K$36,INT(($B68/E$5))+2)-INDEX('D Fleet'!$K$5:$K$36,INT(($B68/E$5))+1)),0)</f>
        <v/>
      </c>
      <c r="F68" s="350">
        <f>IFERROR(INDEX('D Fleet'!$D$5:$D$63,MATCH(F$3-$B68,'D Fleet'!$B$5:$B$63,0)),0)*IFERROR(INDEX('D Fleet'!$K$5:$K$36,INT(($B68/F$5))+1)+(($B68/F$5)-INT(($B68/F$5)))*(INDEX('D Fleet'!$K$5:$K$36,INT(($B68/F$5))+2)-INDEX('D Fleet'!$K$5:$K$36,INT(($B68/F$5))+1)),0)</f>
        <v/>
      </c>
      <c r="G68" s="350">
        <f>IFERROR(INDEX('D Fleet'!$D$5:$D$63,MATCH(G$3-$B68,'D Fleet'!$B$5:$B$63,0)),0)*IFERROR(INDEX('D Fleet'!$K$5:$K$36,INT(($B68/G$5))+1)+(($B68/G$5)-INT(($B68/G$5)))*(INDEX('D Fleet'!$K$5:$K$36,INT(($B68/G$5))+2)-INDEX('D Fleet'!$K$5:$K$36,INT(($B68/G$5))+1)),0)</f>
        <v/>
      </c>
      <c r="H68" s="350">
        <f>IFERROR(INDEX('D Fleet'!$D$5:$D$63,MATCH(H$3-$B68,'D Fleet'!$B$5:$B$63,0)),0)*IFERROR(INDEX('D Fleet'!$K$5:$K$36,INT(($B68/H$5))+1)+(($B68/H$5)-INT(($B68/H$5)))*(INDEX('D Fleet'!$K$5:$K$36,INT(($B68/H$5))+2)-INDEX('D Fleet'!$K$5:$K$36,INT(($B68/H$5))+1)),0)</f>
        <v/>
      </c>
      <c r="I68" s="350">
        <f>IFERROR(INDEX('D Fleet'!$D$5:$D$63,MATCH(I$3-$B68,'D Fleet'!$B$5:$B$63,0)),0)*IFERROR(INDEX('D Fleet'!$K$5:$K$36,INT(($B68/I$5))+1)+(($B68/I$5)-INT(($B68/I$5)))*(INDEX('D Fleet'!$K$5:$K$36,INT(($B68/I$5))+2)-INDEX('D Fleet'!$K$5:$K$36,INT(($B68/I$5))+1)),0)</f>
        <v/>
      </c>
      <c r="J68" s="350">
        <f>IFERROR(INDEX('D Fleet'!$D$5:$D$63,MATCH(J$3-$B68,'D Fleet'!$B$5:$B$63,0)),0)*IFERROR(INDEX('D Fleet'!$K$5:$K$36,INT(($B68/J$5))+1)+(($B68/J$5)-INT(($B68/J$5)))*(INDEX('D Fleet'!$K$5:$K$36,INT(($B68/J$5))+2)-INDEX('D Fleet'!$K$5:$K$36,INT(($B68/J$5))+1)),0)</f>
        <v/>
      </c>
      <c r="K68" s="350">
        <f>IFERROR(INDEX('D Fleet'!$D$5:$D$63,MATCH(K$3-$B68,'D Fleet'!$B$5:$B$63,0)),0)*IFERROR(INDEX('D Fleet'!$K$5:$K$36,INT(($B68/K$5))+1)+(($B68/K$5)-INT(($B68/K$5)))*(INDEX('D Fleet'!$K$5:$K$36,INT(($B68/K$5))+2)-INDEX('D Fleet'!$K$5:$K$36,INT(($B68/K$5))+1)),0)</f>
        <v/>
      </c>
      <c r="L68" s="350">
        <f>IFERROR(INDEX('D Fleet'!$D$5:$D$63,MATCH(L$3-$B68,'D Fleet'!$B$5:$B$63,0)),0)*IFERROR(INDEX('D Fleet'!$K$5:$K$36,INT(($B68/L$5))+1)+(($B68/L$5)-INT(($B68/L$5)))*(INDEX('D Fleet'!$K$5:$K$36,INT(($B68/L$5))+2)-INDEX('D Fleet'!$K$5:$K$36,INT(($B68/L$5))+1)),0)</f>
        <v/>
      </c>
      <c r="M68" s="350">
        <f>IFERROR(INDEX('D Fleet'!$D$5:$D$63,MATCH(M$3-$B68,'D Fleet'!$B$5:$B$63,0)),0)*IFERROR(INDEX('D Fleet'!$K$5:$K$36,INT(($B68/M$5))+1)+(($B68/M$5)-INT(($B68/M$5)))*(INDEX('D Fleet'!$K$5:$K$36,INT(($B68/M$5))+2)-INDEX('D Fleet'!$K$5:$K$36,INT(($B68/M$5))+1)),0)</f>
        <v/>
      </c>
      <c r="N68" s="350">
        <f>IFERROR(INDEX('D Fleet'!$D$5:$D$63,MATCH(N$3-$B68,'D Fleet'!$B$5:$B$63,0)),0)*IFERROR(INDEX('D Fleet'!$K$5:$K$36,INT(($B68/N$5))+1)+(($B68/N$5)-INT(($B68/N$5)))*(INDEX('D Fleet'!$K$5:$K$36,INT(($B68/N$5))+2)-INDEX('D Fleet'!$K$5:$K$36,INT(($B68/N$5))+1)),0)</f>
        <v/>
      </c>
      <c r="P68" s="350">
        <f>E68*$D68*'E1 Fleet'!$D$98</f>
        <v/>
      </c>
      <c r="Q68" s="350">
        <f>F68*$D68*'E1 Fleet'!$D$98</f>
        <v/>
      </c>
      <c r="R68" s="350">
        <f>G68*$D68*'E1 Fleet'!$D$98</f>
        <v/>
      </c>
      <c r="S68" s="350">
        <f>H68*$D68*'E1 Fleet'!$D$98</f>
        <v/>
      </c>
      <c r="T68" s="350">
        <f>I68*$D68*'E1 Fleet'!$D$98</f>
        <v/>
      </c>
      <c r="U68" s="350">
        <f>J68*$D68*'E1 Fleet'!$D$98</f>
        <v/>
      </c>
      <c r="V68" s="350">
        <f>K68*$D68*'E1 Fleet'!$D$98</f>
        <v/>
      </c>
      <c r="W68" s="350">
        <f>L68*$D68*'E1 Fleet'!$D$98</f>
        <v/>
      </c>
      <c r="X68" s="350">
        <f>M68*$D68*'E1 Fleet'!$D$98</f>
        <v/>
      </c>
      <c r="Y68" s="350">
        <f>N68*$D68*'E1 Fleet'!$D$98</f>
        <v/>
      </c>
    </row>
    <row r="69">
      <c r="A69" t="inlineStr">
        <is>
          <t>SUV</t>
        </is>
      </c>
      <c r="B69" s="456" t="n">
        <v>16</v>
      </c>
      <c r="C69" s="456" t="n">
        <v>3</v>
      </c>
      <c r="D69" s="348">
        <f>IF($B69=0,'E1 Fleet'!$D$93,1)*EXP(-'E1 Fleet'!$D$94*MAX($B69-6,0))</f>
        <v/>
      </c>
      <c r="E69" s="350">
        <f>IFERROR(INDEX('D Fleet'!$D$5:$D$63,MATCH(E$3-$B69,'D Fleet'!$B$5:$B$63,0)),0)*IFERROR(INDEX('D Fleet'!$K$5:$K$36,INT(($B69/E$5))+1)+(($B69/E$5)-INT(($B69/E$5)))*(INDEX('D Fleet'!$K$5:$K$36,INT(($B69/E$5))+2)-INDEX('D Fleet'!$K$5:$K$36,INT(($B69/E$5))+1)),0)</f>
        <v/>
      </c>
      <c r="F69" s="350">
        <f>IFERROR(INDEX('D Fleet'!$D$5:$D$63,MATCH(F$3-$B69,'D Fleet'!$B$5:$B$63,0)),0)*IFERROR(INDEX('D Fleet'!$K$5:$K$36,INT(($B69/F$5))+1)+(($B69/F$5)-INT(($B69/F$5)))*(INDEX('D Fleet'!$K$5:$K$36,INT(($B69/F$5))+2)-INDEX('D Fleet'!$K$5:$K$36,INT(($B69/F$5))+1)),0)</f>
        <v/>
      </c>
      <c r="G69" s="350">
        <f>IFERROR(INDEX('D Fleet'!$D$5:$D$63,MATCH(G$3-$B69,'D Fleet'!$B$5:$B$63,0)),0)*IFERROR(INDEX('D Fleet'!$K$5:$K$36,INT(($B69/G$5))+1)+(($B69/G$5)-INT(($B69/G$5)))*(INDEX('D Fleet'!$K$5:$K$36,INT(($B69/G$5))+2)-INDEX('D Fleet'!$K$5:$K$36,INT(($B69/G$5))+1)),0)</f>
        <v/>
      </c>
      <c r="H69" s="350">
        <f>IFERROR(INDEX('D Fleet'!$D$5:$D$63,MATCH(H$3-$B69,'D Fleet'!$B$5:$B$63,0)),0)*IFERROR(INDEX('D Fleet'!$K$5:$K$36,INT(($B69/H$5))+1)+(($B69/H$5)-INT(($B69/H$5)))*(INDEX('D Fleet'!$K$5:$K$36,INT(($B69/H$5))+2)-INDEX('D Fleet'!$K$5:$K$36,INT(($B69/H$5))+1)),0)</f>
        <v/>
      </c>
      <c r="I69" s="350">
        <f>IFERROR(INDEX('D Fleet'!$D$5:$D$63,MATCH(I$3-$B69,'D Fleet'!$B$5:$B$63,0)),0)*IFERROR(INDEX('D Fleet'!$K$5:$K$36,INT(($B69/I$5))+1)+(($B69/I$5)-INT(($B69/I$5)))*(INDEX('D Fleet'!$K$5:$K$36,INT(($B69/I$5))+2)-INDEX('D Fleet'!$K$5:$K$36,INT(($B69/I$5))+1)),0)</f>
        <v/>
      </c>
      <c r="J69" s="350">
        <f>IFERROR(INDEX('D Fleet'!$D$5:$D$63,MATCH(J$3-$B69,'D Fleet'!$B$5:$B$63,0)),0)*IFERROR(INDEX('D Fleet'!$K$5:$K$36,INT(($B69/J$5))+1)+(($B69/J$5)-INT(($B69/J$5)))*(INDEX('D Fleet'!$K$5:$K$36,INT(($B69/J$5))+2)-INDEX('D Fleet'!$K$5:$K$36,INT(($B69/J$5))+1)),0)</f>
        <v/>
      </c>
      <c r="K69" s="350">
        <f>IFERROR(INDEX('D Fleet'!$D$5:$D$63,MATCH(K$3-$B69,'D Fleet'!$B$5:$B$63,0)),0)*IFERROR(INDEX('D Fleet'!$K$5:$K$36,INT(($B69/K$5))+1)+(($B69/K$5)-INT(($B69/K$5)))*(INDEX('D Fleet'!$K$5:$K$36,INT(($B69/K$5))+2)-INDEX('D Fleet'!$K$5:$K$36,INT(($B69/K$5))+1)),0)</f>
        <v/>
      </c>
      <c r="L69" s="350">
        <f>IFERROR(INDEX('D Fleet'!$D$5:$D$63,MATCH(L$3-$B69,'D Fleet'!$B$5:$B$63,0)),0)*IFERROR(INDEX('D Fleet'!$K$5:$K$36,INT(($B69/L$5))+1)+(($B69/L$5)-INT(($B69/L$5)))*(INDEX('D Fleet'!$K$5:$K$36,INT(($B69/L$5))+2)-INDEX('D Fleet'!$K$5:$K$36,INT(($B69/L$5))+1)),0)</f>
        <v/>
      </c>
      <c r="M69" s="350">
        <f>IFERROR(INDEX('D Fleet'!$D$5:$D$63,MATCH(M$3-$B69,'D Fleet'!$B$5:$B$63,0)),0)*IFERROR(INDEX('D Fleet'!$K$5:$K$36,INT(($B69/M$5))+1)+(($B69/M$5)-INT(($B69/M$5)))*(INDEX('D Fleet'!$K$5:$K$36,INT(($B69/M$5))+2)-INDEX('D Fleet'!$K$5:$K$36,INT(($B69/M$5))+1)),0)</f>
        <v/>
      </c>
      <c r="N69" s="350">
        <f>IFERROR(INDEX('D Fleet'!$D$5:$D$63,MATCH(N$3-$B69,'D Fleet'!$B$5:$B$63,0)),0)*IFERROR(INDEX('D Fleet'!$K$5:$K$36,INT(($B69/N$5))+1)+(($B69/N$5)-INT(($B69/N$5)))*(INDEX('D Fleet'!$K$5:$K$36,INT(($B69/N$5))+2)-INDEX('D Fleet'!$K$5:$K$36,INT(($B69/N$5))+1)),0)</f>
        <v/>
      </c>
      <c r="P69" s="350">
        <f>E69*$D69*'E1 Fleet'!$D$98</f>
        <v/>
      </c>
      <c r="Q69" s="350">
        <f>F69*$D69*'E1 Fleet'!$D$98</f>
        <v/>
      </c>
      <c r="R69" s="350">
        <f>G69*$D69*'E1 Fleet'!$D$98</f>
        <v/>
      </c>
      <c r="S69" s="350">
        <f>H69*$D69*'E1 Fleet'!$D$98</f>
        <v/>
      </c>
      <c r="T69" s="350">
        <f>I69*$D69*'E1 Fleet'!$D$98</f>
        <v/>
      </c>
      <c r="U69" s="350">
        <f>J69*$D69*'E1 Fleet'!$D$98</f>
        <v/>
      </c>
      <c r="V69" s="350">
        <f>K69*$D69*'E1 Fleet'!$D$98</f>
        <v/>
      </c>
      <c r="W69" s="350">
        <f>L69*$D69*'E1 Fleet'!$D$98</f>
        <v/>
      </c>
      <c r="X69" s="350">
        <f>M69*$D69*'E1 Fleet'!$D$98</f>
        <v/>
      </c>
      <c r="Y69" s="350">
        <f>N69*$D69*'E1 Fleet'!$D$98</f>
        <v/>
      </c>
    </row>
    <row r="70">
      <c r="A70" t="inlineStr">
        <is>
          <t>SUV</t>
        </is>
      </c>
      <c r="B70" s="456" t="n">
        <v>17</v>
      </c>
      <c r="C70" s="456" t="n">
        <v>3</v>
      </c>
      <c r="D70" s="348">
        <f>IF($B70=0,'E1 Fleet'!$D$93,1)*EXP(-'E1 Fleet'!$D$94*MAX($B70-6,0))</f>
        <v/>
      </c>
      <c r="E70" s="350">
        <f>IFERROR(INDEX('D Fleet'!$D$5:$D$63,MATCH(E$3-$B70,'D Fleet'!$B$5:$B$63,0)),0)*IFERROR(INDEX('D Fleet'!$K$5:$K$36,INT(($B70/E$5))+1)+(($B70/E$5)-INT(($B70/E$5)))*(INDEX('D Fleet'!$K$5:$K$36,INT(($B70/E$5))+2)-INDEX('D Fleet'!$K$5:$K$36,INT(($B70/E$5))+1)),0)</f>
        <v/>
      </c>
      <c r="F70" s="350">
        <f>IFERROR(INDEX('D Fleet'!$D$5:$D$63,MATCH(F$3-$B70,'D Fleet'!$B$5:$B$63,0)),0)*IFERROR(INDEX('D Fleet'!$K$5:$K$36,INT(($B70/F$5))+1)+(($B70/F$5)-INT(($B70/F$5)))*(INDEX('D Fleet'!$K$5:$K$36,INT(($B70/F$5))+2)-INDEX('D Fleet'!$K$5:$K$36,INT(($B70/F$5))+1)),0)</f>
        <v/>
      </c>
      <c r="G70" s="350">
        <f>IFERROR(INDEX('D Fleet'!$D$5:$D$63,MATCH(G$3-$B70,'D Fleet'!$B$5:$B$63,0)),0)*IFERROR(INDEX('D Fleet'!$K$5:$K$36,INT(($B70/G$5))+1)+(($B70/G$5)-INT(($B70/G$5)))*(INDEX('D Fleet'!$K$5:$K$36,INT(($B70/G$5))+2)-INDEX('D Fleet'!$K$5:$K$36,INT(($B70/G$5))+1)),0)</f>
        <v/>
      </c>
      <c r="H70" s="350">
        <f>IFERROR(INDEX('D Fleet'!$D$5:$D$63,MATCH(H$3-$B70,'D Fleet'!$B$5:$B$63,0)),0)*IFERROR(INDEX('D Fleet'!$K$5:$K$36,INT(($B70/H$5))+1)+(($B70/H$5)-INT(($B70/H$5)))*(INDEX('D Fleet'!$K$5:$K$36,INT(($B70/H$5))+2)-INDEX('D Fleet'!$K$5:$K$36,INT(($B70/H$5))+1)),0)</f>
        <v/>
      </c>
      <c r="I70" s="350">
        <f>IFERROR(INDEX('D Fleet'!$D$5:$D$63,MATCH(I$3-$B70,'D Fleet'!$B$5:$B$63,0)),0)*IFERROR(INDEX('D Fleet'!$K$5:$K$36,INT(($B70/I$5))+1)+(($B70/I$5)-INT(($B70/I$5)))*(INDEX('D Fleet'!$K$5:$K$36,INT(($B70/I$5))+2)-INDEX('D Fleet'!$K$5:$K$36,INT(($B70/I$5))+1)),0)</f>
        <v/>
      </c>
      <c r="J70" s="350">
        <f>IFERROR(INDEX('D Fleet'!$D$5:$D$63,MATCH(J$3-$B70,'D Fleet'!$B$5:$B$63,0)),0)*IFERROR(INDEX('D Fleet'!$K$5:$K$36,INT(($B70/J$5))+1)+(($B70/J$5)-INT(($B70/J$5)))*(INDEX('D Fleet'!$K$5:$K$36,INT(($B70/J$5))+2)-INDEX('D Fleet'!$K$5:$K$36,INT(($B70/J$5))+1)),0)</f>
        <v/>
      </c>
      <c r="K70" s="350">
        <f>IFERROR(INDEX('D Fleet'!$D$5:$D$63,MATCH(K$3-$B70,'D Fleet'!$B$5:$B$63,0)),0)*IFERROR(INDEX('D Fleet'!$K$5:$K$36,INT(($B70/K$5))+1)+(($B70/K$5)-INT(($B70/K$5)))*(INDEX('D Fleet'!$K$5:$K$36,INT(($B70/K$5))+2)-INDEX('D Fleet'!$K$5:$K$36,INT(($B70/K$5))+1)),0)</f>
        <v/>
      </c>
      <c r="L70" s="350">
        <f>IFERROR(INDEX('D Fleet'!$D$5:$D$63,MATCH(L$3-$B70,'D Fleet'!$B$5:$B$63,0)),0)*IFERROR(INDEX('D Fleet'!$K$5:$K$36,INT(($B70/L$5))+1)+(($B70/L$5)-INT(($B70/L$5)))*(INDEX('D Fleet'!$K$5:$K$36,INT(($B70/L$5))+2)-INDEX('D Fleet'!$K$5:$K$36,INT(($B70/L$5))+1)),0)</f>
        <v/>
      </c>
      <c r="M70" s="350">
        <f>IFERROR(INDEX('D Fleet'!$D$5:$D$63,MATCH(M$3-$B70,'D Fleet'!$B$5:$B$63,0)),0)*IFERROR(INDEX('D Fleet'!$K$5:$K$36,INT(($B70/M$5))+1)+(($B70/M$5)-INT(($B70/M$5)))*(INDEX('D Fleet'!$K$5:$K$36,INT(($B70/M$5))+2)-INDEX('D Fleet'!$K$5:$K$36,INT(($B70/M$5))+1)),0)</f>
        <v/>
      </c>
      <c r="N70" s="350">
        <f>IFERROR(INDEX('D Fleet'!$D$5:$D$63,MATCH(N$3-$B70,'D Fleet'!$B$5:$B$63,0)),0)*IFERROR(INDEX('D Fleet'!$K$5:$K$36,INT(($B70/N$5))+1)+(($B70/N$5)-INT(($B70/N$5)))*(INDEX('D Fleet'!$K$5:$K$36,INT(($B70/N$5))+2)-INDEX('D Fleet'!$K$5:$K$36,INT(($B70/N$5))+1)),0)</f>
        <v/>
      </c>
      <c r="P70" s="350">
        <f>E70*$D70*'E1 Fleet'!$D$98</f>
        <v/>
      </c>
      <c r="Q70" s="350">
        <f>F70*$D70*'E1 Fleet'!$D$98</f>
        <v/>
      </c>
      <c r="R70" s="350">
        <f>G70*$D70*'E1 Fleet'!$D$98</f>
        <v/>
      </c>
      <c r="S70" s="350">
        <f>H70*$D70*'E1 Fleet'!$D$98</f>
        <v/>
      </c>
      <c r="T70" s="350">
        <f>I70*$D70*'E1 Fleet'!$D$98</f>
        <v/>
      </c>
      <c r="U70" s="350">
        <f>J70*$D70*'E1 Fleet'!$D$98</f>
        <v/>
      </c>
      <c r="V70" s="350">
        <f>K70*$D70*'E1 Fleet'!$D$98</f>
        <v/>
      </c>
      <c r="W70" s="350">
        <f>L70*$D70*'E1 Fleet'!$D$98</f>
        <v/>
      </c>
      <c r="X70" s="350">
        <f>M70*$D70*'E1 Fleet'!$D$98</f>
        <v/>
      </c>
      <c r="Y70" s="350">
        <f>N70*$D70*'E1 Fleet'!$D$98</f>
        <v/>
      </c>
    </row>
    <row r="71">
      <c r="A71" t="inlineStr">
        <is>
          <t>SUV</t>
        </is>
      </c>
      <c r="B71" s="456" t="n">
        <v>18</v>
      </c>
      <c r="C71" s="456" t="n">
        <v>3</v>
      </c>
      <c r="D71" s="348">
        <f>IF($B71=0,'E1 Fleet'!$D$93,1)*EXP(-'E1 Fleet'!$D$94*MAX($B71-6,0))</f>
        <v/>
      </c>
      <c r="E71" s="350">
        <f>IFERROR(INDEX('D Fleet'!$D$5:$D$63,MATCH(E$3-$B71,'D Fleet'!$B$5:$B$63,0)),0)*IFERROR(INDEX('D Fleet'!$K$5:$K$36,INT(($B71/E$5))+1)+(($B71/E$5)-INT(($B71/E$5)))*(INDEX('D Fleet'!$K$5:$K$36,INT(($B71/E$5))+2)-INDEX('D Fleet'!$K$5:$K$36,INT(($B71/E$5))+1)),0)</f>
        <v/>
      </c>
      <c r="F71" s="350">
        <f>IFERROR(INDEX('D Fleet'!$D$5:$D$63,MATCH(F$3-$B71,'D Fleet'!$B$5:$B$63,0)),0)*IFERROR(INDEX('D Fleet'!$K$5:$K$36,INT(($B71/F$5))+1)+(($B71/F$5)-INT(($B71/F$5)))*(INDEX('D Fleet'!$K$5:$K$36,INT(($B71/F$5))+2)-INDEX('D Fleet'!$K$5:$K$36,INT(($B71/F$5))+1)),0)</f>
        <v/>
      </c>
      <c r="G71" s="350">
        <f>IFERROR(INDEX('D Fleet'!$D$5:$D$63,MATCH(G$3-$B71,'D Fleet'!$B$5:$B$63,0)),0)*IFERROR(INDEX('D Fleet'!$K$5:$K$36,INT(($B71/G$5))+1)+(($B71/G$5)-INT(($B71/G$5)))*(INDEX('D Fleet'!$K$5:$K$36,INT(($B71/G$5))+2)-INDEX('D Fleet'!$K$5:$K$36,INT(($B71/G$5))+1)),0)</f>
        <v/>
      </c>
      <c r="H71" s="350">
        <f>IFERROR(INDEX('D Fleet'!$D$5:$D$63,MATCH(H$3-$B71,'D Fleet'!$B$5:$B$63,0)),0)*IFERROR(INDEX('D Fleet'!$K$5:$K$36,INT(($B71/H$5))+1)+(($B71/H$5)-INT(($B71/H$5)))*(INDEX('D Fleet'!$K$5:$K$36,INT(($B71/H$5))+2)-INDEX('D Fleet'!$K$5:$K$36,INT(($B71/H$5))+1)),0)</f>
        <v/>
      </c>
      <c r="I71" s="350">
        <f>IFERROR(INDEX('D Fleet'!$D$5:$D$63,MATCH(I$3-$B71,'D Fleet'!$B$5:$B$63,0)),0)*IFERROR(INDEX('D Fleet'!$K$5:$K$36,INT(($B71/I$5))+1)+(($B71/I$5)-INT(($B71/I$5)))*(INDEX('D Fleet'!$K$5:$K$36,INT(($B71/I$5))+2)-INDEX('D Fleet'!$K$5:$K$36,INT(($B71/I$5))+1)),0)</f>
        <v/>
      </c>
      <c r="J71" s="350">
        <f>IFERROR(INDEX('D Fleet'!$D$5:$D$63,MATCH(J$3-$B71,'D Fleet'!$B$5:$B$63,0)),0)*IFERROR(INDEX('D Fleet'!$K$5:$K$36,INT(($B71/J$5))+1)+(($B71/J$5)-INT(($B71/J$5)))*(INDEX('D Fleet'!$K$5:$K$36,INT(($B71/J$5))+2)-INDEX('D Fleet'!$K$5:$K$36,INT(($B71/J$5))+1)),0)</f>
        <v/>
      </c>
      <c r="K71" s="350">
        <f>IFERROR(INDEX('D Fleet'!$D$5:$D$63,MATCH(K$3-$B71,'D Fleet'!$B$5:$B$63,0)),0)*IFERROR(INDEX('D Fleet'!$K$5:$K$36,INT(($B71/K$5))+1)+(($B71/K$5)-INT(($B71/K$5)))*(INDEX('D Fleet'!$K$5:$K$36,INT(($B71/K$5))+2)-INDEX('D Fleet'!$K$5:$K$36,INT(($B71/K$5))+1)),0)</f>
        <v/>
      </c>
      <c r="L71" s="350">
        <f>IFERROR(INDEX('D Fleet'!$D$5:$D$63,MATCH(L$3-$B71,'D Fleet'!$B$5:$B$63,0)),0)*IFERROR(INDEX('D Fleet'!$K$5:$K$36,INT(($B71/L$5))+1)+(($B71/L$5)-INT(($B71/L$5)))*(INDEX('D Fleet'!$K$5:$K$36,INT(($B71/L$5))+2)-INDEX('D Fleet'!$K$5:$K$36,INT(($B71/L$5))+1)),0)</f>
        <v/>
      </c>
      <c r="M71" s="350">
        <f>IFERROR(INDEX('D Fleet'!$D$5:$D$63,MATCH(M$3-$B71,'D Fleet'!$B$5:$B$63,0)),0)*IFERROR(INDEX('D Fleet'!$K$5:$K$36,INT(($B71/M$5))+1)+(($B71/M$5)-INT(($B71/M$5)))*(INDEX('D Fleet'!$K$5:$K$36,INT(($B71/M$5))+2)-INDEX('D Fleet'!$K$5:$K$36,INT(($B71/M$5))+1)),0)</f>
        <v/>
      </c>
      <c r="N71" s="350">
        <f>IFERROR(INDEX('D Fleet'!$D$5:$D$63,MATCH(N$3-$B71,'D Fleet'!$B$5:$B$63,0)),0)*IFERROR(INDEX('D Fleet'!$K$5:$K$36,INT(($B71/N$5))+1)+(($B71/N$5)-INT(($B71/N$5)))*(INDEX('D Fleet'!$K$5:$K$36,INT(($B71/N$5))+2)-INDEX('D Fleet'!$K$5:$K$36,INT(($B71/N$5))+1)),0)</f>
        <v/>
      </c>
      <c r="P71" s="350">
        <f>E71*$D71*'E1 Fleet'!$D$98</f>
        <v/>
      </c>
      <c r="Q71" s="350">
        <f>F71*$D71*'E1 Fleet'!$D$98</f>
        <v/>
      </c>
      <c r="R71" s="350">
        <f>G71*$D71*'E1 Fleet'!$D$98</f>
        <v/>
      </c>
      <c r="S71" s="350">
        <f>H71*$D71*'E1 Fleet'!$D$98</f>
        <v/>
      </c>
      <c r="T71" s="350">
        <f>I71*$D71*'E1 Fleet'!$D$98</f>
        <v/>
      </c>
      <c r="U71" s="350">
        <f>J71*$D71*'E1 Fleet'!$D$98</f>
        <v/>
      </c>
      <c r="V71" s="350">
        <f>K71*$D71*'E1 Fleet'!$D$98</f>
        <v/>
      </c>
      <c r="W71" s="350">
        <f>L71*$D71*'E1 Fleet'!$D$98</f>
        <v/>
      </c>
      <c r="X71" s="350">
        <f>M71*$D71*'E1 Fleet'!$D$98</f>
        <v/>
      </c>
      <c r="Y71" s="350">
        <f>N71*$D71*'E1 Fleet'!$D$98</f>
        <v/>
      </c>
    </row>
    <row r="72">
      <c r="A72" t="inlineStr">
        <is>
          <t>SUV</t>
        </is>
      </c>
      <c r="B72" s="456" t="n">
        <v>19</v>
      </c>
      <c r="C72" s="456" t="n">
        <v>3</v>
      </c>
      <c r="D72" s="348">
        <f>IF($B72=0,'E1 Fleet'!$D$93,1)*EXP(-'E1 Fleet'!$D$94*MAX($B72-6,0))</f>
        <v/>
      </c>
      <c r="E72" s="350">
        <f>IFERROR(INDEX('D Fleet'!$D$5:$D$63,MATCH(E$3-$B72,'D Fleet'!$B$5:$B$63,0)),0)*IFERROR(INDEX('D Fleet'!$K$5:$K$36,INT(($B72/E$5))+1)+(($B72/E$5)-INT(($B72/E$5)))*(INDEX('D Fleet'!$K$5:$K$36,INT(($B72/E$5))+2)-INDEX('D Fleet'!$K$5:$K$36,INT(($B72/E$5))+1)),0)</f>
        <v/>
      </c>
      <c r="F72" s="350">
        <f>IFERROR(INDEX('D Fleet'!$D$5:$D$63,MATCH(F$3-$B72,'D Fleet'!$B$5:$B$63,0)),0)*IFERROR(INDEX('D Fleet'!$K$5:$K$36,INT(($B72/F$5))+1)+(($B72/F$5)-INT(($B72/F$5)))*(INDEX('D Fleet'!$K$5:$K$36,INT(($B72/F$5))+2)-INDEX('D Fleet'!$K$5:$K$36,INT(($B72/F$5))+1)),0)</f>
        <v/>
      </c>
      <c r="G72" s="350">
        <f>IFERROR(INDEX('D Fleet'!$D$5:$D$63,MATCH(G$3-$B72,'D Fleet'!$B$5:$B$63,0)),0)*IFERROR(INDEX('D Fleet'!$K$5:$K$36,INT(($B72/G$5))+1)+(($B72/G$5)-INT(($B72/G$5)))*(INDEX('D Fleet'!$K$5:$K$36,INT(($B72/G$5))+2)-INDEX('D Fleet'!$K$5:$K$36,INT(($B72/G$5))+1)),0)</f>
        <v/>
      </c>
      <c r="H72" s="350">
        <f>IFERROR(INDEX('D Fleet'!$D$5:$D$63,MATCH(H$3-$B72,'D Fleet'!$B$5:$B$63,0)),0)*IFERROR(INDEX('D Fleet'!$K$5:$K$36,INT(($B72/H$5))+1)+(($B72/H$5)-INT(($B72/H$5)))*(INDEX('D Fleet'!$K$5:$K$36,INT(($B72/H$5))+2)-INDEX('D Fleet'!$K$5:$K$36,INT(($B72/H$5))+1)),0)</f>
        <v/>
      </c>
      <c r="I72" s="350">
        <f>IFERROR(INDEX('D Fleet'!$D$5:$D$63,MATCH(I$3-$B72,'D Fleet'!$B$5:$B$63,0)),0)*IFERROR(INDEX('D Fleet'!$K$5:$K$36,INT(($B72/I$5))+1)+(($B72/I$5)-INT(($B72/I$5)))*(INDEX('D Fleet'!$K$5:$K$36,INT(($B72/I$5))+2)-INDEX('D Fleet'!$K$5:$K$36,INT(($B72/I$5))+1)),0)</f>
        <v/>
      </c>
      <c r="J72" s="350">
        <f>IFERROR(INDEX('D Fleet'!$D$5:$D$63,MATCH(J$3-$B72,'D Fleet'!$B$5:$B$63,0)),0)*IFERROR(INDEX('D Fleet'!$K$5:$K$36,INT(($B72/J$5))+1)+(($B72/J$5)-INT(($B72/J$5)))*(INDEX('D Fleet'!$K$5:$K$36,INT(($B72/J$5))+2)-INDEX('D Fleet'!$K$5:$K$36,INT(($B72/J$5))+1)),0)</f>
        <v/>
      </c>
      <c r="K72" s="350">
        <f>IFERROR(INDEX('D Fleet'!$D$5:$D$63,MATCH(K$3-$B72,'D Fleet'!$B$5:$B$63,0)),0)*IFERROR(INDEX('D Fleet'!$K$5:$K$36,INT(($B72/K$5))+1)+(($B72/K$5)-INT(($B72/K$5)))*(INDEX('D Fleet'!$K$5:$K$36,INT(($B72/K$5))+2)-INDEX('D Fleet'!$K$5:$K$36,INT(($B72/K$5))+1)),0)</f>
        <v/>
      </c>
      <c r="L72" s="350">
        <f>IFERROR(INDEX('D Fleet'!$D$5:$D$63,MATCH(L$3-$B72,'D Fleet'!$B$5:$B$63,0)),0)*IFERROR(INDEX('D Fleet'!$K$5:$K$36,INT(($B72/L$5))+1)+(($B72/L$5)-INT(($B72/L$5)))*(INDEX('D Fleet'!$K$5:$K$36,INT(($B72/L$5))+2)-INDEX('D Fleet'!$K$5:$K$36,INT(($B72/L$5))+1)),0)</f>
        <v/>
      </c>
      <c r="M72" s="350">
        <f>IFERROR(INDEX('D Fleet'!$D$5:$D$63,MATCH(M$3-$B72,'D Fleet'!$B$5:$B$63,0)),0)*IFERROR(INDEX('D Fleet'!$K$5:$K$36,INT(($B72/M$5))+1)+(($B72/M$5)-INT(($B72/M$5)))*(INDEX('D Fleet'!$K$5:$K$36,INT(($B72/M$5))+2)-INDEX('D Fleet'!$K$5:$K$36,INT(($B72/M$5))+1)),0)</f>
        <v/>
      </c>
      <c r="N72" s="350">
        <f>IFERROR(INDEX('D Fleet'!$D$5:$D$63,MATCH(N$3-$B72,'D Fleet'!$B$5:$B$63,0)),0)*IFERROR(INDEX('D Fleet'!$K$5:$K$36,INT(($B72/N$5))+1)+(($B72/N$5)-INT(($B72/N$5)))*(INDEX('D Fleet'!$K$5:$K$36,INT(($B72/N$5))+2)-INDEX('D Fleet'!$K$5:$K$36,INT(($B72/N$5))+1)),0)</f>
        <v/>
      </c>
      <c r="P72" s="350">
        <f>E72*$D72*'E1 Fleet'!$D$98</f>
        <v/>
      </c>
      <c r="Q72" s="350">
        <f>F72*$D72*'E1 Fleet'!$D$98</f>
        <v/>
      </c>
      <c r="R72" s="350">
        <f>G72*$D72*'E1 Fleet'!$D$98</f>
        <v/>
      </c>
      <c r="S72" s="350">
        <f>H72*$D72*'E1 Fleet'!$D$98</f>
        <v/>
      </c>
      <c r="T72" s="350">
        <f>I72*$D72*'E1 Fleet'!$D$98</f>
        <v/>
      </c>
      <c r="U72" s="350">
        <f>J72*$D72*'E1 Fleet'!$D$98</f>
        <v/>
      </c>
      <c r="V72" s="350">
        <f>K72*$D72*'E1 Fleet'!$D$98</f>
        <v/>
      </c>
      <c r="W72" s="350">
        <f>L72*$D72*'E1 Fleet'!$D$98</f>
        <v/>
      </c>
      <c r="X72" s="350">
        <f>M72*$D72*'E1 Fleet'!$D$98</f>
        <v/>
      </c>
      <c r="Y72" s="350">
        <f>N72*$D72*'E1 Fleet'!$D$98</f>
        <v/>
      </c>
    </row>
    <row r="73">
      <c r="A73" t="inlineStr">
        <is>
          <t>SUV</t>
        </is>
      </c>
      <c r="B73" s="456" t="n">
        <v>20</v>
      </c>
      <c r="C73" s="456" t="n">
        <v>3</v>
      </c>
      <c r="D73" s="348">
        <f>IF($B73=0,'E1 Fleet'!$D$93,1)*EXP(-'E1 Fleet'!$D$94*MAX($B73-6,0))</f>
        <v/>
      </c>
      <c r="E73" s="350">
        <f>IFERROR(INDEX('D Fleet'!$D$5:$D$63,MATCH(E$3-$B73,'D Fleet'!$B$5:$B$63,0)),0)*IFERROR(INDEX('D Fleet'!$K$5:$K$36,INT(($B73/E$5))+1)+(($B73/E$5)-INT(($B73/E$5)))*(INDEX('D Fleet'!$K$5:$K$36,INT(($B73/E$5))+2)-INDEX('D Fleet'!$K$5:$K$36,INT(($B73/E$5))+1)),0)</f>
        <v/>
      </c>
      <c r="F73" s="350">
        <f>IFERROR(INDEX('D Fleet'!$D$5:$D$63,MATCH(F$3-$B73,'D Fleet'!$B$5:$B$63,0)),0)*IFERROR(INDEX('D Fleet'!$K$5:$K$36,INT(($B73/F$5))+1)+(($B73/F$5)-INT(($B73/F$5)))*(INDEX('D Fleet'!$K$5:$K$36,INT(($B73/F$5))+2)-INDEX('D Fleet'!$K$5:$K$36,INT(($B73/F$5))+1)),0)</f>
        <v/>
      </c>
      <c r="G73" s="350">
        <f>IFERROR(INDEX('D Fleet'!$D$5:$D$63,MATCH(G$3-$B73,'D Fleet'!$B$5:$B$63,0)),0)*IFERROR(INDEX('D Fleet'!$K$5:$K$36,INT(($B73/G$5))+1)+(($B73/G$5)-INT(($B73/G$5)))*(INDEX('D Fleet'!$K$5:$K$36,INT(($B73/G$5))+2)-INDEX('D Fleet'!$K$5:$K$36,INT(($B73/G$5))+1)),0)</f>
        <v/>
      </c>
      <c r="H73" s="350">
        <f>IFERROR(INDEX('D Fleet'!$D$5:$D$63,MATCH(H$3-$B73,'D Fleet'!$B$5:$B$63,0)),0)*IFERROR(INDEX('D Fleet'!$K$5:$K$36,INT(($B73/H$5))+1)+(($B73/H$5)-INT(($B73/H$5)))*(INDEX('D Fleet'!$K$5:$K$36,INT(($B73/H$5))+2)-INDEX('D Fleet'!$K$5:$K$36,INT(($B73/H$5))+1)),0)</f>
        <v/>
      </c>
      <c r="I73" s="350">
        <f>IFERROR(INDEX('D Fleet'!$D$5:$D$63,MATCH(I$3-$B73,'D Fleet'!$B$5:$B$63,0)),0)*IFERROR(INDEX('D Fleet'!$K$5:$K$36,INT(($B73/I$5))+1)+(($B73/I$5)-INT(($B73/I$5)))*(INDEX('D Fleet'!$K$5:$K$36,INT(($B73/I$5))+2)-INDEX('D Fleet'!$K$5:$K$36,INT(($B73/I$5))+1)),0)</f>
        <v/>
      </c>
      <c r="J73" s="350">
        <f>IFERROR(INDEX('D Fleet'!$D$5:$D$63,MATCH(J$3-$B73,'D Fleet'!$B$5:$B$63,0)),0)*IFERROR(INDEX('D Fleet'!$K$5:$K$36,INT(($B73/J$5))+1)+(($B73/J$5)-INT(($B73/J$5)))*(INDEX('D Fleet'!$K$5:$K$36,INT(($B73/J$5))+2)-INDEX('D Fleet'!$K$5:$K$36,INT(($B73/J$5))+1)),0)</f>
        <v/>
      </c>
      <c r="K73" s="350">
        <f>IFERROR(INDEX('D Fleet'!$D$5:$D$63,MATCH(K$3-$B73,'D Fleet'!$B$5:$B$63,0)),0)*IFERROR(INDEX('D Fleet'!$K$5:$K$36,INT(($B73/K$5))+1)+(($B73/K$5)-INT(($B73/K$5)))*(INDEX('D Fleet'!$K$5:$K$36,INT(($B73/K$5))+2)-INDEX('D Fleet'!$K$5:$K$36,INT(($B73/K$5))+1)),0)</f>
        <v/>
      </c>
      <c r="L73" s="350">
        <f>IFERROR(INDEX('D Fleet'!$D$5:$D$63,MATCH(L$3-$B73,'D Fleet'!$B$5:$B$63,0)),0)*IFERROR(INDEX('D Fleet'!$K$5:$K$36,INT(($B73/L$5))+1)+(($B73/L$5)-INT(($B73/L$5)))*(INDEX('D Fleet'!$K$5:$K$36,INT(($B73/L$5))+2)-INDEX('D Fleet'!$K$5:$K$36,INT(($B73/L$5))+1)),0)</f>
        <v/>
      </c>
      <c r="M73" s="350">
        <f>IFERROR(INDEX('D Fleet'!$D$5:$D$63,MATCH(M$3-$B73,'D Fleet'!$B$5:$B$63,0)),0)*IFERROR(INDEX('D Fleet'!$K$5:$K$36,INT(($B73/M$5))+1)+(($B73/M$5)-INT(($B73/M$5)))*(INDEX('D Fleet'!$K$5:$K$36,INT(($B73/M$5))+2)-INDEX('D Fleet'!$K$5:$K$36,INT(($B73/M$5))+1)),0)</f>
        <v/>
      </c>
      <c r="N73" s="350">
        <f>IFERROR(INDEX('D Fleet'!$D$5:$D$63,MATCH(N$3-$B73,'D Fleet'!$B$5:$B$63,0)),0)*IFERROR(INDEX('D Fleet'!$K$5:$K$36,INT(($B73/N$5))+1)+(($B73/N$5)-INT(($B73/N$5)))*(INDEX('D Fleet'!$K$5:$K$36,INT(($B73/N$5))+2)-INDEX('D Fleet'!$K$5:$K$36,INT(($B73/N$5))+1)),0)</f>
        <v/>
      </c>
      <c r="P73" s="350">
        <f>E73*$D73*'E1 Fleet'!$D$98</f>
        <v/>
      </c>
      <c r="Q73" s="350">
        <f>F73*$D73*'E1 Fleet'!$D$98</f>
        <v/>
      </c>
      <c r="R73" s="350">
        <f>G73*$D73*'E1 Fleet'!$D$98</f>
        <v/>
      </c>
      <c r="S73" s="350">
        <f>H73*$D73*'E1 Fleet'!$D$98</f>
        <v/>
      </c>
      <c r="T73" s="350">
        <f>I73*$D73*'E1 Fleet'!$D$98</f>
        <v/>
      </c>
      <c r="U73" s="350">
        <f>J73*$D73*'E1 Fleet'!$D$98</f>
        <v/>
      </c>
      <c r="V73" s="350">
        <f>K73*$D73*'E1 Fleet'!$D$98</f>
        <v/>
      </c>
      <c r="W73" s="350">
        <f>L73*$D73*'E1 Fleet'!$D$98</f>
        <v/>
      </c>
      <c r="X73" s="350">
        <f>M73*$D73*'E1 Fleet'!$D$98</f>
        <v/>
      </c>
      <c r="Y73" s="350">
        <f>N73*$D73*'E1 Fleet'!$D$98</f>
        <v/>
      </c>
    </row>
    <row r="74">
      <c r="A74" t="inlineStr">
        <is>
          <t>SUV</t>
        </is>
      </c>
      <c r="B74" s="456" t="n">
        <v>21</v>
      </c>
      <c r="C74" s="456" t="n">
        <v>3</v>
      </c>
      <c r="D74" s="348">
        <f>IF($B74=0,'E1 Fleet'!$D$93,1)*EXP(-'E1 Fleet'!$D$94*MAX($B74-6,0))</f>
        <v/>
      </c>
      <c r="E74" s="350">
        <f>IFERROR(INDEX('D Fleet'!$D$5:$D$63,MATCH(E$3-$B74,'D Fleet'!$B$5:$B$63,0)),0)*IFERROR(INDEX('D Fleet'!$K$5:$K$36,INT(($B74/E$5))+1)+(($B74/E$5)-INT(($B74/E$5)))*(INDEX('D Fleet'!$K$5:$K$36,INT(($B74/E$5))+2)-INDEX('D Fleet'!$K$5:$K$36,INT(($B74/E$5))+1)),0)</f>
        <v/>
      </c>
      <c r="F74" s="350">
        <f>IFERROR(INDEX('D Fleet'!$D$5:$D$63,MATCH(F$3-$B74,'D Fleet'!$B$5:$B$63,0)),0)*IFERROR(INDEX('D Fleet'!$K$5:$K$36,INT(($B74/F$5))+1)+(($B74/F$5)-INT(($B74/F$5)))*(INDEX('D Fleet'!$K$5:$K$36,INT(($B74/F$5))+2)-INDEX('D Fleet'!$K$5:$K$36,INT(($B74/F$5))+1)),0)</f>
        <v/>
      </c>
      <c r="G74" s="350">
        <f>IFERROR(INDEX('D Fleet'!$D$5:$D$63,MATCH(G$3-$B74,'D Fleet'!$B$5:$B$63,0)),0)*IFERROR(INDEX('D Fleet'!$K$5:$K$36,INT(($B74/G$5))+1)+(($B74/G$5)-INT(($B74/G$5)))*(INDEX('D Fleet'!$K$5:$K$36,INT(($B74/G$5))+2)-INDEX('D Fleet'!$K$5:$K$36,INT(($B74/G$5))+1)),0)</f>
        <v/>
      </c>
      <c r="H74" s="350">
        <f>IFERROR(INDEX('D Fleet'!$D$5:$D$63,MATCH(H$3-$B74,'D Fleet'!$B$5:$B$63,0)),0)*IFERROR(INDEX('D Fleet'!$K$5:$K$36,INT(($B74/H$5))+1)+(($B74/H$5)-INT(($B74/H$5)))*(INDEX('D Fleet'!$K$5:$K$36,INT(($B74/H$5))+2)-INDEX('D Fleet'!$K$5:$K$36,INT(($B74/H$5))+1)),0)</f>
        <v/>
      </c>
      <c r="I74" s="350">
        <f>IFERROR(INDEX('D Fleet'!$D$5:$D$63,MATCH(I$3-$B74,'D Fleet'!$B$5:$B$63,0)),0)*IFERROR(INDEX('D Fleet'!$K$5:$K$36,INT(($B74/I$5))+1)+(($B74/I$5)-INT(($B74/I$5)))*(INDEX('D Fleet'!$K$5:$K$36,INT(($B74/I$5))+2)-INDEX('D Fleet'!$K$5:$K$36,INT(($B74/I$5))+1)),0)</f>
        <v/>
      </c>
      <c r="J74" s="350">
        <f>IFERROR(INDEX('D Fleet'!$D$5:$D$63,MATCH(J$3-$B74,'D Fleet'!$B$5:$B$63,0)),0)*IFERROR(INDEX('D Fleet'!$K$5:$K$36,INT(($B74/J$5))+1)+(($B74/J$5)-INT(($B74/J$5)))*(INDEX('D Fleet'!$K$5:$K$36,INT(($B74/J$5))+2)-INDEX('D Fleet'!$K$5:$K$36,INT(($B74/J$5))+1)),0)</f>
        <v/>
      </c>
      <c r="K74" s="350">
        <f>IFERROR(INDEX('D Fleet'!$D$5:$D$63,MATCH(K$3-$B74,'D Fleet'!$B$5:$B$63,0)),0)*IFERROR(INDEX('D Fleet'!$K$5:$K$36,INT(($B74/K$5))+1)+(($B74/K$5)-INT(($B74/K$5)))*(INDEX('D Fleet'!$K$5:$K$36,INT(($B74/K$5))+2)-INDEX('D Fleet'!$K$5:$K$36,INT(($B74/K$5))+1)),0)</f>
        <v/>
      </c>
      <c r="L74" s="350">
        <f>IFERROR(INDEX('D Fleet'!$D$5:$D$63,MATCH(L$3-$B74,'D Fleet'!$B$5:$B$63,0)),0)*IFERROR(INDEX('D Fleet'!$K$5:$K$36,INT(($B74/L$5))+1)+(($B74/L$5)-INT(($B74/L$5)))*(INDEX('D Fleet'!$K$5:$K$36,INT(($B74/L$5))+2)-INDEX('D Fleet'!$K$5:$K$36,INT(($B74/L$5))+1)),0)</f>
        <v/>
      </c>
      <c r="M74" s="350">
        <f>IFERROR(INDEX('D Fleet'!$D$5:$D$63,MATCH(M$3-$B74,'D Fleet'!$B$5:$B$63,0)),0)*IFERROR(INDEX('D Fleet'!$K$5:$K$36,INT(($B74/M$5))+1)+(($B74/M$5)-INT(($B74/M$5)))*(INDEX('D Fleet'!$K$5:$K$36,INT(($B74/M$5))+2)-INDEX('D Fleet'!$K$5:$K$36,INT(($B74/M$5))+1)),0)</f>
        <v/>
      </c>
      <c r="N74" s="350">
        <f>IFERROR(INDEX('D Fleet'!$D$5:$D$63,MATCH(N$3-$B74,'D Fleet'!$B$5:$B$63,0)),0)*IFERROR(INDEX('D Fleet'!$K$5:$K$36,INT(($B74/N$5))+1)+(($B74/N$5)-INT(($B74/N$5)))*(INDEX('D Fleet'!$K$5:$K$36,INT(($B74/N$5))+2)-INDEX('D Fleet'!$K$5:$K$36,INT(($B74/N$5))+1)),0)</f>
        <v/>
      </c>
      <c r="P74" s="350">
        <f>E74*$D74*'E1 Fleet'!$D$98</f>
        <v/>
      </c>
      <c r="Q74" s="350">
        <f>F74*$D74*'E1 Fleet'!$D$98</f>
        <v/>
      </c>
      <c r="R74" s="350">
        <f>G74*$D74*'E1 Fleet'!$D$98</f>
        <v/>
      </c>
      <c r="S74" s="350">
        <f>H74*$D74*'E1 Fleet'!$D$98</f>
        <v/>
      </c>
      <c r="T74" s="350">
        <f>I74*$D74*'E1 Fleet'!$D$98</f>
        <v/>
      </c>
      <c r="U74" s="350">
        <f>J74*$D74*'E1 Fleet'!$D$98</f>
        <v/>
      </c>
      <c r="V74" s="350">
        <f>K74*$D74*'E1 Fleet'!$D$98</f>
        <v/>
      </c>
      <c r="W74" s="350">
        <f>L74*$D74*'E1 Fleet'!$D$98</f>
        <v/>
      </c>
      <c r="X74" s="350">
        <f>M74*$D74*'E1 Fleet'!$D$98</f>
        <v/>
      </c>
      <c r="Y74" s="350">
        <f>N74*$D74*'E1 Fleet'!$D$98</f>
        <v/>
      </c>
    </row>
    <row r="75">
      <c r="A75" t="inlineStr">
        <is>
          <t>SUV</t>
        </is>
      </c>
      <c r="B75" s="456" t="n">
        <v>22</v>
      </c>
      <c r="C75" s="456" t="n">
        <v>3</v>
      </c>
      <c r="D75" s="348">
        <f>IF($B75=0,'E1 Fleet'!$D$93,1)*EXP(-'E1 Fleet'!$D$94*MAX($B75-6,0))</f>
        <v/>
      </c>
      <c r="E75" s="350">
        <f>IFERROR(INDEX('D Fleet'!$D$5:$D$63,MATCH(E$3-$B75,'D Fleet'!$B$5:$B$63,0)),0)*IFERROR(INDEX('D Fleet'!$K$5:$K$36,INT(($B75/E$5))+1)+(($B75/E$5)-INT(($B75/E$5)))*(INDEX('D Fleet'!$K$5:$K$36,INT(($B75/E$5))+2)-INDEX('D Fleet'!$K$5:$K$36,INT(($B75/E$5))+1)),0)</f>
        <v/>
      </c>
      <c r="F75" s="350">
        <f>IFERROR(INDEX('D Fleet'!$D$5:$D$63,MATCH(F$3-$B75,'D Fleet'!$B$5:$B$63,0)),0)*IFERROR(INDEX('D Fleet'!$K$5:$K$36,INT(($B75/F$5))+1)+(($B75/F$5)-INT(($B75/F$5)))*(INDEX('D Fleet'!$K$5:$K$36,INT(($B75/F$5))+2)-INDEX('D Fleet'!$K$5:$K$36,INT(($B75/F$5))+1)),0)</f>
        <v/>
      </c>
      <c r="G75" s="350">
        <f>IFERROR(INDEX('D Fleet'!$D$5:$D$63,MATCH(G$3-$B75,'D Fleet'!$B$5:$B$63,0)),0)*IFERROR(INDEX('D Fleet'!$K$5:$K$36,INT(($B75/G$5))+1)+(($B75/G$5)-INT(($B75/G$5)))*(INDEX('D Fleet'!$K$5:$K$36,INT(($B75/G$5))+2)-INDEX('D Fleet'!$K$5:$K$36,INT(($B75/G$5))+1)),0)</f>
        <v/>
      </c>
      <c r="H75" s="350">
        <f>IFERROR(INDEX('D Fleet'!$D$5:$D$63,MATCH(H$3-$B75,'D Fleet'!$B$5:$B$63,0)),0)*IFERROR(INDEX('D Fleet'!$K$5:$K$36,INT(($B75/H$5))+1)+(($B75/H$5)-INT(($B75/H$5)))*(INDEX('D Fleet'!$K$5:$K$36,INT(($B75/H$5))+2)-INDEX('D Fleet'!$K$5:$K$36,INT(($B75/H$5))+1)),0)</f>
        <v/>
      </c>
      <c r="I75" s="350">
        <f>IFERROR(INDEX('D Fleet'!$D$5:$D$63,MATCH(I$3-$B75,'D Fleet'!$B$5:$B$63,0)),0)*IFERROR(INDEX('D Fleet'!$K$5:$K$36,INT(($B75/I$5))+1)+(($B75/I$5)-INT(($B75/I$5)))*(INDEX('D Fleet'!$K$5:$K$36,INT(($B75/I$5))+2)-INDEX('D Fleet'!$K$5:$K$36,INT(($B75/I$5))+1)),0)</f>
        <v/>
      </c>
      <c r="J75" s="350">
        <f>IFERROR(INDEX('D Fleet'!$D$5:$D$63,MATCH(J$3-$B75,'D Fleet'!$B$5:$B$63,0)),0)*IFERROR(INDEX('D Fleet'!$K$5:$K$36,INT(($B75/J$5))+1)+(($B75/J$5)-INT(($B75/J$5)))*(INDEX('D Fleet'!$K$5:$K$36,INT(($B75/J$5))+2)-INDEX('D Fleet'!$K$5:$K$36,INT(($B75/J$5))+1)),0)</f>
        <v/>
      </c>
      <c r="K75" s="350">
        <f>IFERROR(INDEX('D Fleet'!$D$5:$D$63,MATCH(K$3-$B75,'D Fleet'!$B$5:$B$63,0)),0)*IFERROR(INDEX('D Fleet'!$K$5:$K$36,INT(($B75/K$5))+1)+(($B75/K$5)-INT(($B75/K$5)))*(INDEX('D Fleet'!$K$5:$K$36,INT(($B75/K$5))+2)-INDEX('D Fleet'!$K$5:$K$36,INT(($B75/K$5))+1)),0)</f>
        <v/>
      </c>
      <c r="L75" s="350">
        <f>IFERROR(INDEX('D Fleet'!$D$5:$D$63,MATCH(L$3-$B75,'D Fleet'!$B$5:$B$63,0)),0)*IFERROR(INDEX('D Fleet'!$K$5:$K$36,INT(($B75/L$5))+1)+(($B75/L$5)-INT(($B75/L$5)))*(INDEX('D Fleet'!$K$5:$K$36,INT(($B75/L$5))+2)-INDEX('D Fleet'!$K$5:$K$36,INT(($B75/L$5))+1)),0)</f>
        <v/>
      </c>
      <c r="M75" s="350">
        <f>IFERROR(INDEX('D Fleet'!$D$5:$D$63,MATCH(M$3-$B75,'D Fleet'!$B$5:$B$63,0)),0)*IFERROR(INDEX('D Fleet'!$K$5:$K$36,INT(($B75/M$5))+1)+(($B75/M$5)-INT(($B75/M$5)))*(INDEX('D Fleet'!$K$5:$K$36,INT(($B75/M$5))+2)-INDEX('D Fleet'!$K$5:$K$36,INT(($B75/M$5))+1)),0)</f>
        <v/>
      </c>
      <c r="N75" s="350">
        <f>IFERROR(INDEX('D Fleet'!$D$5:$D$63,MATCH(N$3-$B75,'D Fleet'!$B$5:$B$63,0)),0)*IFERROR(INDEX('D Fleet'!$K$5:$K$36,INT(($B75/N$5))+1)+(($B75/N$5)-INT(($B75/N$5)))*(INDEX('D Fleet'!$K$5:$K$36,INT(($B75/N$5))+2)-INDEX('D Fleet'!$K$5:$K$36,INT(($B75/N$5))+1)),0)</f>
        <v/>
      </c>
      <c r="P75" s="350">
        <f>E75*$D75*'E1 Fleet'!$D$98</f>
        <v/>
      </c>
      <c r="Q75" s="350">
        <f>F75*$D75*'E1 Fleet'!$D$98</f>
        <v/>
      </c>
      <c r="R75" s="350">
        <f>G75*$D75*'E1 Fleet'!$D$98</f>
        <v/>
      </c>
      <c r="S75" s="350">
        <f>H75*$D75*'E1 Fleet'!$D$98</f>
        <v/>
      </c>
      <c r="T75" s="350">
        <f>I75*$D75*'E1 Fleet'!$D$98</f>
        <v/>
      </c>
      <c r="U75" s="350">
        <f>J75*$D75*'E1 Fleet'!$D$98</f>
        <v/>
      </c>
      <c r="V75" s="350">
        <f>K75*$D75*'E1 Fleet'!$D$98</f>
        <v/>
      </c>
      <c r="W75" s="350">
        <f>L75*$D75*'E1 Fleet'!$D$98</f>
        <v/>
      </c>
      <c r="X75" s="350">
        <f>M75*$D75*'E1 Fleet'!$D$98</f>
        <v/>
      </c>
      <c r="Y75" s="350">
        <f>N75*$D75*'E1 Fleet'!$D$98</f>
        <v/>
      </c>
    </row>
    <row r="76">
      <c r="A76" t="inlineStr">
        <is>
          <t>SUV</t>
        </is>
      </c>
      <c r="B76" s="456" t="n">
        <v>23</v>
      </c>
      <c r="C76" s="456" t="n">
        <v>3</v>
      </c>
      <c r="D76" s="348">
        <f>IF($B76=0,'E1 Fleet'!$D$93,1)*EXP(-'E1 Fleet'!$D$94*MAX($B76-6,0))</f>
        <v/>
      </c>
      <c r="E76" s="350">
        <f>IFERROR(INDEX('D Fleet'!$D$5:$D$63,MATCH(E$3-$B76,'D Fleet'!$B$5:$B$63,0)),0)*IFERROR(INDEX('D Fleet'!$K$5:$K$36,INT(($B76/E$5))+1)+(($B76/E$5)-INT(($B76/E$5)))*(INDEX('D Fleet'!$K$5:$K$36,INT(($B76/E$5))+2)-INDEX('D Fleet'!$K$5:$K$36,INT(($B76/E$5))+1)),0)</f>
        <v/>
      </c>
      <c r="F76" s="350">
        <f>IFERROR(INDEX('D Fleet'!$D$5:$D$63,MATCH(F$3-$B76,'D Fleet'!$B$5:$B$63,0)),0)*IFERROR(INDEX('D Fleet'!$K$5:$K$36,INT(($B76/F$5))+1)+(($B76/F$5)-INT(($B76/F$5)))*(INDEX('D Fleet'!$K$5:$K$36,INT(($B76/F$5))+2)-INDEX('D Fleet'!$K$5:$K$36,INT(($B76/F$5))+1)),0)</f>
        <v/>
      </c>
      <c r="G76" s="350">
        <f>IFERROR(INDEX('D Fleet'!$D$5:$D$63,MATCH(G$3-$B76,'D Fleet'!$B$5:$B$63,0)),0)*IFERROR(INDEX('D Fleet'!$K$5:$K$36,INT(($B76/G$5))+1)+(($B76/G$5)-INT(($B76/G$5)))*(INDEX('D Fleet'!$K$5:$K$36,INT(($B76/G$5))+2)-INDEX('D Fleet'!$K$5:$K$36,INT(($B76/G$5))+1)),0)</f>
        <v/>
      </c>
      <c r="H76" s="350">
        <f>IFERROR(INDEX('D Fleet'!$D$5:$D$63,MATCH(H$3-$B76,'D Fleet'!$B$5:$B$63,0)),0)*IFERROR(INDEX('D Fleet'!$K$5:$K$36,INT(($B76/H$5))+1)+(($B76/H$5)-INT(($B76/H$5)))*(INDEX('D Fleet'!$K$5:$K$36,INT(($B76/H$5))+2)-INDEX('D Fleet'!$K$5:$K$36,INT(($B76/H$5))+1)),0)</f>
        <v/>
      </c>
      <c r="I76" s="350">
        <f>IFERROR(INDEX('D Fleet'!$D$5:$D$63,MATCH(I$3-$B76,'D Fleet'!$B$5:$B$63,0)),0)*IFERROR(INDEX('D Fleet'!$K$5:$K$36,INT(($B76/I$5))+1)+(($B76/I$5)-INT(($B76/I$5)))*(INDEX('D Fleet'!$K$5:$K$36,INT(($B76/I$5))+2)-INDEX('D Fleet'!$K$5:$K$36,INT(($B76/I$5))+1)),0)</f>
        <v/>
      </c>
      <c r="J76" s="350">
        <f>IFERROR(INDEX('D Fleet'!$D$5:$D$63,MATCH(J$3-$B76,'D Fleet'!$B$5:$B$63,0)),0)*IFERROR(INDEX('D Fleet'!$K$5:$K$36,INT(($B76/J$5))+1)+(($B76/J$5)-INT(($B76/J$5)))*(INDEX('D Fleet'!$K$5:$K$36,INT(($B76/J$5))+2)-INDEX('D Fleet'!$K$5:$K$36,INT(($B76/J$5))+1)),0)</f>
        <v/>
      </c>
      <c r="K76" s="350">
        <f>IFERROR(INDEX('D Fleet'!$D$5:$D$63,MATCH(K$3-$B76,'D Fleet'!$B$5:$B$63,0)),0)*IFERROR(INDEX('D Fleet'!$K$5:$K$36,INT(($B76/K$5))+1)+(($B76/K$5)-INT(($B76/K$5)))*(INDEX('D Fleet'!$K$5:$K$36,INT(($B76/K$5))+2)-INDEX('D Fleet'!$K$5:$K$36,INT(($B76/K$5))+1)),0)</f>
        <v/>
      </c>
      <c r="L76" s="350">
        <f>IFERROR(INDEX('D Fleet'!$D$5:$D$63,MATCH(L$3-$B76,'D Fleet'!$B$5:$B$63,0)),0)*IFERROR(INDEX('D Fleet'!$K$5:$K$36,INT(($B76/L$5))+1)+(($B76/L$5)-INT(($B76/L$5)))*(INDEX('D Fleet'!$K$5:$K$36,INT(($B76/L$5))+2)-INDEX('D Fleet'!$K$5:$K$36,INT(($B76/L$5))+1)),0)</f>
        <v/>
      </c>
      <c r="M76" s="350">
        <f>IFERROR(INDEX('D Fleet'!$D$5:$D$63,MATCH(M$3-$B76,'D Fleet'!$B$5:$B$63,0)),0)*IFERROR(INDEX('D Fleet'!$K$5:$K$36,INT(($B76/M$5))+1)+(($B76/M$5)-INT(($B76/M$5)))*(INDEX('D Fleet'!$K$5:$K$36,INT(($B76/M$5))+2)-INDEX('D Fleet'!$K$5:$K$36,INT(($B76/M$5))+1)),0)</f>
        <v/>
      </c>
      <c r="N76" s="350">
        <f>IFERROR(INDEX('D Fleet'!$D$5:$D$63,MATCH(N$3-$B76,'D Fleet'!$B$5:$B$63,0)),0)*IFERROR(INDEX('D Fleet'!$K$5:$K$36,INT(($B76/N$5))+1)+(($B76/N$5)-INT(($B76/N$5)))*(INDEX('D Fleet'!$K$5:$K$36,INT(($B76/N$5))+2)-INDEX('D Fleet'!$K$5:$K$36,INT(($B76/N$5))+1)),0)</f>
        <v/>
      </c>
      <c r="P76" s="350">
        <f>E76*$D76*'E1 Fleet'!$D$98</f>
        <v/>
      </c>
      <c r="Q76" s="350">
        <f>F76*$D76*'E1 Fleet'!$D$98</f>
        <v/>
      </c>
      <c r="R76" s="350">
        <f>G76*$D76*'E1 Fleet'!$D$98</f>
        <v/>
      </c>
      <c r="S76" s="350">
        <f>H76*$D76*'E1 Fleet'!$D$98</f>
        <v/>
      </c>
      <c r="T76" s="350">
        <f>I76*$D76*'E1 Fleet'!$D$98</f>
        <v/>
      </c>
      <c r="U76" s="350">
        <f>J76*$D76*'E1 Fleet'!$D$98</f>
        <v/>
      </c>
      <c r="V76" s="350">
        <f>K76*$D76*'E1 Fleet'!$D$98</f>
        <v/>
      </c>
      <c r="W76" s="350">
        <f>L76*$D76*'E1 Fleet'!$D$98</f>
        <v/>
      </c>
      <c r="X76" s="350">
        <f>M76*$D76*'E1 Fleet'!$D$98</f>
        <v/>
      </c>
      <c r="Y76" s="350">
        <f>N76*$D76*'E1 Fleet'!$D$98</f>
        <v/>
      </c>
    </row>
    <row r="77">
      <c r="A77" t="inlineStr">
        <is>
          <t>SUV</t>
        </is>
      </c>
      <c r="B77" s="456" t="n">
        <v>24</v>
      </c>
      <c r="C77" s="456" t="n">
        <v>3</v>
      </c>
      <c r="D77" s="348">
        <f>IF($B77=0,'E1 Fleet'!$D$93,1)*EXP(-'E1 Fleet'!$D$94*MAX($B77-6,0))</f>
        <v/>
      </c>
      <c r="E77" s="350">
        <f>IFERROR(INDEX('D Fleet'!$D$5:$D$63,MATCH(E$3-$B77,'D Fleet'!$B$5:$B$63,0)),0)*IFERROR(INDEX('D Fleet'!$K$5:$K$36,INT(($B77/E$5))+1)+(($B77/E$5)-INT(($B77/E$5)))*(INDEX('D Fleet'!$K$5:$K$36,INT(($B77/E$5))+2)-INDEX('D Fleet'!$K$5:$K$36,INT(($B77/E$5))+1)),0)</f>
        <v/>
      </c>
      <c r="F77" s="350">
        <f>IFERROR(INDEX('D Fleet'!$D$5:$D$63,MATCH(F$3-$B77,'D Fleet'!$B$5:$B$63,0)),0)*IFERROR(INDEX('D Fleet'!$K$5:$K$36,INT(($B77/F$5))+1)+(($B77/F$5)-INT(($B77/F$5)))*(INDEX('D Fleet'!$K$5:$K$36,INT(($B77/F$5))+2)-INDEX('D Fleet'!$K$5:$K$36,INT(($B77/F$5))+1)),0)</f>
        <v/>
      </c>
      <c r="G77" s="350">
        <f>IFERROR(INDEX('D Fleet'!$D$5:$D$63,MATCH(G$3-$B77,'D Fleet'!$B$5:$B$63,0)),0)*IFERROR(INDEX('D Fleet'!$K$5:$K$36,INT(($B77/G$5))+1)+(($B77/G$5)-INT(($B77/G$5)))*(INDEX('D Fleet'!$K$5:$K$36,INT(($B77/G$5))+2)-INDEX('D Fleet'!$K$5:$K$36,INT(($B77/G$5))+1)),0)</f>
        <v/>
      </c>
      <c r="H77" s="350">
        <f>IFERROR(INDEX('D Fleet'!$D$5:$D$63,MATCH(H$3-$B77,'D Fleet'!$B$5:$B$63,0)),0)*IFERROR(INDEX('D Fleet'!$K$5:$K$36,INT(($B77/H$5))+1)+(($B77/H$5)-INT(($B77/H$5)))*(INDEX('D Fleet'!$K$5:$K$36,INT(($B77/H$5))+2)-INDEX('D Fleet'!$K$5:$K$36,INT(($B77/H$5))+1)),0)</f>
        <v/>
      </c>
      <c r="I77" s="350">
        <f>IFERROR(INDEX('D Fleet'!$D$5:$D$63,MATCH(I$3-$B77,'D Fleet'!$B$5:$B$63,0)),0)*IFERROR(INDEX('D Fleet'!$K$5:$K$36,INT(($B77/I$5))+1)+(($B77/I$5)-INT(($B77/I$5)))*(INDEX('D Fleet'!$K$5:$K$36,INT(($B77/I$5))+2)-INDEX('D Fleet'!$K$5:$K$36,INT(($B77/I$5))+1)),0)</f>
        <v/>
      </c>
      <c r="J77" s="350">
        <f>IFERROR(INDEX('D Fleet'!$D$5:$D$63,MATCH(J$3-$B77,'D Fleet'!$B$5:$B$63,0)),0)*IFERROR(INDEX('D Fleet'!$K$5:$K$36,INT(($B77/J$5))+1)+(($B77/J$5)-INT(($B77/J$5)))*(INDEX('D Fleet'!$K$5:$K$36,INT(($B77/J$5))+2)-INDEX('D Fleet'!$K$5:$K$36,INT(($B77/J$5))+1)),0)</f>
        <v/>
      </c>
      <c r="K77" s="350">
        <f>IFERROR(INDEX('D Fleet'!$D$5:$D$63,MATCH(K$3-$B77,'D Fleet'!$B$5:$B$63,0)),0)*IFERROR(INDEX('D Fleet'!$K$5:$K$36,INT(($B77/K$5))+1)+(($B77/K$5)-INT(($B77/K$5)))*(INDEX('D Fleet'!$K$5:$K$36,INT(($B77/K$5))+2)-INDEX('D Fleet'!$K$5:$K$36,INT(($B77/K$5))+1)),0)</f>
        <v/>
      </c>
      <c r="L77" s="350">
        <f>IFERROR(INDEX('D Fleet'!$D$5:$D$63,MATCH(L$3-$B77,'D Fleet'!$B$5:$B$63,0)),0)*IFERROR(INDEX('D Fleet'!$K$5:$K$36,INT(($B77/L$5))+1)+(($B77/L$5)-INT(($B77/L$5)))*(INDEX('D Fleet'!$K$5:$K$36,INT(($B77/L$5))+2)-INDEX('D Fleet'!$K$5:$K$36,INT(($B77/L$5))+1)),0)</f>
        <v/>
      </c>
      <c r="M77" s="350">
        <f>IFERROR(INDEX('D Fleet'!$D$5:$D$63,MATCH(M$3-$B77,'D Fleet'!$B$5:$B$63,0)),0)*IFERROR(INDEX('D Fleet'!$K$5:$K$36,INT(($B77/M$5))+1)+(($B77/M$5)-INT(($B77/M$5)))*(INDEX('D Fleet'!$K$5:$K$36,INT(($B77/M$5))+2)-INDEX('D Fleet'!$K$5:$K$36,INT(($B77/M$5))+1)),0)</f>
        <v/>
      </c>
      <c r="N77" s="350">
        <f>IFERROR(INDEX('D Fleet'!$D$5:$D$63,MATCH(N$3-$B77,'D Fleet'!$B$5:$B$63,0)),0)*IFERROR(INDEX('D Fleet'!$K$5:$K$36,INT(($B77/N$5))+1)+(($B77/N$5)-INT(($B77/N$5)))*(INDEX('D Fleet'!$K$5:$K$36,INT(($B77/N$5))+2)-INDEX('D Fleet'!$K$5:$K$36,INT(($B77/N$5))+1)),0)</f>
        <v/>
      </c>
      <c r="P77" s="350">
        <f>E77*$D77*'E1 Fleet'!$D$98</f>
        <v/>
      </c>
      <c r="Q77" s="350">
        <f>F77*$D77*'E1 Fleet'!$D$98</f>
        <v/>
      </c>
      <c r="R77" s="350">
        <f>G77*$D77*'E1 Fleet'!$D$98</f>
        <v/>
      </c>
      <c r="S77" s="350">
        <f>H77*$D77*'E1 Fleet'!$D$98</f>
        <v/>
      </c>
      <c r="T77" s="350">
        <f>I77*$D77*'E1 Fleet'!$D$98</f>
        <v/>
      </c>
      <c r="U77" s="350">
        <f>J77*$D77*'E1 Fleet'!$D$98</f>
        <v/>
      </c>
      <c r="V77" s="350">
        <f>K77*$D77*'E1 Fleet'!$D$98</f>
        <v/>
      </c>
      <c r="W77" s="350">
        <f>L77*$D77*'E1 Fleet'!$D$98</f>
        <v/>
      </c>
      <c r="X77" s="350">
        <f>M77*$D77*'E1 Fleet'!$D$98</f>
        <v/>
      </c>
      <c r="Y77" s="350">
        <f>N77*$D77*'E1 Fleet'!$D$98</f>
        <v/>
      </c>
    </row>
    <row r="78">
      <c r="A78" t="inlineStr">
        <is>
          <t>SUV</t>
        </is>
      </c>
      <c r="B78" s="456" t="n">
        <v>25</v>
      </c>
      <c r="C78" s="456" t="n">
        <v>3</v>
      </c>
      <c r="D78" s="348">
        <f>IF($B78=0,'E1 Fleet'!$D$93,1)*EXP(-'E1 Fleet'!$D$94*MAX($B78-6,0))</f>
        <v/>
      </c>
      <c r="E78" s="350">
        <f>IFERROR(INDEX('D Fleet'!$D$5:$D$63,MATCH(E$3-$B78,'D Fleet'!$B$5:$B$63,0)),0)*IFERROR(INDEX('D Fleet'!$K$5:$K$36,INT(($B78/E$5))+1)+(($B78/E$5)-INT(($B78/E$5)))*(INDEX('D Fleet'!$K$5:$K$36,INT(($B78/E$5))+2)-INDEX('D Fleet'!$K$5:$K$36,INT(($B78/E$5))+1)),0)</f>
        <v/>
      </c>
      <c r="F78" s="350">
        <f>IFERROR(INDEX('D Fleet'!$D$5:$D$63,MATCH(F$3-$B78,'D Fleet'!$B$5:$B$63,0)),0)*IFERROR(INDEX('D Fleet'!$K$5:$K$36,INT(($B78/F$5))+1)+(($B78/F$5)-INT(($B78/F$5)))*(INDEX('D Fleet'!$K$5:$K$36,INT(($B78/F$5))+2)-INDEX('D Fleet'!$K$5:$K$36,INT(($B78/F$5))+1)),0)</f>
        <v/>
      </c>
      <c r="G78" s="350">
        <f>IFERROR(INDEX('D Fleet'!$D$5:$D$63,MATCH(G$3-$B78,'D Fleet'!$B$5:$B$63,0)),0)*IFERROR(INDEX('D Fleet'!$K$5:$K$36,INT(($B78/G$5))+1)+(($B78/G$5)-INT(($B78/G$5)))*(INDEX('D Fleet'!$K$5:$K$36,INT(($B78/G$5))+2)-INDEX('D Fleet'!$K$5:$K$36,INT(($B78/G$5))+1)),0)</f>
        <v/>
      </c>
      <c r="H78" s="350">
        <f>IFERROR(INDEX('D Fleet'!$D$5:$D$63,MATCH(H$3-$B78,'D Fleet'!$B$5:$B$63,0)),0)*IFERROR(INDEX('D Fleet'!$K$5:$K$36,INT(($B78/H$5))+1)+(($B78/H$5)-INT(($B78/H$5)))*(INDEX('D Fleet'!$K$5:$K$36,INT(($B78/H$5))+2)-INDEX('D Fleet'!$K$5:$K$36,INT(($B78/H$5))+1)),0)</f>
        <v/>
      </c>
      <c r="I78" s="350">
        <f>IFERROR(INDEX('D Fleet'!$D$5:$D$63,MATCH(I$3-$B78,'D Fleet'!$B$5:$B$63,0)),0)*IFERROR(INDEX('D Fleet'!$K$5:$K$36,INT(($B78/I$5))+1)+(($B78/I$5)-INT(($B78/I$5)))*(INDEX('D Fleet'!$K$5:$K$36,INT(($B78/I$5))+2)-INDEX('D Fleet'!$K$5:$K$36,INT(($B78/I$5))+1)),0)</f>
        <v/>
      </c>
      <c r="J78" s="350">
        <f>IFERROR(INDEX('D Fleet'!$D$5:$D$63,MATCH(J$3-$B78,'D Fleet'!$B$5:$B$63,0)),0)*IFERROR(INDEX('D Fleet'!$K$5:$K$36,INT(($B78/J$5))+1)+(($B78/J$5)-INT(($B78/J$5)))*(INDEX('D Fleet'!$K$5:$K$36,INT(($B78/J$5))+2)-INDEX('D Fleet'!$K$5:$K$36,INT(($B78/J$5))+1)),0)</f>
        <v/>
      </c>
      <c r="K78" s="350">
        <f>IFERROR(INDEX('D Fleet'!$D$5:$D$63,MATCH(K$3-$B78,'D Fleet'!$B$5:$B$63,0)),0)*IFERROR(INDEX('D Fleet'!$K$5:$K$36,INT(($B78/K$5))+1)+(($B78/K$5)-INT(($B78/K$5)))*(INDEX('D Fleet'!$K$5:$K$36,INT(($B78/K$5))+2)-INDEX('D Fleet'!$K$5:$K$36,INT(($B78/K$5))+1)),0)</f>
        <v/>
      </c>
      <c r="L78" s="350">
        <f>IFERROR(INDEX('D Fleet'!$D$5:$D$63,MATCH(L$3-$B78,'D Fleet'!$B$5:$B$63,0)),0)*IFERROR(INDEX('D Fleet'!$K$5:$K$36,INT(($B78/L$5))+1)+(($B78/L$5)-INT(($B78/L$5)))*(INDEX('D Fleet'!$K$5:$K$36,INT(($B78/L$5))+2)-INDEX('D Fleet'!$K$5:$K$36,INT(($B78/L$5))+1)),0)</f>
        <v/>
      </c>
      <c r="M78" s="350">
        <f>IFERROR(INDEX('D Fleet'!$D$5:$D$63,MATCH(M$3-$B78,'D Fleet'!$B$5:$B$63,0)),0)*IFERROR(INDEX('D Fleet'!$K$5:$K$36,INT(($B78/M$5))+1)+(($B78/M$5)-INT(($B78/M$5)))*(INDEX('D Fleet'!$K$5:$K$36,INT(($B78/M$5))+2)-INDEX('D Fleet'!$K$5:$K$36,INT(($B78/M$5))+1)),0)</f>
        <v/>
      </c>
      <c r="N78" s="350">
        <f>IFERROR(INDEX('D Fleet'!$D$5:$D$63,MATCH(N$3-$B78,'D Fleet'!$B$5:$B$63,0)),0)*IFERROR(INDEX('D Fleet'!$K$5:$K$36,INT(($B78/N$5))+1)+(($B78/N$5)-INT(($B78/N$5)))*(INDEX('D Fleet'!$K$5:$K$36,INT(($B78/N$5))+2)-INDEX('D Fleet'!$K$5:$K$36,INT(($B78/N$5))+1)),0)</f>
        <v/>
      </c>
      <c r="P78" s="350">
        <f>E78*$D78*'E1 Fleet'!$D$98</f>
        <v/>
      </c>
      <c r="Q78" s="350">
        <f>F78*$D78*'E1 Fleet'!$D$98</f>
        <v/>
      </c>
      <c r="R78" s="350">
        <f>G78*$D78*'E1 Fleet'!$D$98</f>
        <v/>
      </c>
      <c r="S78" s="350">
        <f>H78*$D78*'E1 Fleet'!$D$98</f>
        <v/>
      </c>
      <c r="T78" s="350">
        <f>I78*$D78*'E1 Fleet'!$D$98</f>
        <v/>
      </c>
      <c r="U78" s="350">
        <f>J78*$D78*'E1 Fleet'!$D$98</f>
        <v/>
      </c>
      <c r="V78" s="350">
        <f>K78*$D78*'E1 Fleet'!$D$98</f>
        <v/>
      </c>
      <c r="W78" s="350">
        <f>L78*$D78*'E1 Fleet'!$D$98</f>
        <v/>
      </c>
      <c r="X78" s="350">
        <f>M78*$D78*'E1 Fleet'!$D$98</f>
        <v/>
      </c>
      <c r="Y78" s="350">
        <f>N78*$D78*'E1 Fleet'!$D$98</f>
        <v/>
      </c>
    </row>
    <row r="79">
      <c r="A79" t="inlineStr">
        <is>
          <t>SUV</t>
        </is>
      </c>
      <c r="B79" s="456" t="n">
        <v>26</v>
      </c>
      <c r="C79" s="456" t="n">
        <v>3</v>
      </c>
      <c r="D79" s="348">
        <f>IF($B79=0,'E1 Fleet'!$D$93,1)*EXP(-'E1 Fleet'!$D$94*MAX($B79-6,0))</f>
        <v/>
      </c>
      <c r="E79" s="350">
        <f>IFERROR(INDEX('D Fleet'!$D$5:$D$63,MATCH(E$3-$B79,'D Fleet'!$B$5:$B$63,0)),0)*IFERROR(INDEX('D Fleet'!$K$5:$K$36,INT(($B79/E$5))+1)+(($B79/E$5)-INT(($B79/E$5)))*(INDEX('D Fleet'!$K$5:$K$36,INT(($B79/E$5))+2)-INDEX('D Fleet'!$K$5:$K$36,INT(($B79/E$5))+1)),0)</f>
        <v/>
      </c>
      <c r="F79" s="350">
        <f>IFERROR(INDEX('D Fleet'!$D$5:$D$63,MATCH(F$3-$B79,'D Fleet'!$B$5:$B$63,0)),0)*IFERROR(INDEX('D Fleet'!$K$5:$K$36,INT(($B79/F$5))+1)+(($B79/F$5)-INT(($B79/F$5)))*(INDEX('D Fleet'!$K$5:$K$36,INT(($B79/F$5))+2)-INDEX('D Fleet'!$K$5:$K$36,INT(($B79/F$5))+1)),0)</f>
        <v/>
      </c>
      <c r="G79" s="350">
        <f>IFERROR(INDEX('D Fleet'!$D$5:$D$63,MATCH(G$3-$B79,'D Fleet'!$B$5:$B$63,0)),0)*IFERROR(INDEX('D Fleet'!$K$5:$K$36,INT(($B79/G$5))+1)+(($B79/G$5)-INT(($B79/G$5)))*(INDEX('D Fleet'!$K$5:$K$36,INT(($B79/G$5))+2)-INDEX('D Fleet'!$K$5:$K$36,INT(($B79/G$5))+1)),0)</f>
        <v/>
      </c>
      <c r="H79" s="350">
        <f>IFERROR(INDEX('D Fleet'!$D$5:$D$63,MATCH(H$3-$B79,'D Fleet'!$B$5:$B$63,0)),0)*IFERROR(INDEX('D Fleet'!$K$5:$K$36,INT(($B79/H$5))+1)+(($B79/H$5)-INT(($B79/H$5)))*(INDEX('D Fleet'!$K$5:$K$36,INT(($B79/H$5))+2)-INDEX('D Fleet'!$K$5:$K$36,INT(($B79/H$5))+1)),0)</f>
        <v/>
      </c>
      <c r="I79" s="350">
        <f>IFERROR(INDEX('D Fleet'!$D$5:$D$63,MATCH(I$3-$B79,'D Fleet'!$B$5:$B$63,0)),0)*IFERROR(INDEX('D Fleet'!$K$5:$K$36,INT(($B79/I$5))+1)+(($B79/I$5)-INT(($B79/I$5)))*(INDEX('D Fleet'!$K$5:$K$36,INT(($B79/I$5))+2)-INDEX('D Fleet'!$K$5:$K$36,INT(($B79/I$5))+1)),0)</f>
        <v/>
      </c>
      <c r="J79" s="350">
        <f>IFERROR(INDEX('D Fleet'!$D$5:$D$63,MATCH(J$3-$B79,'D Fleet'!$B$5:$B$63,0)),0)*IFERROR(INDEX('D Fleet'!$K$5:$K$36,INT(($B79/J$5))+1)+(($B79/J$5)-INT(($B79/J$5)))*(INDEX('D Fleet'!$K$5:$K$36,INT(($B79/J$5))+2)-INDEX('D Fleet'!$K$5:$K$36,INT(($B79/J$5))+1)),0)</f>
        <v/>
      </c>
      <c r="K79" s="350">
        <f>IFERROR(INDEX('D Fleet'!$D$5:$D$63,MATCH(K$3-$B79,'D Fleet'!$B$5:$B$63,0)),0)*IFERROR(INDEX('D Fleet'!$K$5:$K$36,INT(($B79/K$5))+1)+(($B79/K$5)-INT(($B79/K$5)))*(INDEX('D Fleet'!$K$5:$K$36,INT(($B79/K$5))+2)-INDEX('D Fleet'!$K$5:$K$36,INT(($B79/K$5))+1)),0)</f>
        <v/>
      </c>
      <c r="L79" s="350">
        <f>IFERROR(INDEX('D Fleet'!$D$5:$D$63,MATCH(L$3-$B79,'D Fleet'!$B$5:$B$63,0)),0)*IFERROR(INDEX('D Fleet'!$K$5:$K$36,INT(($B79/L$5))+1)+(($B79/L$5)-INT(($B79/L$5)))*(INDEX('D Fleet'!$K$5:$K$36,INT(($B79/L$5))+2)-INDEX('D Fleet'!$K$5:$K$36,INT(($B79/L$5))+1)),0)</f>
        <v/>
      </c>
      <c r="M79" s="350">
        <f>IFERROR(INDEX('D Fleet'!$D$5:$D$63,MATCH(M$3-$B79,'D Fleet'!$B$5:$B$63,0)),0)*IFERROR(INDEX('D Fleet'!$K$5:$K$36,INT(($B79/M$5))+1)+(($B79/M$5)-INT(($B79/M$5)))*(INDEX('D Fleet'!$K$5:$K$36,INT(($B79/M$5))+2)-INDEX('D Fleet'!$K$5:$K$36,INT(($B79/M$5))+1)),0)</f>
        <v/>
      </c>
      <c r="N79" s="350">
        <f>IFERROR(INDEX('D Fleet'!$D$5:$D$63,MATCH(N$3-$B79,'D Fleet'!$B$5:$B$63,0)),0)*IFERROR(INDEX('D Fleet'!$K$5:$K$36,INT(($B79/N$5))+1)+(($B79/N$5)-INT(($B79/N$5)))*(INDEX('D Fleet'!$K$5:$K$36,INT(($B79/N$5))+2)-INDEX('D Fleet'!$K$5:$K$36,INT(($B79/N$5))+1)),0)</f>
        <v/>
      </c>
      <c r="P79" s="350">
        <f>E79*$D79*'E1 Fleet'!$D$98</f>
        <v/>
      </c>
      <c r="Q79" s="350">
        <f>F79*$D79*'E1 Fleet'!$D$98</f>
        <v/>
      </c>
      <c r="R79" s="350">
        <f>G79*$D79*'E1 Fleet'!$D$98</f>
        <v/>
      </c>
      <c r="S79" s="350">
        <f>H79*$D79*'E1 Fleet'!$D$98</f>
        <v/>
      </c>
      <c r="T79" s="350">
        <f>I79*$D79*'E1 Fleet'!$D$98</f>
        <v/>
      </c>
      <c r="U79" s="350">
        <f>J79*$D79*'E1 Fleet'!$D$98</f>
        <v/>
      </c>
      <c r="V79" s="350">
        <f>K79*$D79*'E1 Fleet'!$D$98</f>
        <v/>
      </c>
      <c r="W79" s="350">
        <f>L79*$D79*'E1 Fleet'!$D$98</f>
        <v/>
      </c>
      <c r="X79" s="350">
        <f>M79*$D79*'E1 Fleet'!$D$98</f>
        <v/>
      </c>
      <c r="Y79" s="350">
        <f>N79*$D79*'E1 Fleet'!$D$98</f>
        <v/>
      </c>
    </row>
    <row r="80">
      <c r="A80" t="inlineStr">
        <is>
          <t>SUV</t>
        </is>
      </c>
      <c r="B80" s="456" t="n">
        <v>27</v>
      </c>
      <c r="C80" s="456" t="n">
        <v>3</v>
      </c>
      <c r="D80" s="348">
        <f>IF($B80=0,'E1 Fleet'!$D$93,1)*EXP(-'E1 Fleet'!$D$94*MAX($B80-6,0))</f>
        <v/>
      </c>
      <c r="E80" s="350">
        <f>IFERROR(INDEX('D Fleet'!$D$5:$D$63,MATCH(E$3-$B80,'D Fleet'!$B$5:$B$63,0)),0)*IFERROR(INDEX('D Fleet'!$K$5:$K$36,INT(($B80/E$5))+1)+(($B80/E$5)-INT(($B80/E$5)))*(INDEX('D Fleet'!$K$5:$K$36,INT(($B80/E$5))+2)-INDEX('D Fleet'!$K$5:$K$36,INT(($B80/E$5))+1)),0)</f>
        <v/>
      </c>
      <c r="F80" s="350">
        <f>IFERROR(INDEX('D Fleet'!$D$5:$D$63,MATCH(F$3-$B80,'D Fleet'!$B$5:$B$63,0)),0)*IFERROR(INDEX('D Fleet'!$K$5:$K$36,INT(($B80/F$5))+1)+(($B80/F$5)-INT(($B80/F$5)))*(INDEX('D Fleet'!$K$5:$K$36,INT(($B80/F$5))+2)-INDEX('D Fleet'!$K$5:$K$36,INT(($B80/F$5))+1)),0)</f>
        <v/>
      </c>
      <c r="G80" s="350">
        <f>IFERROR(INDEX('D Fleet'!$D$5:$D$63,MATCH(G$3-$B80,'D Fleet'!$B$5:$B$63,0)),0)*IFERROR(INDEX('D Fleet'!$K$5:$K$36,INT(($B80/G$5))+1)+(($B80/G$5)-INT(($B80/G$5)))*(INDEX('D Fleet'!$K$5:$K$36,INT(($B80/G$5))+2)-INDEX('D Fleet'!$K$5:$K$36,INT(($B80/G$5))+1)),0)</f>
        <v/>
      </c>
      <c r="H80" s="350">
        <f>IFERROR(INDEX('D Fleet'!$D$5:$D$63,MATCH(H$3-$B80,'D Fleet'!$B$5:$B$63,0)),0)*IFERROR(INDEX('D Fleet'!$K$5:$K$36,INT(($B80/H$5))+1)+(($B80/H$5)-INT(($B80/H$5)))*(INDEX('D Fleet'!$K$5:$K$36,INT(($B80/H$5))+2)-INDEX('D Fleet'!$K$5:$K$36,INT(($B80/H$5))+1)),0)</f>
        <v/>
      </c>
      <c r="I80" s="350">
        <f>IFERROR(INDEX('D Fleet'!$D$5:$D$63,MATCH(I$3-$B80,'D Fleet'!$B$5:$B$63,0)),0)*IFERROR(INDEX('D Fleet'!$K$5:$K$36,INT(($B80/I$5))+1)+(($B80/I$5)-INT(($B80/I$5)))*(INDEX('D Fleet'!$K$5:$K$36,INT(($B80/I$5))+2)-INDEX('D Fleet'!$K$5:$K$36,INT(($B80/I$5))+1)),0)</f>
        <v/>
      </c>
      <c r="J80" s="350">
        <f>IFERROR(INDEX('D Fleet'!$D$5:$D$63,MATCH(J$3-$B80,'D Fleet'!$B$5:$B$63,0)),0)*IFERROR(INDEX('D Fleet'!$K$5:$K$36,INT(($B80/J$5))+1)+(($B80/J$5)-INT(($B80/J$5)))*(INDEX('D Fleet'!$K$5:$K$36,INT(($B80/J$5))+2)-INDEX('D Fleet'!$K$5:$K$36,INT(($B80/J$5))+1)),0)</f>
        <v/>
      </c>
      <c r="K80" s="350">
        <f>IFERROR(INDEX('D Fleet'!$D$5:$D$63,MATCH(K$3-$B80,'D Fleet'!$B$5:$B$63,0)),0)*IFERROR(INDEX('D Fleet'!$K$5:$K$36,INT(($B80/K$5))+1)+(($B80/K$5)-INT(($B80/K$5)))*(INDEX('D Fleet'!$K$5:$K$36,INT(($B80/K$5))+2)-INDEX('D Fleet'!$K$5:$K$36,INT(($B80/K$5))+1)),0)</f>
        <v/>
      </c>
      <c r="L80" s="350">
        <f>IFERROR(INDEX('D Fleet'!$D$5:$D$63,MATCH(L$3-$B80,'D Fleet'!$B$5:$B$63,0)),0)*IFERROR(INDEX('D Fleet'!$K$5:$K$36,INT(($B80/L$5))+1)+(($B80/L$5)-INT(($B80/L$5)))*(INDEX('D Fleet'!$K$5:$K$36,INT(($B80/L$5))+2)-INDEX('D Fleet'!$K$5:$K$36,INT(($B80/L$5))+1)),0)</f>
        <v/>
      </c>
      <c r="M80" s="350">
        <f>IFERROR(INDEX('D Fleet'!$D$5:$D$63,MATCH(M$3-$B80,'D Fleet'!$B$5:$B$63,0)),0)*IFERROR(INDEX('D Fleet'!$K$5:$K$36,INT(($B80/M$5))+1)+(($B80/M$5)-INT(($B80/M$5)))*(INDEX('D Fleet'!$K$5:$K$36,INT(($B80/M$5))+2)-INDEX('D Fleet'!$K$5:$K$36,INT(($B80/M$5))+1)),0)</f>
        <v/>
      </c>
      <c r="N80" s="350">
        <f>IFERROR(INDEX('D Fleet'!$D$5:$D$63,MATCH(N$3-$B80,'D Fleet'!$B$5:$B$63,0)),0)*IFERROR(INDEX('D Fleet'!$K$5:$K$36,INT(($B80/N$5))+1)+(($B80/N$5)-INT(($B80/N$5)))*(INDEX('D Fleet'!$K$5:$K$36,INT(($B80/N$5))+2)-INDEX('D Fleet'!$K$5:$K$36,INT(($B80/N$5))+1)),0)</f>
        <v/>
      </c>
      <c r="P80" s="350">
        <f>E80*$D80*'E1 Fleet'!$D$98</f>
        <v/>
      </c>
      <c r="Q80" s="350">
        <f>F80*$D80*'E1 Fleet'!$D$98</f>
        <v/>
      </c>
      <c r="R80" s="350">
        <f>G80*$D80*'E1 Fleet'!$D$98</f>
        <v/>
      </c>
      <c r="S80" s="350">
        <f>H80*$D80*'E1 Fleet'!$D$98</f>
        <v/>
      </c>
      <c r="T80" s="350">
        <f>I80*$D80*'E1 Fleet'!$D$98</f>
        <v/>
      </c>
      <c r="U80" s="350">
        <f>J80*$D80*'E1 Fleet'!$D$98</f>
        <v/>
      </c>
      <c r="V80" s="350">
        <f>K80*$D80*'E1 Fleet'!$D$98</f>
        <v/>
      </c>
      <c r="W80" s="350">
        <f>L80*$D80*'E1 Fleet'!$D$98</f>
        <v/>
      </c>
      <c r="X80" s="350">
        <f>M80*$D80*'E1 Fleet'!$D$98</f>
        <v/>
      </c>
      <c r="Y80" s="350">
        <f>N80*$D80*'E1 Fleet'!$D$98</f>
        <v/>
      </c>
    </row>
    <row r="81">
      <c r="A81" t="inlineStr">
        <is>
          <t>SUV</t>
        </is>
      </c>
      <c r="B81" s="456" t="n">
        <v>28</v>
      </c>
      <c r="C81" s="456" t="n">
        <v>3</v>
      </c>
      <c r="D81" s="348">
        <f>IF($B81=0,'E1 Fleet'!$D$93,1)*EXP(-'E1 Fleet'!$D$94*MAX($B81-6,0))</f>
        <v/>
      </c>
      <c r="E81" s="350">
        <f>IFERROR(INDEX('D Fleet'!$D$5:$D$63,MATCH(E$3-$B81,'D Fleet'!$B$5:$B$63,0)),0)*IFERROR(INDEX('D Fleet'!$K$5:$K$36,INT(($B81/E$5))+1)+(($B81/E$5)-INT(($B81/E$5)))*(INDEX('D Fleet'!$K$5:$K$36,INT(($B81/E$5))+2)-INDEX('D Fleet'!$K$5:$K$36,INT(($B81/E$5))+1)),0)</f>
        <v/>
      </c>
      <c r="F81" s="350">
        <f>IFERROR(INDEX('D Fleet'!$D$5:$D$63,MATCH(F$3-$B81,'D Fleet'!$B$5:$B$63,0)),0)*IFERROR(INDEX('D Fleet'!$K$5:$K$36,INT(($B81/F$5))+1)+(($B81/F$5)-INT(($B81/F$5)))*(INDEX('D Fleet'!$K$5:$K$36,INT(($B81/F$5))+2)-INDEX('D Fleet'!$K$5:$K$36,INT(($B81/F$5))+1)),0)</f>
        <v/>
      </c>
      <c r="G81" s="350">
        <f>IFERROR(INDEX('D Fleet'!$D$5:$D$63,MATCH(G$3-$B81,'D Fleet'!$B$5:$B$63,0)),0)*IFERROR(INDEX('D Fleet'!$K$5:$K$36,INT(($B81/G$5))+1)+(($B81/G$5)-INT(($B81/G$5)))*(INDEX('D Fleet'!$K$5:$K$36,INT(($B81/G$5))+2)-INDEX('D Fleet'!$K$5:$K$36,INT(($B81/G$5))+1)),0)</f>
        <v/>
      </c>
      <c r="H81" s="350">
        <f>IFERROR(INDEX('D Fleet'!$D$5:$D$63,MATCH(H$3-$B81,'D Fleet'!$B$5:$B$63,0)),0)*IFERROR(INDEX('D Fleet'!$K$5:$K$36,INT(($B81/H$5))+1)+(($B81/H$5)-INT(($B81/H$5)))*(INDEX('D Fleet'!$K$5:$K$36,INT(($B81/H$5))+2)-INDEX('D Fleet'!$K$5:$K$36,INT(($B81/H$5))+1)),0)</f>
        <v/>
      </c>
      <c r="I81" s="350">
        <f>IFERROR(INDEX('D Fleet'!$D$5:$D$63,MATCH(I$3-$B81,'D Fleet'!$B$5:$B$63,0)),0)*IFERROR(INDEX('D Fleet'!$K$5:$K$36,INT(($B81/I$5))+1)+(($B81/I$5)-INT(($B81/I$5)))*(INDEX('D Fleet'!$K$5:$K$36,INT(($B81/I$5))+2)-INDEX('D Fleet'!$K$5:$K$36,INT(($B81/I$5))+1)),0)</f>
        <v/>
      </c>
      <c r="J81" s="350">
        <f>IFERROR(INDEX('D Fleet'!$D$5:$D$63,MATCH(J$3-$B81,'D Fleet'!$B$5:$B$63,0)),0)*IFERROR(INDEX('D Fleet'!$K$5:$K$36,INT(($B81/J$5))+1)+(($B81/J$5)-INT(($B81/J$5)))*(INDEX('D Fleet'!$K$5:$K$36,INT(($B81/J$5))+2)-INDEX('D Fleet'!$K$5:$K$36,INT(($B81/J$5))+1)),0)</f>
        <v/>
      </c>
      <c r="K81" s="350">
        <f>IFERROR(INDEX('D Fleet'!$D$5:$D$63,MATCH(K$3-$B81,'D Fleet'!$B$5:$B$63,0)),0)*IFERROR(INDEX('D Fleet'!$K$5:$K$36,INT(($B81/K$5))+1)+(($B81/K$5)-INT(($B81/K$5)))*(INDEX('D Fleet'!$K$5:$K$36,INT(($B81/K$5))+2)-INDEX('D Fleet'!$K$5:$K$36,INT(($B81/K$5))+1)),0)</f>
        <v/>
      </c>
      <c r="L81" s="350">
        <f>IFERROR(INDEX('D Fleet'!$D$5:$D$63,MATCH(L$3-$B81,'D Fleet'!$B$5:$B$63,0)),0)*IFERROR(INDEX('D Fleet'!$K$5:$K$36,INT(($B81/L$5))+1)+(($B81/L$5)-INT(($B81/L$5)))*(INDEX('D Fleet'!$K$5:$K$36,INT(($B81/L$5))+2)-INDEX('D Fleet'!$K$5:$K$36,INT(($B81/L$5))+1)),0)</f>
        <v/>
      </c>
      <c r="M81" s="350">
        <f>IFERROR(INDEX('D Fleet'!$D$5:$D$63,MATCH(M$3-$B81,'D Fleet'!$B$5:$B$63,0)),0)*IFERROR(INDEX('D Fleet'!$K$5:$K$36,INT(($B81/M$5))+1)+(($B81/M$5)-INT(($B81/M$5)))*(INDEX('D Fleet'!$K$5:$K$36,INT(($B81/M$5))+2)-INDEX('D Fleet'!$K$5:$K$36,INT(($B81/M$5))+1)),0)</f>
        <v/>
      </c>
      <c r="N81" s="350">
        <f>IFERROR(INDEX('D Fleet'!$D$5:$D$63,MATCH(N$3-$B81,'D Fleet'!$B$5:$B$63,0)),0)*IFERROR(INDEX('D Fleet'!$K$5:$K$36,INT(($B81/N$5))+1)+(($B81/N$5)-INT(($B81/N$5)))*(INDEX('D Fleet'!$K$5:$K$36,INT(($B81/N$5))+2)-INDEX('D Fleet'!$K$5:$K$36,INT(($B81/N$5))+1)),0)</f>
        <v/>
      </c>
      <c r="P81" s="350">
        <f>E81*$D81*'E1 Fleet'!$D$98</f>
        <v/>
      </c>
      <c r="Q81" s="350">
        <f>F81*$D81*'E1 Fleet'!$D$98</f>
        <v/>
      </c>
      <c r="R81" s="350">
        <f>G81*$D81*'E1 Fleet'!$D$98</f>
        <v/>
      </c>
      <c r="S81" s="350">
        <f>H81*$D81*'E1 Fleet'!$D$98</f>
        <v/>
      </c>
      <c r="T81" s="350">
        <f>I81*$D81*'E1 Fleet'!$D$98</f>
        <v/>
      </c>
      <c r="U81" s="350">
        <f>J81*$D81*'E1 Fleet'!$D$98</f>
        <v/>
      </c>
      <c r="V81" s="350">
        <f>K81*$D81*'E1 Fleet'!$D$98</f>
        <v/>
      </c>
      <c r="W81" s="350">
        <f>L81*$D81*'E1 Fleet'!$D$98</f>
        <v/>
      </c>
      <c r="X81" s="350">
        <f>M81*$D81*'E1 Fleet'!$D$98</f>
        <v/>
      </c>
      <c r="Y81" s="350">
        <f>N81*$D81*'E1 Fleet'!$D$98</f>
        <v/>
      </c>
    </row>
    <row r="82">
      <c r="A82" t="inlineStr">
        <is>
          <t>SUV</t>
        </is>
      </c>
      <c r="B82" s="456" t="n">
        <v>29</v>
      </c>
      <c r="C82" s="456" t="n">
        <v>3</v>
      </c>
      <c r="D82" s="348">
        <f>IF($B82=0,'E1 Fleet'!$D$93,1)*EXP(-'E1 Fleet'!$D$94*MAX($B82-6,0))</f>
        <v/>
      </c>
      <c r="E82" s="350">
        <f>IFERROR(INDEX('D Fleet'!$D$5:$D$63,MATCH(E$3-$B82,'D Fleet'!$B$5:$B$63,0)),0)*IFERROR(INDEX('D Fleet'!$K$5:$K$36,INT(($B82/E$5))+1)+(($B82/E$5)-INT(($B82/E$5)))*(INDEX('D Fleet'!$K$5:$K$36,INT(($B82/E$5))+2)-INDEX('D Fleet'!$K$5:$K$36,INT(($B82/E$5))+1)),0)</f>
        <v/>
      </c>
      <c r="F82" s="350">
        <f>IFERROR(INDEX('D Fleet'!$D$5:$D$63,MATCH(F$3-$B82,'D Fleet'!$B$5:$B$63,0)),0)*IFERROR(INDEX('D Fleet'!$K$5:$K$36,INT(($B82/F$5))+1)+(($B82/F$5)-INT(($B82/F$5)))*(INDEX('D Fleet'!$K$5:$K$36,INT(($B82/F$5))+2)-INDEX('D Fleet'!$K$5:$K$36,INT(($B82/F$5))+1)),0)</f>
        <v/>
      </c>
      <c r="G82" s="350">
        <f>IFERROR(INDEX('D Fleet'!$D$5:$D$63,MATCH(G$3-$B82,'D Fleet'!$B$5:$B$63,0)),0)*IFERROR(INDEX('D Fleet'!$K$5:$K$36,INT(($B82/G$5))+1)+(($B82/G$5)-INT(($B82/G$5)))*(INDEX('D Fleet'!$K$5:$K$36,INT(($B82/G$5))+2)-INDEX('D Fleet'!$K$5:$K$36,INT(($B82/G$5))+1)),0)</f>
        <v/>
      </c>
      <c r="H82" s="350">
        <f>IFERROR(INDEX('D Fleet'!$D$5:$D$63,MATCH(H$3-$B82,'D Fleet'!$B$5:$B$63,0)),0)*IFERROR(INDEX('D Fleet'!$K$5:$K$36,INT(($B82/H$5))+1)+(($B82/H$5)-INT(($B82/H$5)))*(INDEX('D Fleet'!$K$5:$K$36,INT(($B82/H$5))+2)-INDEX('D Fleet'!$K$5:$K$36,INT(($B82/H$5))+1)),0)</f>
        <v/>
      </c>
      <c r="I82" s="350">
        <f>IFERROR(INDEX('D Fleet'!$D$5:$D$63,MATCH(I$3-$B82,'D Fleet'!$B$5:$B$63,0)),0)*IFERROR(INDEX('D Fleet'!$K$5:$K$36,INT(($B82/I$5))+1)+(($B82/I$5)-INT(($B82/I$5)))*(INDEX('D Fleet'!$K$5:$K$36,INT(($B82/I$5))+2)-INDEX('D Fleet'!$K$5:$K$36,INT(($B82/I$5))+1)),0)</f>
        <v/>
      </c>
      <c r="J82" s="350">
        <f>IFERROR(INDEX('D Fleet'!$D$5:$D$63,MATCH(J$3-$B82,'D Fleet'!$B$5:$B$63,0)),0)*IFERROR(INDEX('D Fleet'!$K$5:$K$36,INT(($B82/J$5))+1)+(($B82/J$5)-INT(($B82/J$5)))*(INDEX('D Fleet'!$K$5:$K$36,INT(($B82/J$5))+2)-INDEX('D Fleet'!$K$5:$K$36,INT(($B82/J$5))+1)),0)</f>
        <v/>
      </c>
      <c r="K82" s="350">
        <f>IFERROR(INDEX('D Fleet'!$D$5:$D$63,MATCH(K$3-$B82,'D Fleet'!$B$5:$B$63,0)),0)*IFERROR(INDEX('D Fleet'!$K$5:$K$36,INT(($B82/K$5))+1)+(($B82/K$5)-INT(($B82/K$5)))*(INDEX('D Fleet'!$K$5:$K$36,INT(($B82/K$5))+2)-INDEX('D Fleet'!$K$5:$K$36,INT(($B82/K$5))+1)),0)</f>
        <v/>
      </c>
      <c r="L82" s="350">
        <f>IFERROR(INDEX('D Fleet'!$D$5:$D$63,MATCH(L$3-$B82,'D Fleet'!$B$5:$B$63,0)),0)*IFERROR(INDEX('D Fleet'!$K$5:$K$36,INT(($B82/L$5))+1)+(($B82/L$5)-INT(($B82/L$5)))*(INDEX('D Fleet'!$K$5:$K$36,INT(($B82/L$5))+2)-INDEX('D Fleet'!$K$5:$K$36,INT(($B82/L$5))+1)),0)</f>
        <v/>
      </c>
      <c r="M82" s="350">
        <f>IFERROR(INDEX('D Fleet'!$D$5:$D$63,MATCH(M$3-$B82,'D Fleet'!$B$5:$B$63,0)),0)*IFERROR(INDEX('D Fleet'!$K$5:$K$36,INT(($B82/M$5))+1)+(($B82/M$5)-INT(($B82/M$5)))*(INDEX('D Fleet'!$K$5:$K$36,INT(($B82/M$5))+2)-INDEX('D Fleet'!$K$5:$K$36,INT(($B82/M$5))+1)),0)</f>
        <v/>
      </c>
      <c r="N82" s="350">
        <f>IFERROR(INDEX('D Fleet'!$D$5:$D$63,MATCH(N$3-$B82,'D Fleet'!$B$5:$B$63,0)),0)*IFERROR(INDEX('D Fleet'!$K$5:$K$36,INT(($B82/N$5))+1)+(($B82/N$5)-INT(($B82/N$5)))*(INDEX('D Fleet'!$K$5:$K$36,INT(($B82/N$5))+2)-INDEX('D Fleet'!$K$5:$K$36,INT(($B82/N$5))+1)),0)</f>
        <v/>
      </c>
      <c r="P82" s="350">
        <f>E82*$D82*'E1 Fleet'!$D$98</f>
        <v/>
      </c>
      <c r="Q82" s="350">
        <f>F82*$D82*'E1 Fleet'!$D$98</f>
        <v/>
      </c>
      <c r="R82" s="350">
        <f>G82*$D82*'E1 Fleet'!$D$98</f>
        <v/>
      </c>
      <c r="S82" s="350">
        <f>H82*$D82*'E1 Fleet'!$D$98</f>
        <v/>
      </c>
      <c r="T82" s="350">
        <f>I82*$D82*'E1 Fleet'!$D$98</f>
        <v/>
      </c>
      <c r="U82" s="350">
        <f>J82*$D82*'E1 Fleet'!$D$98</f>
        <v/>
      </c>
      <c r="V82" s="350">
        <f>K82*$D82*'E1 Fleet'!$D$98</f>
        <v/>
      </c>
      <c r="W82" s="350">
        <f>L82*$D82*'E1 Fleet'!$D$98</f>
        <v/>
      </c>
      <c r="X82" s="350">
        <f>M82*$D82*'E1 Fleet'!$D$98</f>
        <v/>
      </c>
      <c r="Y82" s="350">
        <f>N82*$D82*'E1 Fleet'!$D$98</f>
        <v/>
      </c>
    </row>
    <row r="83">
      <c r="A83" t="inlineStr">
        <is>
          <t>SUV</t>
        </is>
      </c>
      <c r="B83" s="456" t="n">
        <v>30</v>
      </c>
      <c r="C83" s="456" t="n">
        <v>3</v>
      </c>
      <c r="D83" s="348">
        <f>IF($B83=0,'E1 Fleet'!$D$93,1)*EXP(-'E1 Fleet'!$D$94*MAX($B83-6,0))</f>
        <v/>
      </c>
      <c r="E83" s="350">
        <f>IFERROR(INDEX('D Fleet'!$D$5:$D$63,MATCH(E$3-$B83,'D Fleet'!$B$5:$B$63,0)),0)*IFERROR(INDEX('D Fleet'!$K$5:$K$36,INT(($B83/E$5))+1)+(($B83/E$5)-INT(($B83/E$5)))*(INDEX('D Fleet'!$K$5:$K$36,INT(($B83/E$5))+2)-INDEX('D Fleet'!$K$5:$K$36,INT(($B83/E$5))+1)),0)</f>
        <v/>
      </c>
      <c r="F83" s="350">
        <f>IFERROR(INDEX('D Fleet'!$D$5:$D$63,MATCH(F$3-$B83,'D Fleet'!$B$5:$B$63,0)),0)*IFERROR(INDEX('D Fleet'!$K$5:$K$36,INT(($B83/F$5))+1)+(($B83/F$5)-INT(($B83/F$5)))*(INDEX('D Fleet'!$K$5:$K$36,INT(($B83/F$5))+2)-INDEX('D Fleet'!$K$5:$K$36,INT(($B83/F$5))+1)),0)</f>
        <v/>
      </c>
      <c r="G83" s="350">
        <f>IFERROR(INDEX('D Fleet'!$D$5:$D$63,MATCH(G$3-$B83,'D Fleet'!$B$5:$B$63,0)),0)*IFERROR(INDEX('D Fleet'!$K$5:$K$36,INT(($B83/G$5))+1)+(($B83/G$5)-INT(($B83/G$5)))*(INDEX('D Fleet'!$K$5:$K$36,INT(($B83/G$5))+2)-INDEX('D Fleet'!$K$5:$K$36,INT(($B83/G$5))+1)),0)</f>
        <v/>
      </c>
      <c r="H83" s="350">
        <f>IFERROR(INDEX('D Fleet'!$D$5:$D$63,MATCH(H$3-$B83,'D Fleet'!$B$5:$B$63,0)),0)*IFERROR(INDEX('D Fleet'!$K$5:$K$36,INT(($B83/H$5))+1)+(($B83/H$5)-INT(($B83/H$5)))*(INDEX('D Fleet'!$K$5:$K$36,INT(($B83/H$5))+2)-INDEX('D Fleet'!$K$5:$K$36,INT(($B83/H$5))+1)),0)</f>
        <v/>
      </c>
      <c r="I83" s="350">
        <f>IFERROR(INDEX('D Fleet'!$D$5:$D$63,MATCH(I$3-$B83,'D Fleet'!$B$5:$B$63,0)),0)*IFERROR(INDEX('D Fleet'!$K$5:$K$36,INT(($B83/I$5))+1)+(($B83/I$5)-INT(($B83/I$5)))*(INDEX('D Fleet'!$K$5:$K$36,INT(($B83/I$5))+2)-INDEX('D Fleet'!$K$5:$K$36,INT(($B83/I$5))+1)),0)</f>
        <v/>
      </c>
      <c r="J83" s="350">
        <f>IFERROR(INDEX('D Fleet'!$D$5:$D$63,MATCH(J$3-$B83,'D Fleet'!$B$5:$B$63,0)),0)*IFERROR(INDEX('D Fleet'!$K$5:$K$36,INT(($B83/J$5))+1)+(($B83/J$5)-INT(($B83/J$5)))*(INDEX('D Fleet'!$K$5:$K$36,INT(($B83/J$5))+2)-INDEX('D Fleet'!$K$5:$K$36,INT(($B83/J$5))+1)),0)</f>
        <v/>
      </c>
      <c r="K83" s="350">
        <f>IFERROR(INDEX('D Fleet'!$D$5:$D$63,MATCH(K$3-$B83,'D Fleet'!$B$5:$B$63,0)),0)*IFERROR(INDEX('D Fleet'!$K$5:$K$36,INT(($B83/K$5))+1)+(($B83/K$5)-INT(($B83/K$5)))*(INDEX('D Fleet'!$K$5:$K$36,INT(($B83/K$5))+2)-INDEX('D Fleet'!$K$5:$K$36,INT(($B83/K$5))+1)),0)</f>
        <v/>
      </c>
      <c r="L83" s="350">
        <f>IFERROR(INDEX('D Fleet'!$D$5:$D$63,MATCH(L$3-$B83,'D Fleet'!$B$5:$B$63,0)),0)*IFERROR(INDEX('D Fleet'!$K$5:$K$36,INT(($B83/L$5))+1)+(($B83/L$5)-INT(($B83/L$5)))*(INDEX('D Fleet'!$K$5:$K$36,INT(($B83/L$5))+2)-INDEX('D Fleet'!$K$5:$K$36,INT(($B83/L$5))+1)),0)</f>
        <v/>
      </c>
      <c r="M83" s="350">
        <f>IFERROR(INDEX('D Fleet'!$D$5:$D$63,MATCH(M$3-$B83,'D Fleet'!$B$5:$B$63,0)),0)*IFERROR(INDEX('D Fleet'!$K$5:$K$36,INT(($B83/M$5))+1)+(($B83/M$5)-INT(($B83/M$5)))*(INDEX('D Fleet'!$K$5:$K$36,INT(($B83/M$5))+2)-INDEX('D Fleet'!$K$5:$K$36,INT(($B83/M$5))+1)),0)</f>
        <v/>
      </c>
      <c r="N83" s="350">
        <f>IFERROR(INDEX('D Fleet'!$D$5:$D$63,MATCH(N$3-$B83,'D Fleet'!$B$5:$B$63,0)),0)*IFERROR(INDEX('D Fleet'!$K$5:$K$36,INT(($B83/N$5))+1)+(($B83/N$5)-INT(($B83/N$5)))*(INDEX('D Fleet'!$K$5:$K$36,INT(($B83/N$5))+2)-INDEX('D Fleet'!$K$5:$K$36,INT(($B83/N$5))+1)),0)</f>
        <v/>
      </c>
      <c r="P83" s="350">
        <f>E83*$D83*'E1 Fleet'!$D$98</f>
        <v/>
      </c>
      <c r="Q83" s="350">
        <f>F83*$D83*'E1 Fleet'!$D$98</f>
        <v/>
      </c>
      <c r="R83" s="350">
        <f>G83*$D83*'E1 Fleet'!$D$98</f>
        <v/>
      </c>
      <c r="S83" s="350">
        <f>H83*$D83*'E1 Fleet'!$D$98</f>
        <v/>
      </c>
      <c r="T83" s="350">
        <f>I83*$D83*'E1 Fleet'!$D$98</f>
        <v/>
      </c>
      <c r="U83" s="350">
        <f>J83*$D83*'E1 Fleet'!$D$98</f>
        <v/>
      </c>
      <c r="V83" s="350">
        <f>K83*$D83*'E1 Fleet'!$D$98</f>
        <v/>
      </c>
      <c r="W83" s="350">
        <f>L83*$D83*'E1 Fleet'!$D$98</f>
        <v/>
      </c>
      <c r="X83" s="350">
        <f>M83*$D83*'E1 Fleet'!$D$98</f>
        <v/>
      </c>
      <c r="Y83" s="350">
        <f>N83*$D83*'E1 Fleet'!$D$98</f>
        <v/>
      </c>
    </row>
    <row r="84">
      <c r="A84" t="inlineStr">
        <is>
          <t>SUV</t>
        </is>
      </c>
      <c r="B84" s="456" t="n">
        <v>31</v>
      </c>
      <c r="C84" s="456" t="n">
        <v>3</v>
      </c>
      <c r="D84" s="348">
        <f>IF($B84=0,'E1 Fleet'!$D$93,1)*EXP(-'E1 Fleet'!$D$94*MAX($B84-6,0))</f>
        <v/>
      </c>
      <c r="E84" s="350">
        <f>IFERROR(INDEX('D Fleet'!$D$5:$D$63,MATCH(E$3-$B84,'D Fleet'!$B$5:$B$63,0)),0)*IFERROR(INDEX('D Fleet'!$K$5:$K$36,INT(($B84/E$5))+1)+(($B84/E$5)-INT(($B84/E$5)))*(INDEX('D Fleet'!$K$5:$K$36,INT(($B84/E$5))+2)-INDEX('D Fleet'!$K$5:$K$36,INT(($B84/E$5))+1)),0)</f>
        <v/>
      </c>
      <c r="F84" s="350">
        <f>IFERROR(INDEX('D Fleet'!$D$5:$D$63,MATCH(F$3-$B84,'D Fleet'!$B$5:$B$63,0)),0)*IFERROR(INDEX('D Fleet'!$K$5:$K$36,INT(($B84/F$5))+1)+(($B84/F$5)-INT(($B84/F$5)))*(INDEX('D Fleet'!$K$5:$K$36,INT(($B84/F$5))+2)-INDEX('D Fleet'!$K$5:$K$36,INT(($B84/F$5))+1)),0)</f>
        <v/>
      </c>
      <c r="G84" s="350">
        <f>IFERROR(INDEX('D Fleet'!$D$5:$D$63,MATCH(G$3-$B84,'D Fleet'!$B$5:$B$63,0)),0)*IFERROR(INDEX('D Fleet'!$K$5:$K$36,INT(($B84/G$5))+1)+(($B84/G$5)-INT(($B84/G$5)))*(INDEX('D Fleet'!$K$5:$K$36,INT(($B84/G$5))+2)-INDEX('D Fleet'!$K$5:$K$36,INT(($B84/G$5))+1)),0)</f>
        <v/>
      </c>
      <c r="H84" s="350">
        <f>IFERROR(INDEX('D Fleet'!$D$5:$D$63,MATCH(H$3-$B84,'D Fleet'!$B$5:$B$63,0)),0)*IFERROR(INDEX('D Fleet'!$K$5:$K$36,INT(($B84/H$5))+1)+(($B84/H$5)-INT(($B84/H$5)))*(INDEX('D Fleet'!$K$5:$K$36,INT(($B84/H$5))+2)-INDEX('D Fleet'!$K$5:$K$36,INT(($B84/H$5))+1)),0)</f>
        <v/>
      </c>
      <c r="I84" s="350">
        <f>IFERROR(INDEX('D Fleet'!$D$5:$D$63,MATCH(I$3-$B84,'D Fleet'!$B$5:$B$63,0)),0)*IFERROR(INDEX('D Fleet'!$K$5:$K$36,INT(($B84/I$5))+1)+(($B84/I$5)-INT(($B84/I$5)))*(INDEX('D Fleet'!$K$5:$K$36,INT(($B84/I$5))+2)-INDEX('D Fleet'!$K$5:$K$36,INT(($B84/I$5))+1)),0)</f>
        <v/>
      </c>
      <c r="J84" s="350">
        <f>IFERROR(INDEX('D Fleet'!$D$5:$D$63,MATCH(J$3-$B84,'D Fleet'!$B$5:$B$63,0)),0)*IFERROR(INDEX('D Fleet'!$K$5:$K$36,INT(($B84/J$5))+1)+(($B84/J$5)-INT(($B84/J$5)))*(INDEX('D Fleet'!$K$5:$K$36,INT(($B84/J$5))+2)-INDEX('D Fleet'!$K$5:$K$36,INT(($B84/J$5))+1)),0)</f>
        <v/>
      </c>
      <c r="K84" s="350">
        <f>IFERROR(INDEX('D Fleet'!$D$5:$D$63,MATCH(K$3-$B84,'D Fleet'!$B$5:$B$63,0)),0)*IFERROR(INDEX('D Fleet'!$K$5:$K$36,INT(($B84/K$5))+1)+(($B84/K$5)-INT(($B84/K$5)))*(INDEX('D Fleet'!$K$5:$K$36,INT(($B84/K$5))+2)-INDEX('D Fleet'!$K$5:$K$36,INT(($B84/K$5))+1)),0)</f>
        <v/>
      </c>
      <c r="L84" s="350">
        <f>IFERROR(INDEX('D Fleet'!$D$5:$D$63,MATCH(L$3-$B84,'D Fleet'!$B$5:$B$63,0)),0)*IFERROR(INDEX('D Fleet'!$K$5:$K$36,INT(($B84/L$5))+1)+(($B84/L$5)-INT(($B84/L$5)))*(INDEX('D Fleet'!$K$5:$K$36,INT(($B84/L$5))+2)-INDEX('D Fleet'!$K$5:$K$36,INT(($B84/L$5))+1)),0)</f>
        <v/>
      </c>
      <c r="M84" s="350">
        <f>IFERROR(INDEX('D Fleet'!$D$5:$D$63,MATCH(M$3-$B84,'D Fleet'!$B$5:$B$63,0)),0)*IFERROR(INDEX('D Fleet'!$K$5:$K$36,INT(($B84/M$5))+1)+(($B84/M$5)-INT(($B84/M$5)))*(INDEX('D Fleet'!$K$5:$K$36,INT(($B84/M$5))+2)-INDEX('D Fleet'!$K$5:$K$36,INT(($B84/M$5))+1)),0)</f>
        <v/>
      </c>
      <c r="N84" s="350">
        <f>IFERROR(INDEX('D Fleet'!$D$5:$D$63,MATCH(N$3-$B84,'D Fleet'!$B$5:$B$63,0)),0)*IFERROR(INDEX('D Fleet'!$K$5:$K$36,INT(($B84/N$5))+1)+(($B84/N$5)-INT(($B84/N$5)))*(INDEX('D Fleet'!$K$5:$K$36,INT(($B84/N$5))+2)-INDEX('D Fleet'!$K$5:$K$36,INT(($B84/N$5))+1)),0)</f>
        <v/>
      </c>
      <c r="P84" s="350">
        <f>E84*$D84*'E1 Fleet'!$D$98</f>
        <v/>
      </c>
      <c r="Q84" s="350">
        <f>F84*$D84*'E1 Fleet'!$D$98</f>
        <v/>
      </c>
      <c r="R84" s="350">
        <f>G84*$D84*'E1 Fleet'!$D$98</f>
        <v/>
      </c>
      <c r="S84" s="350">
        <f>H84*$D84*'E1 Fleet'!$D$98</f>
        <v/>
      </c>
      <c r="T84" s="350">
        <f>I84*$D84*'E1 Fleet'!$D$98</f>
        <v/>
      </c>
      <c r="U84" s="350">
        <f>J84*$D84*'E1 Fleet'!$D$98</f>
        <v/>
      </c>
      <c r="V84" s="350">
        <f>K84*$D84*'E1 Fleet'!$D$98</f>
        <v/>
      </c>
      <c r="W84" s="350">
        <f>L84*$D84*'E1 Fleet'!$D$98</f>
        <v/>
      </c>
      <c r="X84" s="350">
        <f>M84*$D84*'E1 Fleet'!$D$98</f>
        <v/>
      </c>
      <c r="Y84" s="350">
        <f>N84*$D84*'E1 Fleet'!$D$98</f>
        <v/>
      </c>
    </row>
    <row r="85">
      <c r="A85" t="inlineStr">
        <is>
          <t>SUV</t>
        </is>
      </c>
      <c r="B85" s="456" t="n">
        <v>32</v>
      </c>
      <c r="C85" s="456" t="n">
        <v>3</v>
      </c>
      <c r="D85" s="348">
        <f>IF($B85=0,'E1 Fleet'!$D$93,1)*EXP(-'E1 Fleet'!$D$94*MAX($B85-6,0))</f>
        <v/>
      </c>
      <c r="E85" s="350">
        <f>IFERROR(INDEX('D Fleet'!$D$5:$D$63,MATCH(E$3-$B85,'D Fleet'!$B$5:$B$63,0)),0)*IFERROR(INDEX('D Fleet'!$K$5:$K$36,INT(($B85/E$5))+1)+(($B85/E$5)-INT(($B85/E$5)))*(INDEX('D Fleet'!$K$5:$K$36,INT(($B85/E$5))+2)-INDEX('D Fleet'!$K$5:$K$36,INT(($B85/E$5))+1)),0)</f>
        <v/>
      </c>
      <c r="F85" s="350">
        <f>IFERROR(INDEX('D Fleet'!$D$5:$D$63,MATCH(F$3-$B85,'D Fleet'!$B$5:$B$63,0)),0)*IFERROR(INDEX('D Fleet'!$K$5:$K$36,INT(($B85/F$5))+1)+(($B85/F$5)-INT(($B85/F$5)))*(INDEX('D Fleet'!$K$5:$K$36,INT(($B85/F$5))+2)-INDEX('D Fleet'!$K$5:$K$36,INT(($B85/F$5))+1)),0)</f>
        <v/>
      </c>
      <c r="G85" s="350">
        <f>IFERROR(INDEX('D Fleet'!$D$5:$D$63,MATCH(G$3-$B85,'D Fleet'!$B$5:$B$63,0)),0)*IFERROR(INDEX('D Fleet'!$K$5:$K$36,INT(($B85/G$5))+1)+(($B85/G$5)-INT(($B85/G$5)))*(INDEX('D Fleet'!$K$5:$K$36,INT(($B85/G$5))+2)-INDEX('D Fleet'!$K$5:$K$36,INT(($B85/G$5))+1)),0)</f>
        <v/>
      </c>
      <c r="H85" s="350">
        <f>IFERROR(INDEX('D Fleet'!$D$5:$D$63,MATCH(H$3-$B85,'D Fleet'!$B$5:$B$63,0)),0)*IFERROR(INDEX('D Fleet'!$K$5:$K$36,INT(($B85/H$5))+1)+(($B85/H$5)-INT(($B85/H$5)))*(INDEX('D Fleet'!$K$5:$K$36,INT(($B85/H$5))+2)-INDEX('D Fleet'!$K$5:$K$36,INT(($B85/H$5))+1)),0)</f>
        <v/>
      </c>
      <c r="I85" s="350">
        <f>IFERROR(INDEX('D Fleet'!$D$5:$D$63,MATCH(I$3-$B85,'D Fleet'!$B$5:$B$63,0)),0)*IFERROR(INDEX('D Fleet'!$K$5:$K$36,INT(($B85/I$5))+1)+(($B85/I$5)-INT(($B85/I$5)))*(INDEX('D Fleet'!$K$5:$K$36,INT(($B85/I$5))+2)-INDEX('D Fleet'!$K$5:$K$36,INT(($B85/I$5))+1)),0)</f>
        <v/>
      </c>
      <c r="J85" s="350">
        <f>IFERROR(INDEX('D Fleet'!$D$5:$D$63,MATCH(J$3-$B85,'D Fleet'!$B$5:$B$63,0)),0)*IFERROR(INDEX('D Fleet'!$K$5:$K$36,INT(($B85/J$5))+1)+(($B85/J$5)-INT(($B85/J$5)))*(INDEX('D Fleet'!$K$5:$K$36,INT(($B85/J$5))+2)-INDEX('D Fleet'!$K$5:$K$36,INT(($B85/J$5))+1)),0)</f>
        <v/>
      </c>
      <c r="K85" s="350">
        <f>IFERROR(INDEX('D Fleet'!$D$5:$D$63,MATCH(K$3-$B85,'D Fleet'!$B$5:$B$63,0)),0)*IFERROR(INDEX('D Fleet'!$K$5:$K$36,INT(($B85/K$5))+1)+(($B85/K$5)-INT(($B85/K$5)))*(INDEX('D Fleet'!$K$5:$K$36,INT(($B85/K$5))+2)-INDEX('D Fleet'!$K$5:$K$36,INT(($B85/K$5))+1)),0)</f>
        <v/>
      </c>
      <c r="L85" s="350">
        <f>IFERROR(INDEX('D Fleet'!$D$5:$D$63,MATCH(L$3-$B85,'D Fleet'!$B$5:$B$63,0)),0)*IFERROR(INDEX('D Fleet'!$K$5:$K$36,INT(($B85/L$5))+1)+(($B85/L$5)-INT(($B85/L$5)))*(INDEX('D Fleet'!$K$5:$K$36,INT(($B85/L$5))+2)-INDEX('D Fleet'!$K$5:$K$36,INT(($B85/L$5))+1)),0)</f>
        <v/>
      </c>
      <c r="M85" s="350">
        <f>IFERROR(INDEX('D Fleet'!$D$5:$D$63,MATCH(M$3-$B85,'D Fleet'!$B$5:$B$63,0)),0)*IFERROR(INDEX('D Fleet'!$K$5:$K$36,INT(($B85/M$5))+1)+(($B85/M$5)-INT(($B85/M$5)))*(INDEX('D Fleet'!$K$5:$K$36,INT(($B85/M$5))+2)-INDEX('D Fleet'!$K$5:$K$36,INT(($B85/M$5))+1)),0)</f>
        <v/>
      </c>
      <c r="N85" s="350">
        <f>IFERROR(INDEX('D Fleet'!$D$5:$D$63,MATCH(N$3-$B85,'D Fleet'!$B$5:$B$63,0)),0)*IFERROR(INDEX('D Fleet'!$K$5:$K$36,INT(($B85/N$5))+1)+(($B85/N$5)-INT(($B85/N$5)))*(INDEX('D Fleet'!$K$5:$K$36,INT(($B85/N$5))+2)-INDEX('D Fleet'!$K$5:$K$36,INT(($B85/N$5))+1)),0)</f>
        <v/>
      </c>
      <c r="P85" s="350">
        <f>E85*$D85*'E1 Fleet'!$D$98</f>
        <v/>
      </c>
      <c r="Q85" s="350">
        <f>F85*$D85*'E1 Fleet'!$D$98</f>
        <v/>
      </c>
      <c r="R85" s="350">
        <f>G85*$D85*'E1 Fleet'!$D$98</f>
        <v/>
      </c>
      <c r="S85" s="350">
        <f>H85*$D85*'E1 Fleet'!$D$98</f>
        <v/>
      </c>
      <c r="T85" s="350">
        <f>I85*$D85*'E1 Fleet'!$D$98</f>
        <v/>
      </c>
      <c r="U85" s="350">
        <f>J85*$D85*'E1 Fleet'!$D$98</f>
        <v/>
      </c>
      <c r="V85" s="350">
        <f>K85*$D85*'E1 Fleet'!$D$98</f>
        <v/>
      </c>
      <c r="W85" s="350">
        <f>L85*$D85*'E1 Fleet'!$D$98</f>
        <v/>
      </c>
      <c r="X85" s="350">
        <f>M85*$D85*'E1 Fleet'!$D$98</f>
        <v/>
      </c>
      <c r="Y85" s="350">
        <f>N85*$D85*'E1 Fleet'!$D$98</f>
        <v/>
      </c>
    </row>
    <row r="86">
      <c r="A86" t="inlineStr">
        <is>
          <t>SUV</t>
        </is>
      </c>
      <c r="B86" s="456" t="n">
        <v>33</v>
      </c>
      <c r="C86" s="456" t="n">
        <v>3</v>
      </c>
      <c r="D86" s="348">
        <f>IF($B86=0,'E1 Fleet'!$D$93,1)*EXP(-'E1 Fleet'!$D$94*MAX($B86-6,0))</f>
        <v/>
      </c>
      <c r="E86" s="350">
        <f>IFERROR(INDEX('D Fleet'!$D$5:$D$63,MATCH(E$3-$B86,'D Fleet'!$B$5:$B$63,0)),0)*IFERROR(INDEX('D Fleet'!$K$5:$K$36,INT(($B86/E$5))+1)+(($B86/E$5)-INT(($B86/E$5)))*(INDEX('D Fleet'!$K$5:$K$36,INT(($B86/E$5))+2)-INDEX('D Fleet'!$K$5:$K$36,INT(($B86/E$5))+1)),0)</f>
        <v/>
      </c>
      <c r="F86" s="350">
        <f>IFERROR(INDEX('D Fleet'!$D$5:$D$63,MATCH(F$3-$B86,'D Fleet'!$B$5:$B$63,0)),0)*IFERROR(INDEX('D Fleet'!$K$5:$K$36,INT(($B86/F$5))+1)+(($B86/F$5)-INT(($B86/F$5)))*(INDEX('D Fleet'!$K$5:$K$36,INT(($B86/F$5))+2)-INDEX('D Fleet'!$K$5:$K$36,INT(($B86/F$5))+1)),0)</f>
        <v/>
      </c>
      <c r="G86" s="350">
        <f>IFERROR(INDEX('D Fleet'!$D$5:$D$63,MATCH(G$3-$B86,'D Fleet'!$B$5:$B$63,0)),0)*IFERROR(INDEX('D Fleet'!$K$5:$K$36,INT(($B86/G$5))+1)+(($B86/G$5)-INT(($B86/G$5)))*(INDEX('D Fleet'!$K$5:$K$36,INT(($B86/G$5))+2)-INDEX('D Fleet'!$K$5:$K$36,INT(($B86/G$5))+1)),0)</f>
        <v/>
      </c>
      <c r="H86" s="350">
        <f>IFERROR(INDEX('D Fleet'!$D$5:$D$63,MATCH(H$3-$B86,'D Fleet'!$B$5:$B$63,0)),0)*IFERROR(INDEX('D Fleet'!$K$5:$K$36,INT(($B86/H$5))+1)+(($B86/H$5)-INT(($B86/H$5)))*(INDEX('D Fleet'!$K$5:$K$36,INT(($B86/H$5))+2)-INDEX('D Fleet'!$K$5:$K$36,INT(($B86/H$5))+1)),0)</f>
        <v/>
      </c>
      <c r="I86" s="350">
        <f>IFERROR(INDEX('D Fleet'!$D$5:$D$63,MATCH(I$3-$B86,'D Fleet'!$B$5:$B$63,0)),0)*IFERROR(INDEX('D Fleet'!$K$5:$K$36,INT(($B86/I$5))+1)+(($B86/I$5)-INT(($B86/I$5)))*(INDEX('D Fleet'!$K$5:$K$36,INT(($B86/I$5))+2)-INDEX('D Fleet'!$K$5:$K$36,INT(($B86/I$5))+1)),0)</f>
        <v/>
      </c>
      <c r="J86" s="350">
        <f>IFERROR(INDEX('D Fleet'!$D$5:$D$63,MATCH(J$3-$B86,'D Fleet'!$B$5:$B$63,0)),0)*IFERROR(INDEX('D Fleet'!$K$5:$K$36,INT(($B86/J$5))+1)+(($B86/J$5)-INT(($B86/J$5)))*(INDEX('D Fleet'!$K$5:$K$36,INT(($B86/J$5))+2)-INDEX('D Fleet'!$K$5:$K$36,INT(($B86/J$5))+1)),0)</f>
        <v/>
      </c>
      <c r="K86" s="350">
        <f>IFERROR(INDEX('D Fleet'!$D$5:$D$63,MATCH(K$3-$B86,'D Fleet'!$B$5:$B$63,0)),0)*IFERROR(INDEX('D Fleet'!$K$5:$K$36,INT(($B86/K$5))+1)+(($B86/K$5)-INT(($B86/K$5)))*(INDEX('D Fleet'!$K$5:$K$36,INT(($B86/K$5))+2)-INDEX('D Fleet'!$K$5:$K$36,INT(($B86/K$5))+1)),0)</f>
        <v/>
      </c>
      <c r="L86" s="350">
        <f>IFERROR(INDEX('D Fleet'!$D$5:$D$63,MATCH(L$3-$B86,'D Fleet'!$B$5:$B$63,0)),0)*IFERROR(INDEX('D Fleet'!$K$5:$K$36,INT(($B86/L$5))+1)+(($B86/L$5)-INT(($B86/L$5)))*(INDEX('D Fleet'!$K$5:$K$36,INT(($B86/L$5))+2)-INDEX('D Fleet'!$K$5:$K$36,INT(($B86/L$5))+1)),0)</f>
        <v/>
      </c>
      <c r="M86" s="350">
        <f>IFERROR(INDEX('D Fleet'!$D$5:$D$63,MATCH(M$3-$B86,'D Fleet'!$B$5:$B$63,0)),0)*IFERROR(INDEX('D Fleet'!$K$5:$K$36,INT(($B86/M$5))+1)+(($B86/M$5)-INT(($B86/M$5)))*(INDEX('D Fleet'!$K$5:$K$36,INT(($B86/M$5))+2)-INDEX('D Fleet'!$K$5:$K$36,INT(($B86/M$5))+1)),0)</f>
        <v/>
      </c>
      <c r="N86" s="350">
        <f>IFERROR(INDEX('D Fleet'!$D$5:$D$63,MATCH(N$3-$B86,'D Fleet'!$B$5:$B$63,0)),0)*IFERROR(INDEX('D Fleet'!$K$5:$K$36,INT(($B86/N$5))+1)+(($B86/N$5)-INT(($B86/N$5)))*(INDEX('D Fleet'!$K$5:$K$36,INT(($B86/N$5))+2)-INDEX('D Fleet'!$K$5:$K$36,INT(($B86/N$5))+1)),0)</f>
        <v/>
      </c>
      <c r="P86" s="350">
        <f>E86*$D86*'E1 Fleet'!$D$98</f>
        <v/>
      </c>
      <c r="Q86" s="350">
        <f>F86*$D86*'E1 Fleet'!$D$98</f>
        <v/>
      </c>
      <c r="R86" s="350">
        <f>G86*$D86*'E1 Fleet'!$D$98</f>
        <v/>
      </c>
      <c r="S86" s="350">
        <f>H86*$D86*'E1 Fleet'!$D$98</f>
        <v/>
      </c>
      <c r="T86" s="350">
        <f>I86*$D86*'E1 Fleet'!$D$98</f>
        <v/>
      </c>
      <c r="U86" s="350">
        <f>J86*$D86*'E1 Fleet'!$D$98</f>
        <v/>
      </c>
      <c r="V86" s="350">
        <f>K86*$D86*'E1 Fleet'!$D$98</f>
        <v/>
      </c>
      <c r="W86" s="350">
        <f>L86*$D86*'E1 Fleet'!$D$98</f>
        <v/>
      </c>
      <c r="X86" s="350">
        <f>M86*$D86*'E1 Fleet'!$D$98</f>
        <v/>
      </c>
      <c r="Y86" s="350">
        <f>N86*$D86*'E1 Fleet'!$D$98</f>
        <v/>
      </c>
    </row>
    <row r="87">
      <c r="A87" t="inlineStr">
        <is>
          <t>SUV</t>
        </is>
      </c>
      <c r="B87" s="456" t="n">
        <v>34</v>
      </c>
      <c r="C87" s="456" t="n">
        <v>3</v>
      </c>
      <c r="D87" s="348">
        <f>IF($B87=0,'E1 Fleet'!$D$93,1)*EXP(-'E1 Fleet'!$D$94*MAX($B87-6,0))</f>
        <v/>
      </c>
      <c r="E87" s="350">
        <f>IFERROR(INDEX('D Fleet'!$D$5:$D$63,MATCH(E$3-$B87,'D Fleet'!$B$5:$B$63,0)),0)*IFERROR(INDEX('D Fleet'!$K$5:$K$36,INT(($B87/E$5))+1)+(($B87/E$5)-INT(($B87/E$5)))*(INDEX('D Fleet'!$K$5:$K$36,INT(($B87/E$5))+2)-INDEX('D Fleet'!$K$5:$K$36,INT(($B87/E$5))+1)),0)</f>
        <v/>
      </c>
      <c r="F87" s="350">
        <f>IFERROR(INDEX('D Fleet'!$D$5:$D$63,MATCH(F$3-$B87,'D Fleet'!$B$5:$B$63,0)),0)*IFERROR(INDEX('D Fleet'!$K$5:$K$36,INT(($B87/F$5))+1)+(($B87/F$5)-INT(($B87/F$5)))*(INDEX('D Fleet'!$K$5:$K$36,INT(($B87/F$5))+2)-INDEX('D Fleet'!$K$5:$K$36,INT(($B87/F$5))+1)),0)</f>
        <v/>
      </c>
      <c r="G87" s="350">
        <f>IFERROR(INDEX('D Fleet'!$D$5:$D$63,MATCH(G$3-$B87,'D Fleet'!$B$5:$B$63,0)),0)*IFERROR(INDEX('D Fleet'!$K$5:$K$36,INT(($B87/G$5))+1)+(($B87/G$5)-INT(($B87/G$5)))*(INDEX('D Fleet'!$K$5:$K$36,INT(($B87/G$5))+2)-INDEX('D Fleet'!$K$5:$K$36,INT(($B87/G$5))+1)),0)</f>
        <v/>
      </c>
      <c r="H87" s="350">
        <f>IFERROR(INDEX('D Fleet'!$D$5:$D$63,MATCH(H$3-$B87,'D Fleet'!$B$5:$B$63,0)),0)*IFERROR(INDEX('D Fleet'!$K$5:$K$36,INT(($B87/H$5))+1)+(($B87/H$5)-INT(($B87/H$5)))*(INDEX('D Fleet'!$K$5:$K$36,INT(($B87/H$5))+2)-INDEX('D Fleet'!$K$5:$K$36,INT(($B87/H$5))+1)),0)</f>
        <v/>
      </c>
      <c r="I87" s="350">
        <f>IFERROR(INDEX('D Fleet'!$D$5:$D$63,MATCH(I$3-$B87,'D Fleet'!$B$5:$B$63,0)),0)*IFERROR(INDEX('D Fleet'!$K$5:$K$36,INT(($B87/I$5))+1)+(($B87/I$5)-INT(($B87/I$5)))*(INDEX('D Fleet'!$K$5:$K$36,INT(($B87/I$5))+2)-INDEX('D Fleet'!$K$5:$K$36,INT(($B87/I$5))+1)),0)</f>
        <v/>
      </c>
      <c r="J87" s="350">
        <f>IFERROR(INDEX('D Fleet'!$D$5:$D$63,MATCH(J$3-$B87,'D Fleet'!$B$5:$B$63,0)),0)*IFERROR(INDEX('D Fleet'!$K$5:$K$36,INT(($B87/J$5))+1)+(($B87/J$5)-INT(($B87/J$5)))*(INDEX('D Fleet'!$K$5:$K$36,INT(($B87/J$5))+2)-INDEX('D Fleet'!$K$5:$K$36,INT(($B87/J$5))+1)),0)</f>
        <v/>
      </c>
      <c r="K87" s="350">
        <f>IFERROR(INDEX('D Fleet'!$D$5:$D$63,MATCH(K$3-$B87,'D Fleet'!$B$5:$B$63,0)),0)*IFERROR(INDEX('D Fleet'!$K$5:$K$36,INT(($B87/K$5))+1)+(($B87/K$5)-INT(($B87/K$5)))*(INDEX('D Fleet'!$K$5:$K$36,INT(($B87/K$5))+2)-INDEX('D Fleet'!$K$5:$K$36,INT(($B87/K$5))+1)),0)</f>
        <v/>
      </c>
      <c r="L87" s="350">
        <f>IFERROR(INDEX('D Fleet'!$D$5:$D$63,MATCH(L$3-$B87,'D Fleet'!$B$5:$B$63,0)),0)*IFERROR(INDEX('D Fleet'!$K$5:$K$36,INT(($B87/L$5))+1)+(($B87/L$5)-INT(($B87/L$5)))*(INDEX('D Fleet'!$K$5:$K$36,INT(($B87/L$5))+2)-INDEX('D Fleet'!$K$5:$K$36,INT(($B87/L$5))+1)),0)</f>
        <v/>
      </c>
      <c r="M87" s="350">
        <f>IFERROR(INDEX('D Fleet'!$D$5:$D$63,MATCH(M$3-$B87,'D Fleet'!$B$5:$B$63,0)),0)*IFERROR(INDEX('D Fleet'!$K$5:$K$36,INT(($B87/M$5))+1)+(($B87/M$5)-INT(($B87/M$5)))*(INDEX('D Fleet'!$K$5:$K$36,INT(($B87/M$5))+2)-INDEX('D Fleet'!$K$5:$K$36,INT(($B87/M$5))+1)),0)</f>
        <v/>
      </c>
      <c r="N87" s="350">
        <f>IFERROR(INDEX('D Fleet'!$D$5:$D$63,MATCH(N$3-$B87,'D Fleet'!$B$5:$B$63,0)),0)*IFERROR(INDEX('D Fleet'!$K$5:$K$36,INT(($B87/N$5))+1)+(($B87/N$5)-INT(($B87/N$5)))*(INDEX('D Fleet'!$K$5:$K$36,INT(($B87/N$5))+2)-INDEX('D Fleet'!$K$5:$K$36,INT(($B87/N$5))+1)),0)</f>
        <v/>
      </c>
      <c r="P87" s="350">
        <f>E87*$D87*'E1 Fleet'!$D$98</f>
        <v/>
      </c>
      <c r="Q87" s="350">
        <f>F87*$D87*'E1 Fleet'!$D$98</f>
        <v/>
      </c>
      <c r="R87" s="350">
        <f>G87*$D87*'E1 Fleet'!$D$98</f>
        <v/>
      </c>
      <c r="S87" s="350">
        <f>H87*$D87*'E1 Fleet'!$D$98</f>
        <v/>
      </c>
      <c r="T87" s="350">
        <f>I87*$D87*'E1 Fleet'!$D$98</f>
        <v/>
      </c>
      <c r="U87" s="350">
        <f>J87*$D87*'E1 Fleet'!$D$98</f>
        <v/>
      </c>
      <c r="V87" s="350">
        <f>K87*$D87*'E1 Fleet'!$D$98</f>
        <v/>
      </c>
      <c r="W87" s="350">
        <f>L87*$D87*'E1 Fleet'!$D$98</f>
        <v/>
      </c>
      <c r="X87" s="350">
        <f>M87*$D87*'E1 Fleet'!$D$98</f>
        <v/>
      </c>
      <c r="Y87" s="350">
        <f>N87*$D87*'E1 Fleet'!$D$98</f>
        <v/>
      </c>
    </row>
    <row r="88">
      <c r="A88" t="inlineStr">
        <is>
          <t>SUV</t>
        </is>
      </c>
      <c r="B88" s="456" t="n">
        <v>35</v>
      </c>
      <c r="C88" s="456" t="n">
        <v>3</v>
      </c>
      <c r="D88" s="348">
        <f>IF($B88=0,'E1 Fleet'!$D$93,1)*EXP(-'E1 Fleet'!$D$94*MAX($B88-6,0))</f>
        <v/>
      </c>
      <c r="E88" s="350">
        <f>IFERROR(INDEX('D Fleet'!$D$5:$D$63,MATCH(E$3-$B88,'D Fleet'!$B$5:$B$63,0)),0)*IFERROR(INDEX('D Fleet'!$K$5:$K$36,INT(($B88/E$5))+1)+(($B88/E$5)-INT(($B88/E$5)))*(INDEX('D Fleet'!$K$5:$K$36,INT(($B88/E$5))+2)-INDEX('D Fleet'!$K$5:$K$36,INT(($B88/E$5))+1)),0)</f>
        <v/>
      </c>
      <c r="F88" s="350">
        <f>IFERROR(INDEX('D Fleet'!$D$5:$D$63,MATCH(F$3-$B88,'D Fleet'!$B$5:$B$63,0)),0)*IFERROR(INDEX('D Fleet'!$K$5:$K$36,INT(($B88/F$5))+1)+(($B88/F$5)-INT(($B88/F$5)))*(INDEX('D Fleet'!$K$5:$K$36,INT(($B88/F$5))+2)-INDEX('D Fleet'!$K$5:$K$36,INT(($B88/F$5))+1)),0)</f>
        <v/>
      </c>
      <c r="G88" s="350">
        <f>IFERROR(INDEX('D Fleet'!$D$5:$D$63,MATCH(G$3-$B88,'D Fleet'!$B$5:$B$63,0)),0)*IFERROR(INDEX('D Fleet'!$K$5:$K$36,INT(($B88/G$5))+1)+(($B88/G$5)-INT(($B88/G$5)))*(INDEX('D Fleet'!$K$5:$K$36,INT(($B88/G$5))+2)-INDEX('D Fleet'!$K$5:$K$36,INT(($B88/G$5))+1)),0)</f>
        <v/>
      </c>
      <c r="H88" s="350">
        <f>IFERROR(INDEX('D Fleet'!$D$5:$D$63,MATCH(H$3-$B88,'D Fleet'!$B$5:$B$63,0)),0)*IFERROR(INDEX('D Fleet'!$K$5:$K$36,INT(($B88/H$5))+1)+(($B88/H$5)-INT(($B88/H$5)))*(INDEX('D Fleet'!$K$5:$K$36,INT(($B88/H$5))+2)-INDEX('D Fleet'!$K$5:$K$36,INT(($B88/H$5))+1)),0)</f>
        <v/>
      </c>
      <c r="I88" s="350">
        <f>IFERROR(INDEX('D Fleet'!$D$5:$D$63,MATCH(I$3-$B88,'D Fleet'!$B$5:$B$63,0)),0)*IFERROR(INDEX('D Fleet'!$K$5:$K$36,INT(($B88/I$5))+1)+(($B88/I$5)-INT(($B88/I$5)))*(INDEX('D Fleet'!$K$5:$K$36,INT(($B88/I$5))+2)-INDEX('D Fleet'!$K$5:$K$36,INT(($B88/I$5))+1)),0)</f>
        <v/>
      </c>
      <c r="J88" s="350">
        <f>IFERROR(INDEX('D Fleet'!$D$5:$D$63,MATCH(J$3-$B88,'D Fleet'!$B$5:$B$63,0)),0)*IFERROR(INDEX('D Fleet'!$K$5:$K$36,INT(($B88/J$5))+1)+(($B88/J$5)-INT(($B88/J$5)))*(INDEX('D Fleet'!$K$5:$K$36,INT(($B88/J$5))+2)-INDEX('D Fleet'!$K$5:$K$36,INT(($B88/J$5))+1)),0)</f>
        <v/>
      </c>
      <c r="K88" s="350">
        <f>IFERROR(INDEX('D Fleet'!$D$5:$D$63,MATCH(K$3-$B88,'D Fleet'!$B$5:$B$63,0)),0)*IFERROR(INDEX('D Fleet'!$K$5:$K$36,INT(($B88/K$5))+1)+(($B88/K$5)-INT(($B88/K$5)))*(INDEX('D Fleet'!$K$5:$K$36,INT(($B88/K$5))+2)-INDEX('D Fleet'!$K$5:$K$36,INT(($B88/K$5))+1)),0)</f>
        <v/>
      </c>
      <c r="L88" s="350">
        <f>IFERROR(INDEX('D Fleet'!$D$5:$D$63,MATCH(L$3-$B88,'D Fleet'!$B$5:$B$63,0)),0)*IFERROR(INDEX('D Fleet'!$K$5:$K$36,INT(($B88/L$5))+1)+(($B88/L$5)-INT(($B88/L$5)))*(INDEX('D Fleet'!$K$5:$K$36,INT(($B88/L$5))+2)-INDEX('D Fleet'!$K$5:$K$36,INT(($B88/L$5))+1)),0)</f>
        <v/>
      </c>
      <c r="M88" s="350">
        <f>IFERROR(INDEX('D Fleet'!$D$5:$D$63,MATCH(M$3-$B88,'D Fleet'!$B$5:$B$63,0)),0)*IFERROR(INDEX('D Fleet'!$K$5:$K$36,INT(($B88/M$5))+1)+(($B88/M$5)-INT(($B88/M$5)))*(INDEX('D Fleet'!$K$5:$K$36,INT(($B88/M$5))+2)-INDEX('D Fleet'!$K$5:$K$36,INT(($B88/M$5))+1)),0)</f>
        <v/>
      </c>
      <c r="N88" s="350">
        <f>IFERROR(INDEX('D Fleet'!$D$5:$D$63,MATCH(N$3-$B88,'D Fleet'!$B$5:$B$63,0)),0)*IFERROR(INDEX('D Fleet'!$K$5:$K$36,INT(($B88/N$5))+1)+(($B88/N$5)-INT(($B88/N$5)))*(INDEX('D Fleet'!$K$5:$K$36,INT(($B88/N$5))+2)-INDEX('D Fleet'!$K$5:$K$36,INT(($B88/N$5))+1)),0)</f>
        <v/>
      </c>
      <c r="P88" s="350">
        <f>E88*$D88*'E1 Fleet'!$D$98</f>
        <v/>
      </c>
      <c r="Q88" s="350">
        <f>F88*$D88*'E1 Fleet'!$D$98</f>
        <v/>
      </c>
      <c r="R88" s="350">
        <f>G88*$D88*'E1 Fleet'!$D$98</f>
        <v/>
      </c>
      <c r="S88" s="350">
        <f>H88*$D88*'E1 Fleet'!$D$98</f>
        <v/>
      </c>
      <c r="T88" s="350">
        <f>I88*$D88*'E1 Fleet'!$D$98</f>
        <v/>
      </c>
      <c r="U88" s="350">
        <f>J88*$D88*'E1 Fleet'!$D$98</f>
        <v/>
      </c>
      <c r="V88" s="350">
        <f>K88*$D88*'E1 Fleet'!$D$98</f>
        <v/>
      </c>
      <c r="W88" s="350">
        <f>L88*$D88*'E1 Fleet'!$D$98</f>
        <v/>
      </c>
      <c r="X88" s="350">
        <f>M88*$D88*'E1 Fleet'!$D$98</f>
        <v/>
      </c>
      <c r="Y88" s="350">
        <f>N88*$D88*'E1 Fleet'!$D$98</f>
        <v/>
      </c>
    </row>
    <row r="89">
      <c r="A89" t="inlineStr">
        <is>
          <t>SUV</t>
        </is>
      </c>
      <c r="B89" s="456" t="n">
        <v>36</v>
      </c>
      <c r="C89" s="456" t="n">
        <v>3</v>
      </c>
      <c r="D89" s="348">
        <f>IF($B89=0,'E1 Fleet'!$D$93,1)*EXP(-'E1 Fleet'!$D$94*MAX($B89-6,0))</f>
        <v/>
      </c>
      <c r="E89" s="350">
        <f>IFERROR(INDEX('D Fleet'!$D$5:$D$63,MATCH(E$3-$B89,'D Fleet'!$B$5:$B$63,0)),0)*IFERROR(INDEX('D Fleet'!$K$5:$K$36,INT(($B89/E$5))+1)+(($B89/E$5)-INT(($B89/E$5)))*(INDEX('D Fleet'!$K$5:$K$36,INT(($B89/E$5))+2)-INDEX('D Fleet'!$K$5:$K$36,INT(($B89/E$5))+1)),0)</f>
        <v/>
      </c>
      <c r="F89" s="350">
        <f>IFERROR(INDEX('D Fleet'!$D$5:$D$63,MATCH(F$3-$B89,'D Fleet'!$B$5:$B$63,0)),0)*IFERROR(INDEX('D Fleet'!$K$5:$K$36,INT(($B89/F$5))+1)+(($B89/F$5)-INT(($B89/F$5)))*(INDEX('D Fleet'!$K$5:$K$36,INT(($B89/F$5))+2)-INDEX('D Fleet'!$K$5:$K$36,INT(($B89/F$5))+1)),0)</f>
        <v/>
      </c>
      <c r="G89" s="350">
        <f>IFERROR(INDEX('D Fleet'!$D$5:$D$63,MATCH(G$3-$B89,'D Fleet'!$B$5:$B$63,0)),0)*IFERROR(INDEX('D Fleet'!$K$5:$K$36,INT(($B89/G$5))+1)+(($B89/G$5)-INT(($B89/G$5)))*(INDEX('D Fleet'!$K$5:$K$36,INT(($B89/G$5))+2)-INDEX('D Fleet'!$K$5:$K$36,INT(($B89/G$5))+1)),0)</f>
        <v/>
      </c>
      <c r="H89" s="350">
        <f>IFERROR(INDEX('D Fleet'!$D$5:$D$63,MATCH(H$3-$B89,'D Fleet'!$B$5:$B$63,0)),0)*IFERROR(INDEX('D Fleet'!$K$5:$K$36,INT(($B89/H$5))+1)+(($B89/H$5)-INT(($B89/H$5)))*(INDEX('D Fleet'!$K$5:$K$36,INT(($B89/H$5))+2)-INDEX('D Fleet'!$K$5:$K$36,INT(($B89/H$5))+1)),0)</f>
        <v/>
      </c>
      <c r="I89" s="350">
        <f>IFERROR(INDEX('D Fleet'!$D$5:$D$63,MATCH(I$3-$B89,'D Fleet'!$B$5:$B$63,0)),0)*IFERROR(INDEX('D Fleet'!$K$5:$K$36,INT(($B89/I$5))+1)+(($B89/I$5)-INT(($B89/I$5)))*(INDEX('D Fleet'!$K$5:$K$36,INT(($B89/I$5))+2)-INDEX('D Fleet'!$K$5:$K$36,INT(($B89/I$5))+1)),0)</f>
        <v/>
      </c>
      <c r="J89" s="350">
        <f>IFERROR(INDEX('D Fleet'!$D$5:$D$63,MATCH(J$3-$B89,'D Fleet'!$B$5:$B$63,0)),0)*IFERROR(INDEX('D Fleet'!$K$5:$K$36,INT(($B89/J$5))+1)+(($B89/J$5)-INT(($B89/J$5)))*(INDEX('D Fleet'!$K$5:$K$36,INT(($B89/J$5))+2)-INDEX('D Fleet'!$K$5:$K$36,INT(($B89/J$5))+1)),0)</f>
        <v/>
      </c>
      <c r="K89" s="350">
        <f>IFERROR(INDEX('D Fleet'!$D$5:$D$63,MATCH(K$3-$B89,'D Fleet'!$B$5:$B$63,0)),0)*IFERROR(INDEX('D Fleet'!$K$5:$K$36,INT(($B89/K$5))+1)+(($B89/K$5)-INT(($B89/K$5)))*(INDEX('D Fleet'!$K$5:$K$36,INT(($B89/K$5))+2)-INDEX('D Fleet'!$K$5:$K$36,INT(($B89/K$5))+1)),0)</f>
        <v/>
      </c>
      <c r="L89" s="350">
        <f>IFERROR(INDEX('D Fleet'!$D$5:$D$63,MATCH(L$3-$B89,'D Fleet'!$B$5:$B$63,0)),0)*IFERROR(INDEX('D Fleet'!$K$5:$K$36,INT(($B89/L$5))+1)+(($B89/L$5)-INT(($B89/L$5)))*(INDEX('D Fleet'!$K$5:$K$36,INT(($B89/L$5))+2)-INDEX('D Fleet'!$K$5:$K$36,INT(($B89/L$5))+1)),0)</f>
        <v/>
      </c>
      <c r="M89" s="350">
        <f>IFERROR(INDEX('D Fleet'!$D$5:$D$63,MATCH(M$3-$B89,'D Fleet'!$B$5:$B$63,0)),0)*IFERROR(INDEX('D Fleet'!$K$5:$K$36,INT(($B89/M$5))+1)+(($B89/M$5)-INT(($B89/M$5)))*(INDEX('D Fleet'!$K$5:$K$36,INT(($B89/M$5))+2)-INDEX('D Fleet'!$K$5:$K$36,INT(($B89/M$5))+1)),0)</f>
        <v/>
      </c>
      <c r="N89" s="350">
        <f>IFERROR(INDEX('D Fleet'!$D$5:$D$63,MATCH(N$3-$B89,'D Fleet'!$B$5:$B$63,0)),0)*IFERROR(INDEX('D Fleet'!$K$5:$K$36,INT(($B89/N$5))+1)+(($B89/N$5)-INT(($B89/N$5)))*(INDEX('D Fleet'!$K$5:$K$36,INT(($B89/N$5))+2)-INDEX('D Fleet'!$K$5:$K$36,INT(($B89/N$5))+1)),0)</f>
        <v/>
      </c>
      <c r="P89" s="350">
        <f>E89*$D89*'E1 Fleet'!$D$98</f>
        <v/>
      </c>
      <c r="Q89" s="350">
        <f>F89*$D89*'E1 Fleet'!$D$98</f>
        <v/>
      </c>
      <c r="R89" s="350">
        <f>G89*$D89*'E1 Fleet'!$D$98</f>
        <v/>
      </c>
      <c r="S89" s="350">
        <f>H89*$D89*'E1 Fleet'!$D$98</f>
        <v/>
      </c>
      <c r="T89" s="350">
        <f>I89*$D89*'E1 Fleet'!$D$98</f>
        <v/>
      </c>
      <c r="U89" s="350">
        <f>J89*$D89*'E1 Fleet'!$D$98</f>
        <v/>
      </c>
      <c r="V89" s="350">
        <f>K89*$D89*'E1 Fleet'!$D$98</f>
        <v/>
      </c>
      <c r="W89" s="350">
        <f>L89*$D89*'E1 Fleet'!$D$98</f>
        <v/>
      </c>
      <c r="X89" s="350">
        <f>M89*$D89*'E1 Fleet'!$D$98</f>
        <v/>
      </c>
      <c r="Y89" s="350">
        <f>N89*$D89*'E1 Fleet'!$D$98</f>
        <v/>
      </c>
    </row>
    <row r="90">
      <c r="A90" t="inlineStr">
        <is>
          <t>SUV</t>
        </is>
      </c>
      <c r="B90" s="456" t="n">
        <v>37</v>
      </c>
      <c r="C90" s="456" t="n">
        <v>3</v>
      </c>
      <c r="D90" s="348">
        <f>IF($B90=0,'E1 Fleet'!$D$93,1)*EXP(-'E1 Fleet'!$D$94*MAX($B90-6,0))</f>
        <v/>
      </c>
      <c r="E90" s="350">
        <f>IFERROR(INDEX('D Fleet'!$D$5:$D$63,MATCH(E$3-$B90,'D Fleet'!$B$5:$B$63,0)),0)*IFERROR(INDEX('D Fleet'!$K$5:$K$36,INT(($B90/E$5))+1)+(($B90/E$5)-INT(($B90/E$5)))*(INDEX('D Fleet'!$K$5:$K$36,INT(($B90/E$5))+2)-INDEX('D Fleet'!$K$5:$K$36,INT(($B90/E$5))+1)),0)</f>
        <v/>
      </c>
      <c r="F90" s="350">
        <f>IFERROR(INDEX('D Fleet'!$D$5:$D$63,MATCH(F$3-$B90,'D Fleet'!$B$5:$B$63,0)),0)*IFERROR(INDEX('D Fleet'!$K$5:$K$36,INT(($B90/F$5))+1)+(($B90/F$5)-INT(($B90/F$5)))*(INDEX('D Fleet'!$K$5:$K$36,INT(($B90/F$5))+2)-INDEX('D Fleet'!$K$5:$K$36,INT(($B90/F$5))+1)),0)</f>
        <v/>
      </c>
      <c r="G90" s="350">
        <f>IFERROR(INDEX('D Fleet'!$D$5:$D$63,MATCH(G$3-$B90,'D Fleet'!$B$5:$B$63,0)),0)*IFERROR(INDEX('D Fleet'!$K$5:$K$36,INT(($B90/G$5))+1)+(($B90/G$5)-INT(($B90/G$5)))*(INDEX('D Fleet'!$K$5:$K$36,INT(($B90/G$5))+2)-INDEX('D Fleet'!$K$5:$K$36,INT(($B90/G$5))+1)),0)</f>
        <v/>
      </c>
      <c r="H90" s="350">
        <f>IFERROR(INDEX('D Fleet'!$D$5:$D$63,MATCH(H$3-$B90,'D Fleet'!$B$5:$B$63,0)),0)*IFERROR(INDEX('D Fleet'!$K$5:$K$36,INT(($B90/H$5))+1)+(($B90/H$5)-INT(($B90/H$5)))*(INDEX('D Fleet'!$K$5:$K$36,INT(($B90/H$5))+2)-INDEX('D Fleet'!$K$5:$K$36,INT(($B90/H$5))+1)),0)</f>
        <v/>
      </c>
      <c r="I90" s="350">
        <f>IFERROR(INDEX('D Fleet'!$D$5:$D$63,MATCH(I$3-$B90,'D Fleet'!$B$5:$B$63,0)),0)*IFERROR(INDEX('D Fleet'!$K$5:$K$36,INT(($B90/I$5))+1)+(($B90/I$5)-INT(($B90/I$5)))*(INDEX('D Fleet'!$K$5:$K$36,INT(($B90/I$5))+2)-INDEX('D Fleet'!$K$5:$K$36,INT(($B90/I$5))+1)),0)</f>
        <v/>
      </c>
      <c r="J90" s="350">
        <f>IFERROR(INDEX('D Fleet'!$D$5:$D$63,MATCH(J$3-$B90,'D Fleet'!$B$5:$B$63,0)),0)*IFERROR(INDEX('D Fleet'!$K$5:$K$36,INT(($B90/J$5))+1)+(($B90/J$5)-INT(($B90/J$5)))*(INDEX('D Fleet'!$K$5:$K$36,INT(($B90/J$5))+2)-INDEX('D Fleet'!$K$5:$K$36,INT(($B90/J$5))+1)),0)</f>
        <v/>
      </c>
      <c r="K90" s="350">
        <f>IFERROR(INDEX('D Fleet'!$D$5:$D$63,MATCH(K$3-$B90,'D Fleet'!$B$5:$B$63,0)),0)*IFERROR(INDEX('D Fleet'!$K$5:$K$36,INT(($B90/K$5))+1)+(($B90/K$5)-INT(($B90/K$5)))*(INDEX('D Fleet'!$K$5:$K$36,INT(($B90/K$5))+2)-INDEX('D Fleet'!$K$5:$K$36,INT(($B90/K$5))+1)),0)</f>
        <v/>
      </c>
      <c r="L90" s="350">
        <f>IFERROR(INDEX('D Fleet'!$D$5:$D$63,MATCH(L$3-$B90,'D Fleet'!$B$5:$B$63,0)),0)*IFERROR(INDEX('D Fleet'!$K$5:$K$36,INT(($B90/L$5))+1)+(($B90/L$5)-INT(($B90/L$5)))*(INDEX('D Fleet'!$K$5:$K$36,INT(($B90/L$5))+2)-INDEX('D Fleet'!$K$5:$K$36,INT(($B90/L$5))+1)),0)</f>
        <v/>
      </c>
      <c r="M90" s="350">
        <f>IFERROR(INDEX('D Fleet'!$D$5:$D$63,MATCH(M$3-$B90,'D Fleet'!$B$5:$B$63,0)),0)*IFERROR(INDEX('D Fleet'!$K$5:$K$36,INT(($B90/M$5))+1)+(($B90/M$5)-INT(($B90/M$5)))*(INDEX('D Fleet'!$K$5:$K$36,INT(($B90/M$5))+2)-INDEX('D Fleet'!$K$5:$K$36,INT(($B90/M$5))+1)),0)</f>
        <v/>
      </c>
      <c r="N90" s="350">
        <f>IFERROR(INDEX('D Fleet'!$D$5:$D$63,MATCH(N$3-$B90,'D Fleet'!$B$5:$B$63,0)),0)*IFERROR(INDEX('D Fleet'!$K$5:$K$36,INT(($B90/N$5))+1)+(($B90/N$5)-INT(($B90/N$5)))*(INDEX('D Fleet'!$K$5:$K$36,INT(($B90/N$5))+2)-INDEX('D Fleet'!$K$5:$K$36,INT(($B90/N$5))+1)),0)</f>
        <v/>
      </c>
      <c r="P90" s="350">
        <f>E90*$D90*'E1 Fleet'!$D$98</f>
        <v/>
      </c>
      <c r="Q90" s="350">
        <f>F90*$D90*'E1 Fleet'!$D$98</f>
        <v/>
      </c>
      <c r="R90" s="350">
        <f>G90*$D90*'E1 Fleet'!$D$98</f>
        <v/>
      </c>
      <c r="S90" s="350">
        <f>H90*$D90*'E1 Fleet'!$D$98</f>
        <v/>
      </c>
      <c r="T90" s="350">
        <f>I90*$D90*'E1 Fleet'!$D$98</f>
        <v/>
      </c>
      <c r="U90" s="350">
        <f>J90*$D90*'E1 Fleet'!$D$98</f>
        <v/>
      </c>
      <c r="V90" s="350">
        <f>K90*$D90*'E1 Fleet'!$D$98</f>
        <v/>
      </c>
      <c r="W90" s="350">
        <f>L90*$D90*'E1 Fleet'!$D$98</f>
        <v/>
      </c>
      <c r="X90" s="350">
        <f>M90*$D90*'E1 Fleet'!$D$98</f>
        <v/>
      </c>
      <c r="Y90" s="350">
        <f>N90*$D90*'E1 Fleet'!$D$98</f>
        <v/>
      </c>
    </row>
    <row r="91">
      <c r="A91" t="inlineStr">
        <is>
          <t>SUV</t>
        </is>
      </c>
      <c r="B91" s="456" t="n">
        <v>38</v>
      </c>
      <c r="C91" s="456" t="n">
        <v>3</v>
      </c>
      <c r="D91" s="348">
        <f>IF($B91=0,'E1 Fleet'!$D$93,1)*EXP(-'E1 Fleet'!$D$94*MAX($B91-6,0))</f>
        <v/>
      </c>
      <c r="E91" s="350">
        <f>IFERROR(INDEX('D Fleet'!$D$5:$D$63,MATCH(E$3-$B91,'D Fleet'!$B$5:$B$63,0)),0)*IFERROR(INDEX('D Fleet'!$K$5:$K$36,INT(($B91/E$5))+1)+(($B91/E$5)-INT(($B91/E$5)))*(INDEX('D Fleet'!$K$5:$K$36,INT(($B91/E$5))+2)-INDEX('D Fleet'!$K$5:$K$36,INT(($B91/E$5))+1)),0)</f>
        <v/>
      </c>
      <c r="F91" s="350">
        <f>IFERROR(INDEX('D Fleet'!$D$5:$D$63,MATCH(F$3-$B91,'D Fleet'!$B$5:$B$63,0)),0)*IFERROR(INDEX('D Fleet'!$K$5:$K$36,INT(($B91/F$5))+1)+(($B91/F$5)-INT(($B91/F$5)))*(INDEX('D Fleet'!$K$5:$K$36,INT(($B91/F$5))+2)-INDEX('D Fleet'!$K$5:$K$36,INT(($B91/F$5))+1)),0)</f>
        <v/>
      </c>
      <c r="G91" s="350">
        <f>IFERROR(INDEX('D Fleet'!$D$5:$D$63,MATCH(G$3-$B91,'D Fleet'!$B$5:$B$63,0)),0)*IFERROR(INDEX('D Fleet'!$K$5:$K$36,INT(($B91/G$5))+1)+(($B91/G$5)-INT(($B91/G$5)))*(INDEX('D Fleet'!$K$5:$K$36,INT(($B91/G$5))+2)-INDEX('D Fleet'!$K$5:$K$36,INT(($B91/G$5))+1)),0)</f>
        <v/>
      </c>
      <c r="H91" s="350">
        <f>IFERROR(INDEX('D Fleet'!$D$5:$D$63,MATCH(H$3-$B91,'D Fleet'!$B$5:$B$63,0)),0)*IFERROR(INDEX('D Fleet'!$K$5:$K$36,INT(($B91/H$5))+1)+(($B91/H$5)-INT(($B91/H$5)))*(INDEX('D Fleet'!$K$5:$K$36,INT(($B91/H$5))+2)-INDEX('D Fleet'!$K$5:$K$36,INT(($B91/H$5))+1)),0)</f>
        <v/>
      </c>
      <c r="I91" s="350">
        <f>IFERROR(INDEX('D Fleet'!$D$5:$D$63,MATCH(I$3-$B91,'D Fleet'!$B$5:$B$63,0)),0)*IFERROR(INDEX('D Fleet'!$K$5:$K$36,INT(($B91/I$5))+1)+(($B91/I$5)-INT(($B91/I$5)))*(INDEX('D Fleet'!$K$5:$K$36,INT(($B91/I$5))+2)-INDEX('D Fleet'!$K$5:$K$36,INT(($B91/I$5))+1)),0)</f>
        <v/>
      </c>
      <c r="J91" s="350">
        <f>IFERROR(INDEX('D Fleet'!$D$5:$D$63,MATCH(J$3-$B91,'D Fleet'!$B$5:$B$63,0)),0)*IFERROR(INDEX('D Fleet'!$K$5:$K$36,INT(($B91/J$5))+1)+(($B91/J$5)-INT(($B91/J$5)))*(INDEX('D Fleet'!$K$5:$K$36,INT(($B91/J$5))+2)-INDEX('D Fleet'!$K$5:$K$36,INT(($B91/J$5))+1)),0)</f>
        <v/>
      </c>
      <c r="K91" s="350">
        <f>IFERROR(INDEX('D Fleet'!$D$5:$D$63,MATCH(K$3-$B91,'D Fleet'!$B$5:$B$63,0)),0)*IFERROR(INDEX('D Fleet'!$K$5:$K$36,INT(($B91/K$5))+1)+(($B91/K$5)-INT(($B91/K$5)))*(INDEX('D Fleet'!$K$5:$K$36,INT(($B91/K$5))+2)-INDEX('D Fleet'!$K$5:$K$36,INT(($B91/K$5))+1)),0)</f>
        <v/>
      </c>
      <c r="L91" s="350">
        <f>IFERROR(INDEX('D Fleet'!$D$5:$D$63,MATCH(L$3-$B91,'D Fleet'!$B$5:$B$63,0)),0)*IFERROR(INDEX('D Fleet'!$K$5:$K$36,INT(($B91/L$5))+1)+(($B91/L$5)-INT(($B91/L$5)))*(INDEX('D Fleet'!$K$5:$K$36,INT(($B91/L$5))+2)-INDEX('D Fleet'!$K$5:$K$36,INT(($B91/L$5))+1)),0)</f>
        <v/>
      </c>
      <c r="M91" s="350">
        <f>IFERROR(INDEX('D Fleet'!$D$5:$D$63,MATCH(M$3-$B91,'D Fleet'!$B$5:$B$63,0)),0)*IFERROR(INDEX('D Fleet'!$K$5:$K$36,INT(($B91/M$5))+1)+(($B91/M$5)-INT(($B91/M$5)))*(INDEX('D Fleet'!$K$5:$K$36,INT(($B91/M$5))+2)-INDEX('D Fleet'!$K$5:$K$36,INT(($B91/M$5))+1)),0)</f>
        <v/>
      </c>
      <c r="N91" s="350">
        <f>IFERROR(INDEX('D Fleet'!$D$5:$D$63,MATCH(N$3-$B91,'D Fleet'!$B$5:$B$63,0)),0)*IFERROR(INDEX('D Fleet'!$K$5:$K$36,INT(($B91/N$5))+1)+(($B91/N$5)-INT(($B91/N$5)))*(INDEX('D Fleet'!$K$5:$K$36,INT(($B91/N$5))+2)-INDEX('D Fleet'!$K$5:$K$36,INT(($B91/N$5))+1)),0)</f>
        <v/>
      </c>
      <c r="P91" s="350">
        <f>E91*$D91*'E1 Fleet'!$D$98</f>
        <v/>
      </c>
      <c r="Q91" s="350">
        <f>F91*$D91*'E1 Fleet'!$D$98</f>
        <v/>
      </c>
      <c r="R91" s="350">
        <f>G91*$D91*'E1 Fleet'!$D$98</f>
        <v/>
      </c>
      <c r="S91" s="350">
        <f>H91*$D91*'E1 Fleet'!$D$98</f>
        <v/>
      </c>
      <c r="T91" s="350">
        <f>I91*$D91*'E1 Fleet'!$D$98</f>
        <v/>
      </c>
      <c r="U91" s="350">
        <f>J91*$D91*'E1 Fleet'!$D$98</f>
        <v/>
      </c>
      <c r="V91" s="350">
        <f>K91*$D91*'E1 Fleet'!$D$98</f>
        <v/>
      </c>
      <c r="W91" s="350">
        <f>L91*$D91*'E1 Fleet'!$D$98</f>
        <v/>
      </c>
      <c r="X91" s="350">
        <f>M91*$D91*'E1 Fleet'!$D$98</f>
        <v/>
      </c>
      <c r="Y91" s="350">
        <f>N91*$D91*'E1 Fleet'!$D$98</f>
        <v/>
      </c>
    </row>
    <row r="92">
      <c r="A92" t="inlineStr">
        <is>
          <t>SUV</t>
        </is>
      </c>
      <c r="B92" s="456" t="n">
        <v>39</v>
      </c>
      <c r="C92" s="456" t="n">
        <v>3</v>
      </c>
      <c r="D92" s="348">
        <f>IF($B92=0,'E1 Fleet'!$D$93,1)*EXP(-'E1 Fleet'!$D$94*MAX($B92-6,0))</f>
        <v/>
      </c>
      <c r="E92" s="350">
        <f>IFERROR(INDEX('D Fleet'!$D$5:$D$63,MATCH(E$3-$B92,'D Fleet'!$B$5:$B$63,0)),0)*IFERROR(INDEX('D Fleet'!$K$5:$K$36,INT(($B92/E$5))+1)+(($B92/E$5)-INT(($B92/E$5)))*(INDEX('D Fleet'!$K$5:$K$36,INT(($B92/E$5))+2)-INDEX('D Fleet'!$K$5:$K$36,INT(($B92/E$5))+1)),0)</f>
        <v/>
      </c>
      <c r="F92" s="350">
        <f>IFERROR(INDEX('D Fleet'!$D$5:$D$63,MATCH(F$3-$B92,'D Fleet'!$B$5:$B$63,0)),0)*IFERROR(INDEX('D Fleet'!$K$5:$K$36,INT(($B92/F$5))+1)+(($B92/F$5)-INT(($B92/F$5)))*(INDEX('D Fleet'!$K$5:$K$36,INT(($B92/F$5))+2)-INDEX('D Fleet'!$K$5:$K$36,INT(($B92/F$5))+1)),0)</f>
        <v/>
      </c>
      <c r="G92" s="350">
        <f>IFERROR(INDEX('D Fleet'!$D$5:$D$63,MATCH(G$3-$B92,'D Fleet'!$B$5:$B$63,0)),0)*IFERROR(INDEX('D Fleet'!$K$5:$K$36,INT(($B92/G$5))+1)+(($B92/G$5)-INT(($B92/G$5)))*(INDEX('D Fleet'!$K$5:$K$36,INT(($B92/G$5))+2)-INDEX('D Fleet'!$K$5:$K$36,INT(($B92/G$5))+1)),0)</f>
        <v/>
      </c>
      <c r="H92" s="350">
        <f>IFERROR(INDEX('D Fleet'!$D$5:$D$63,MATCH(H$3-$B92,'D Fleet'!$B$5:$B$63,0)),0)*IFERROR(INDEX('D Fleet'!$K$5:$K$36,INT(($B92/H$5))+1)+(($B92/H$5)-INT(($B92/H$5)))*(INDEX('D Fleet'!$K$5:$K$36,INT(($B92/H$5))+2)-INDEX('D Fleet'!$K$5:$K$36,INT(($B92/H$5))+1)),0)</f>
        <v/>
      </c>
      <c r="I92" s="350">
        <f>IFERROR(INDEX('D Fleet'!$D$5:$D$63,MATCH(I$3-$B92,'D Fleet'!$B$5:$B$63,0)),0)*IFERROR(INDEX('D Fleet'!$K$5:$K$36,INT(($B92/I$5))+1)+(($B92/I$5)-INT(($B92/I$5)))*(INDEX('D Fleet'!$K$5:$K$36,INT(($B92/I$5))+2)-INDEX('D Fleet'!$K$5:$K$36,INT(($B92/I$5))+1)),0)</f>
        <v/>
      </c>
      <c r="J92" s="350">
        <f>IFERROR(INDEX('D Fleet'!$D$5:$D$63,MATCH(J$3-$B92,'D Fleet'!$B$5:$B$63,0)),0)*IFERROR(INDEX('D Fleet'!$K$5:$K$36,INT(($B92/J$5))+1)+(($B92/J$5)-INT(($B92/J$5)))*(INDEX('D Fleet'!$K$5:$K$36,INT(($B92/J$5))+2)-INDEX('D Fleet'!$K$5:$K$36,INT(($B92/J$5))+1)),0)</f>
        <v/>
      </c>
      <c r="K92" s="350">
        <f>IFERROR(INDEX('D Fleet'!$D$5:$D$63,MATCH(K$3-$B92,'D Fleet'!$B$5:$B$63,0)),0)*IFERROR(INDEX('D Fleet'!$K$5:$K$36,INT(($B92/K$5))+1)+(($B92/K$5)-INT(($B92/K$5)))*(INDEX('D Fleet'!$K$5:$K$36,INT(($B92/K$5))+2)-INDEX('D Fleet'!$K$5:$K$36,INT(($B92/K$5))+1)),0)</f>
        <v/>
      </c>
      <c r="L92" s="350">
        <f>IFERROR(INDEX('D Fleet'!$D$5:$D$63,MATCH(L$3-$B92,'D Fleet'!$B$5:$B$63,0)),0)*IFERROR(INDEX('D Fleet'!$K$5:$K$36,INT(($B92/L$5))+1)+(($B92/L$5)-INT(($B92/L$5)))*(INDEX('D Fleet'!$K$5:$K$36,INT(($B92/L$5))+2)-INDEX('D Fleet'!$K$5:$K$36,INT(($B92/L$5))+1)),0)</f>
        <v/>
      </c>
      <c r="M92" s="350">
        <f>IFERROR(INDEX('D Fleet'!$D$5:$D$63,MATCH(M$3-$B92,'D Fleet'!$B$5:$B$63,0)),0)*IFERROR(INDEX('D Fleet'!$K$5:$K$36,INT(($B92/M$5))+1)+(($B92/M$5)-INT(($B92/M$5)))*(INDEX('D Fleet'!$K$5:$K$36,INT(($B92/M$5))+2)-INDEX('D Fleet'!$K$5:$K$36,INT(($B92/M$5))+1)),0)</f>
        <v/>
      </c>
      <c r="N92" s="350">
        <f>IFERROR(INDEX('D Fleet'!$D$5:$D$63,MATCH(N$3-$B92,'D Fleet'!$B$5:$B$63,0)),0)*IFERROR(INDEX('D Fleet'!$K$5:$K$36,INT(($B92/N$5))+1)+(($B92/N$5)-INT(($B92/N$5)))*(INDEX('D Fleet'!$K$5:$K$36,INT(($B92/N$5))+2)-INDEX('D Fleet'!$K$5:$K$36,INT(($B92/N$5))+1)),0)</f>
        <v/>
      </c>
      <c r="P92" s="350">
        <f>E92*$D92*'E1 Fleet'!$D$98</f>
        <v/>
      </c>
      <c r="Q92" s="350">
        <f>F92*$D92*'E1 Fleet'!$D$98</f>
        <v/>
      </c>
      <c r="R92" s="350">
        <f>G92*$D92*'E1 Fleet'!$D$98</f>
        <v/>
      </c>
      <c r="S92" s="350">
        <f>H92*$D92*'E1 Fleet'!$D$98</f>
        <v/>
      </c>
      <c r="T92" s="350">
        <f>I92*$D92*'E1 Fleet'!$D$98</f>
        <v/>
      </c>
      <c r="U92" s="350">
        <f>J92*$D92*'E1 Fleet'!$D$98</f>
        <v/>
      </c>
      <c r="V92" s="350">
        <f>K92*$D92*'E1 Fleet'!$D$98</f>
        <v/>
      </c>
      <c r="W92" s="350">
        <f>L92*$D92*'E1 Fleet'!$D$98</f>
        <v/>
      </c>
      <c r="X92" s="350">
        <f>M92*$D92*'E1 Fleet'!$D$98</f>
        <v/>
      </c>
      <c r="Y92" s="350">
        <f>N92*$D92*'E1 Fleet'!$D$98</f>
        <v/>
      </c>
    </row>
    <row r="93">
      <c r="A93" t="inlineStr">
        <is>
          <t>SUV</t>
        </is>
      </c>
      <c r="B93" s="456" t="n">
        <v>40</v>
      </c>
      <c r="C93" s="456" t="n">
        <v>3</v>
      </c>
      <c r="D93" s="348">
        <f>IF($B93=0,'E1 Fleet'!$D$93,1)*EXP(-'E1 Fleet'!$D$94*MAX($B93-6,0))</f>
        <v/>
      </c>
      <c r="E93" s="350">
        <f>IFERROR(INDEX('D Fleet'!$D$5:$D$63,MATCH(E$3-$B93,'D Fleet'!$B$5:$B$63,0)),0)*IFERROR(INDEX('D Fleet'!$K$5:$K$36,INT(($B93/E$5))+1)+(($B93/E$5)-INT(($B93/E$5)))*(INDEX('D Fleet'!$K$5:$K$36,INT(($B93/E$5))+2)-INDEX('D Fleet'!$K$5:$K$36,INT(($B93/E$5))+1)),0)</f>
        <v/>
      </c>
      <c r="F93" s="350">
        <f>IFERROR(INDEX('D Fleet'!$D$5:$D$63,MATCH(F$3-$B93,'D Fleet'!$B$5:$B$63,0)),0)*IFERROR(INDEX('D Fleet'!$K$5:$K$36,INT(($B93/F$5))+1)+(($B93/F$5)-INT(($B93/F$5)))*(INDEX('D Fleet'!$K$5:$K$36,INT(($B93/F$5))+2)-INDEX('D Fleet'!$K$5:$K$36,INT(($B93/F$5))+1)),0)</f>
        <v/>
      </c>
      <c r="G93" s="350">
        <f>IFERROR(INDEX('D Fleet'!$D$5:$D$63,MATCH(G$3-$B93,'D Fleet'!$B$5:$B$63,0)),0)*IFERROR(INDEX('D Fleet'!$K$5:$K$36,INT(($B93/G$5))+1)+(($B93/G$5)-INT(($B93/G$5)))*(INDEX('D Fleet'!$K$5:$K$36,INT(($B93/G$5))+2)-INDEX('D Fleet'!$K$5:$K$36,INT(($B93/G$5))+1)),0)</f>
        <v/>
      </c>
      <c r="H93" s="350">
        <f>IFERROR(INDEX('D Fleet'!$D$5:$D$63,MATCH(H$3-$B93,'D Fleet'!$B$5:$B$63,0)),0)*IFERROR(INDEX('D Fleet'!$K$5:$K$36,INT(($B93/H$5))+1)+(($B93/H$5)-INT(($B93/H$5)))*(INDEX('D Fleet'!$K$5:$K$36,INT(($B93/H$5))+2)-INDEX('D Fleet'!$K$5:$K$36,INT(($B93/H$5))+1)),0)</f>
        <v/>
      </c>
      <c r="I93" s="350">
        <f>IFERROR(INDEX('D Fleet'!$D$5:$D$63,MATCH(I$3-$B93,'D Fleet'!$B$5:$B$63,0)),0)*IFERROR(INDEX('D Fleet'!$K$5:$K$36,INT(($B93/I$5))+1)+(($B93/I$5)-INT(($B93/I$5)))*(INDEX('D Fleet'!$K$5:$K$36,INT(($B93/I$5))+2)-INDEX('D Fleet'!$K$5:$K$36,INT(($B93/I$5))+1)),0)</f>
        <v/>
      </c>
      <c r="J93" s="350">
        <f>IFERROR(INDEX('D Fleet'!$D$5:$D$63,MATCH(J$3-$B93,'D Fleet'!$B$5:$B$63,0)),0)*IFERROR(INDEX('D Fleet'!$K$5:$K$36,INT(($B93/J$5))+1)+(($B93/J$5)-INT(($B93/J$5)))*(INDEX('D Fleet'!$K$5:$K$36,INT(($B93/J$5))+2)-INDEX('D Fleet'!$K$5:$K$36,INT(($B93/J$5))+1)),0)</f>
        <v/>
      </c>
      <c r="K93" s="350">
        <f>IFERROR(INDEX('D Fleet'!$D$5:$D$63,MATCH(K$3-$B93,'D Fleet'!$B$5:$B$63,0)),0)*IFERROR(INDEX('D Fleet'!$K$5:$K$36,INT(($B93/K$5))+1)+(($B93/K$5)-INT(($B93/K$5)))*(INDEX('D Fleet'!$K$5:$K$36,INT(($B93/K$5))+2)-INDEX('D Fleet'!$K$5:$K$36,INT(($B93/K$5))+1)),0)</f>
        <v/>
      </c>
      <c r="L93" s="350">
        <f>IFERROR(INDEX('D Fleet'!$D$5:$D$63,MATCH(L$3-$B93,'D Fleet'!$B$5:$B$63,0)),0)*IFERROR(INDEX('D Fleet'!$K$5:$K$36,INT(($B93/L$5))+1)+(($B93/L$5)-INT(($B93/L$5)))*(INDEX('D Fleet'!$K$5:$K$36,INT(($B93/L$5))+2)-INDEX('D Fleet'!$K$5:$K$36,INT(($B93/L$5))+1)),0)</f>
        <v/>
      </c>
      <c r="M93" s="350">
        <f>IFERROR(INDEX('D Fleet'!$D$5:$D$63,MATCH(M$3-$B93,'D Fleet'!$B$5:$B$63,0)),0)*IFERROR(INDEX('D Fleet'!$K$5:$K$36,INT(($B93/M$5))+1)+(($B93/M$5)-INT(($B93/M$5)))*(INDEX('D Fleet'!$K$5:$K$36,INT(($B93/M$5))+2)-INDEX('D Fleet'!$K$5:$K$36,INT(($B93/M$5))+1)),0)</f>
        <v/>
      </c>
      <c r="N93" s="350">
        <f>IFERROR(INDEX('D Fleet'!$D$5:$D$63,MATCH(N$3-$B93,'D Fleet'!$B$5:$B$63,0)),0)*IFERROR(INDEX('D Fleet'!$K$5:$K$36,INT(($B93/N$5))+1)+(($B93/N$5)-INT(($B93/N$5)))*(INDEX('D Fleet'!$K$5:$K$36,INT(($B93/N$5))+2)-INDEX('D Fleet'!$K$5:$K$36,INT(($B93/N$5))+1)),0)</f>
        <v/>
      </c>
      <c r="P93" s="350">
        <f>E93*$D93*'E1 Fleet'!$D$98</f>
        <v/>
      </c>
      <c r="Q93" s="350">
        <f>F93*$D93*'E1 Fleet'!$D$98</f>
        <v/>
      </c>
      <c r="R93" s="350">
        <f>G93*$D93*'E1 Fleet'!$D$98</f>
        <v/>
      </c>
      <c r="S93" s="350">
        <f>H93*$D93*'E1 Fleet'!$D$98</f>
        <v/>
      </c>
      <c r="T93" s="350">
        <f>I93*$D93*'E1 Fleet'!$D$98</f>
        <v/>
      </c>
      <c r="U93" s="350">
        <f>J93*$D93*'E1 Fleet'!$D$98</f>
        <v/>
      </c>
      <c r="V93" s="350">
        <f>K93*$D93*'E1 Fleet'!$D$98</f>
        <v/>
      </c>
      <c r="W93" s="350">
        <f>L93*$D93*'E1 Fleet'!$D$98</f>
        <v/>
      </c>
      <c r="X93" s="350">
        <f>M93*$D93*'E1 Fleet'!$D$98</f>
        <v/>
      </c>
      <c r="Y93" s="350">
        <f>N93*$D93*'E1 Fleet'!$D$98</f>
        <v/>
      </c>
    </row>
    <row r="94">
      <c r="A94" t="inlineStr">
        <is>
          <t>SUV</t>
        </is>
      </c>
      <c r="B94" s="456" t="n">
        <v>41</v>
      </c>
      <c r="C94" s="456" t="n">
        <v>3</v>
      </c>
      <c r="D94" s="348">
        <f>IF($B94=0,'E1 Fleet'!$D$93,1)*EXP(-'E1 Fleet'!$D$94*MAX($B94-6,0))</f>
        <v/>
      </c>
      <c r="E94" s="350">
        <f>IFERROR(INDEX('D Fleet'!$D$5:$D$63,MATCH(E$3-$B94,'D Fleet'!$B$5:$B$63,0)),0)*IFERROR(INDEX('D Fleet'!$K$5:$K$36,INT(($B94/E$5))+1)+(($B94/E$5)-INT(($B94/E$5)))*(INDEX('D Fleet'!$K$5:$K$36,INT(($B94/E$5))+2)-INDEX('D Fleet'!$K$5:$K$36,INT(($B94/E$5))+1)),0)</f>
        <v/>
      </c>
      <c r="F94" s="350">
        <f>IFERROR(INDEX('D Fleet'!$D$5:$D$63,MATCH(F$3-$B94,'D Fleet'!$B$5:$B$63,0)),0)*IFERROR(INDEX('D Fleet'!$K$5:$K$36,INT(($B94/F$5))+1)+(($B94/F$5)-INT(($B94/F$5)))*(INDEX('D Fleet'!$K$5:$K$36,INT(($B94/F$5))+2)-INDEX('D Fleet'!$K$5:$K$36,INT(($B94/F$5))+1)),0)</f>
        <v/>
      </c>
      <c r="G94" s="350">
        <f>IFERROR(INDEX('D Fleet'!$D$5:$D$63,MATCH(G$3-$B94,'D Fleet'!$B$5:$B$63,0)),0)*IFERROR(INDEX('D Fleet'!$K$5:$K$36,INT(($B94/G$5))+1)+(($B94/G$5)-INT(($B94/G$5)))*(INDEX('D Fleet'!$K$5:$K$36,INT(($B94/G$5))+2)-INDEX('D Fleet'!$K$5:$K$36,INT(($B94/G$5))+1)),0)</f>
        <v/>
      </c>
      <c r="H94" s="350">
        <f>IFERROR(INDEX('D Fleet'!$D$5:$D$63,MATCH(H$3-$B94,'D Fleet'!$B$5:$B$63,0)),0)*IFERROR(INDEX('D Fleet'!$K$5:$K$36,INT(($B94/H$5))+1)+(($B94/H$5)-INT(($B94/H$5)))*(INDEX('D Fleet'!$K$5:$K$36,INT(($B94/H$5))+2)-INDEX('D Fleet'!$K$5:$K$36,INT(($B94/H$5))+1)),0)</f>
        <v/>
      </c>
      <c r="I94" s="350">
        <f>IFERROR(INDEX('D Fleet'!$D$5:$D$63,MATCH(I$3-$B94,'D Fleet'!$B$5:$B$63,0)),0)*IFERROR(INDEX('D Fleet'!$K$5:$K$36,INT(($B94/I$5))+1)+(($B94/I$5)-INT(($B94/I$5)))*(INDEX('D Fleet'!$K$5:$K$36,INT(($B94/I$5))+2)-INDEX('D Fleet'!$K$5:$K$36,INT(($B94/I$5))+1)),0)</f>
        <v/>
      </c>
      <c r="J94" s="350">
        <f>IFERROR(INDEX('D Fleet'!$D$5:$D$63,MATCH(J$3-$B94,'D Fleet'!$B$5:$B$63,0)),0)*IFERROR(INDEX('D Fleet'!$K$5:$K$36,INT(($B94/J$5))+1)+(($B94/J$5)-INT(($B94/J$5)))*(INDEX('D Fleet'!$K$5:$K$36,INT(($B94/J$5))+2)-INDEX('D Fleet'!$K$5:$K$36,INT(($B94/J$5))+1)),0)</f>
        <v/>
      </c>
      <c r="K94" s="350">
        <f>IFERROR(INDEX('D Fleet'!$D$5:$D$63,MATCH(K$3-$B94,'D Fleet'!$B$5:$B$63,0)),0)*IFERROR(INDEX('D Fleet'!$K$5:$K$36,INT(($B94/K$5))+1)+(($B94/K$5)-INT(($B94/K$5)))*(INDEX('D Fleet'!$K$5:$K$36,INT(($B94/K$5))+2)-INDEX('D Fleet'!$K$5:$K$36,INT(($B94/K$5))+1)),0)</f>
        <v/>
      </c>
      <c r="L94" s="350">
        <f>IFERROR(INDEX('D Fleet'!$D$5:$D$63,MATCH(L$3-$B94,'D Fleet'!$B$5:$B$63,0)),0)*IFERROR(INDEX('D Fleet'!$K$5:$K$36,INT(($B94/L$5))+1)+(($B94/L$5)-INT(($B94/L$5)))*(INDEX('D Fleet'!$K$5:$K$36,INT(($B94/L$5))+2)-INDEX('D Fleet'!$K$5:$K$36,INT(($B94/L$5))+1)),0)</f>
        <v/>
      </c>
      <c r="M94" s="350">
        <f>IFERROR(INDEX('D Fleet'!$D$5:$D$63,MATCH(M$3-$B94,'D Fleet'!$B$5:$B$63,0)),0)*IFERROR(INDEX('D Fleet'!$K$5:$K$36,INT(($B94/M$5))+1)+(($B94/M$5)-INT(($B94/M$5)))*(INDEX('D Fleet'!$K$5:$K$36,INT(($B94/M$5))+2)-INDEX('D Fleet'!$K$5:$K$36,INT(($B94/M$5))+1)),0)</f>
        <v/>
      </c>
      <c r="N94" s="350">
        <f>IFERROR(INDEX('D Fleet'!$D$5:$D$63,MATCH(N$3-$B94,'D Fleet'!$B$5:$B$63,0)),0)*IFERROR(INDEX('D Fleet'!$K$5:$K$36,INT(($B94/N$5))+1)+(($B94/N$5)-INT(($B94/N$5)))*(INDEX('D Fleet'!$K$5:$K$36,INT(($B94/N$5))+2)-INDEX('D Fleet'!$K$5:$K$36,INT(($B94/N$5))+1)),0)</f>
        <v/>
      </c>
      <c r="P94" s="350">
        <f>E94*$D94*'E1 Fleet'!$D$98</f>
        <v/>
      </c>
      <c r="Q94" s="350">
        <f>F94*$D94*'E1 Fleet'!$D$98</f>
        <v/>
      </c>
      <c r="R94" s="350">
        <f>G94*$D94*'E1 Fleet'!$D$98</f>
        <v/>
      </c>
      <c r="S94" s="350">
        <f>H94*$D94*'E1 Fleet'!$D$98</f>
        <v/>
      </c>
      <c r="T94" s="350">
        <f>I94*$D94*'E1 Fleet'!$D$98</f>
        <v/>
      </c>
      <c r="U94" s="350">
        <f>J94*$D94*'E1 Fleet'!$D$98</f>
        <v/>
      </c>
      <c r="V94" s="350">
        <f>K94*$D94*'E1 Fleet'!$D$98</f>
        <v/>
      </c>
      <c r="W94" s="350">
        <f>L94*$D94*'E1 Fleet'!$D$98</f>
        <v/>
      </c>
      <c r="X94" s="350">
        <f>M94*$D94*'E1 Fleet'!$D$98</f>
        <v/>
      </c>
      <c r="Y94" s="350">
        <f>N94*$D94*'E1 Fleet'!$D$98</f>
        <v/>
      </c>
    </row>
    <row r="95">
      <c r="A95" t="inlineStr">
        <is>
          <t>SUV</t>
        </is>
      </c>
      <c r="B95" s="456" t="n">
        <v>42</v>
      </c>
      <c r="C95" s="456" t="n">
        <v>3</v>
      </c>
      <c r="D95" s="348">
        <f>IF($B95=0,'E1 Fleet'!$D$93,1)*EXP(-'E1 Fleet'!$D$94*MAX($B95-6,0))</f>
        <v/>
      </c>
      <c r="E95" s="350">
        <f>IFERROR(INDEX('D Fleet'!$D$5:$D$63,MATCH(E$3-$B95,'D Fleet'!$B$5:$B$63,0)),0)*IFERROR(INDEX('D Fleet'!$K$5:$K$36,INT(($B95/E$5))+1)+(($B95/E$5)-INT(($B95/E$5)))*(INDEX('D Fleet'!$K$5:$K$36,INT(($B95/E$5))+2)-INDEX('D Fleet'!$K$5:$K$36,INT(($B95/E$5))+1)),0)</f>
        <v/>
      </c>
      <c r="F95" s="350">
        <f>IFERROR(INDEX('D Fleet'!$D$5:$D$63,MATCH(F$3-$B95,'D Fleet'!$B$5:$B$63,0)),0)*IFERROR(INDEX('D Fleet'!$K$5:$K$36,INT(($B95/F$5))+1)+(($B95/F$5)-INT(($B95/F$5)))*(INDEX('D Fleet'!$K$5:$K$36,INT(($B95/F$5))+2)-INDEX('D Fleet'!$K$5:$K$36,INT(($B95/F$5))+1)),0)</f>
        <v/>
      </c>
      <c r="G95" s="350">
        <f>IFERROR(INDEX('D Fleet'!$D$5:$D$63,MATCH(G$3-$B95,'D Fleet'!$B$5:$B$63,0)),0)*IFERROR(INDEX('D Fleet'!$K$5:$K$36,INT(($B95/G$5))+1)+(($B95/G$5)-INT(($B95/G$5)))*(INDEX('D Fleet'!$K$5:$K$36,INT(($B95/G$5))+2)-INDEX('D Fleet'!$K$5:$K$36,INT(($B95/G$5))+1)),0)</f>
        <v/>
      </c>
      <c r="H95" s="350">
        <f>IFERROR(INDEX('D Fleet'!$D$5:$D$63,MATCH(H$3-$B95,'D Fleet'!$B$5:$B$63,0)),0)*IFERROR(INDEX('D Fleet'!$K$5:$K$36,INT(($B95/H$5))+1)+(($B95/H$5)-INT(($B95/H$5)))*(INDEX('D Fleet'!$K$5:$K$36,INT(($B95/H$5))+2)-INDEX('D Fleet'!$K$5:$K$36,INT(($B95/H$5))+1)),0)</f>
        <v/>
      </c>
      <c r="I95" s="350">
        <f>IFERROR(INDEX('D Fleet'!$D$5:$D$63,MATCH(I$3-$B95,'D Fleet'!$B$5:$B$63,0)),0)*IFERROR(INDEX('D Fleet'!$K$5:$K$36,INT(($B95/I$5))+1)+(($B95/I$5)-INT(($B95/I$5)))*(INDEX('D Fleet'!$K$5:$K$36,INT(($B95/I$5))+2)-INDEX('D Fleet'!$K$5:$K$36,INT(($B95/I$5))+1)),0)</f>
        <v/>
      </c>
      <c r="J95" s="350">
        <f>IFERROR(INDEX('D Fleet'!$D$5:$D$63,MATCH(J$3-$B95,'D Fleet'!$B$5:$B$63,0)),0)*IFERROR(INDEX('D Fleet'!$K$5:$K$36,INT(($B95/J$5))+1)+(($B95/J$5)-INT(($B95/J$5)))*(INDEX('D Fleet'!$K$5:$K$36,INT(($B95/J$5))+2)-INDEX('D Fleet'!$K$5:$K$36,INT(($B95/J$5))+1)),0)</f>
        <v/>
      </c>
      <c r="K95" s="350">
        <f>IFERROR(INDEX('D Fleet'!$D$5:$D$63,MATCH(K$3-$B95,'D Fleet'!$B$5:$B$63,0)),0)*IFERROR(INDEX('D Fleet'!$K$5:$K$36,INT(($B95/K$5))+1)+(($B95/K$5)-INT(($B95/K$5)))*(INDEX('D Fleet'!$K$5:$K$36,INT(($B95/K$5))+2)-INDEX('D Fleet'!$K$5:$K$36,INT(($B95/K$5))+1)),0)</f>
        <v/>
      </c>
      <c r="L95" s="350">
        <f>IFERROR(INDEX('D Fleet'!$D$5:$D$63,MATCH(L$3-$B95,'D Fleet'!$B$5:$B$63,0)),0)*IFERROR(INDEX('D Fleet'!$K$5:$K$36,INT(($B95/L$5))+1)+(($B95/L$5)-INT(($B95/L$5)))*(INDEX('D Fleet'!$K$5:$K$36,INT(($B95/L$5))+2)-INDEX('D Fleet'!$K$5:$K$36,INT(($B95/L$5))+1)),0)</f>
        <v/>
      </c>
      <c r="M95" s="350">
        <f>IFERROR(INDEX('D Fleet'!$D$5:$D$63,MATCH(M$3-$B95,'D Fleet'!$B$5:$B$63,0)),0)*IFERROR(INDEX('D Fleet'!$K$5:$K$36,INT(($B95/M$5))+1)+(($B95/M$5)-INT(($B95/M$5)))*(INDEX('D Fleet'!$K$5:$K$36,INT(($B95/M$5))+2)-INDEX('D Fleet'!$K$5:$K$36,INT(($B95/M$5))+1)),0)</f>
        <v/>
      </c>
      <c r="N95" s="350">
        <f>IFERROR(INDEX('D Fleet'!$D$5:$D$63,MATCH(N$3-$B95,'D Fleet'!$B$5:$B$63,0)),0)*IFERROR(INDEX('D Fleet'!$K$5:$K$36,INT(($B95/N$5))+1)+(($B95/N$5)-INT(($B95/N$5)))*(INDEX('D Fleet'!$K$5:$K$36,INT(($B95/N$5))+2)-INDEX('D Fleet'!$K$5:$K$36,INT(($B95/N$5))+1)),0)</f>
        <v/>
      </c>
      <c r="P95" s="350">
        <f>E95*$D95*'E1 Fleet'!$D$98</f>
        <v/>
      </c>
      <c r="Q95" s="350">
        <f>F95*$D95*'E1 Fleet'!$D$98</f>
        <v/>
      </c>
      <c r="R95" s="350">
        <f>G95*$D95*'E1 Fleet'!$D$98</f>
        <v/>
      </c>
      <c r="S95" s="350">
        <f>H95*$D95*'E1 Fleet'!$D$98</f>
        <v/>
      </c>
      <c r="T95" s="350">
        <f>I95*$D95*'E1 Fleet'!$D$98</f>
        <v/>
      </c>
      <c r="U95" s="350">
        <f>J95*$D95*'E1 Fleet'!$D$98</f>
        <v/>
      </c>
      <c r="V95" s="350">
        <f>K95*$D95*'E1 Fleet'!$D$98</f>
        <v/>
      </c>
      <c r="W95" s="350">
        <f>L95*$D95*'E1 Fleet'!$D$98</f>
        <v/>
      </c>
      <c r="X95" s="350">
        <f>M95*$D95*'E1 Fleet'!$D$98</f>
        <v/>
      </c>
      <c r="Y95" s="350">
        <f>N95*$D95*'E1 Fleet'!$D$98</f>
        <v/>
      </c>
    </row>
    <row r="96">
      <c r="A96" t="inlineStr">
        <is>
          <t>SUV</t>
        </is>
      </c>
      <c r="B96" s="456" t="n">
        <v>43</v>
      </c>
      <c r="C96" s="456" t="n">
        <v>3</v>
      </c>
      <c r="D96" s="348">
        <f>IF($B96=0,'E1 Fleet'!$D$93,1)*EXP(-'E1 Fleet'!$D$94*MAX($B96-6,0))</f>
        <v/>
      </c>
      <c r="E96" s="350">
        <f>IFERROR(INDEX('D Fleet'!$D$5:$D$63,MATCH(E$3-$B96,'D Fleet'!$B$5:$B$63,0)),0)*IFERROR(INDEX('D Fleet'!$K$5:$K$36,INT(($B96/E$5))+1)+(($B96/E$5)-INT(($B96/E$5)))*(INDEX('D Fleet'!$K$5:$K$36,INT(($B96/E$5))+2)-INDEX('D Fleet'!$K$5:$K$36,INT(($B96/E$5))+1)),0)</f>
        <v/>
      </c>
      <c r="F96" s="350">
        <f>IFERROR(INDEX('D Fleet'!$D$5:$D$63,MATCH(F$3-$B96,'D Fleet'!$B$5:$B$63,0)),0)*IFERROR(INDEX('D Fleet'!$K$5:$K$36,INT(($B96/F$5))+1)+(($B96/F$5)-INT(($B96/F$5)))*(INDEX('D Fleet'!$K$5:$K$36,INT(($B96/F$5))+2)-INDEX('D Fleet'!$K$5:$K$36,INT(($B96/F$5))+1)),0)</f>
        <v/>
      </c>
      <c r="G96" s="350">
        <f>IFERROR(INDEX('D Fleet'!$D$5:$D$63,MATCH(G$3-$B96,'D Fleet'!$B$5:$B$63,0)),0)*IFERROR(INDEX('D Fleet'!$K$5:$K$36,INT(($B96/G$5))+1)+(($B96/G$5)-INT(($B96/G$5)))*(INDEX('D Fleet'!$K$5:$K$36,INT(($B96/G$5))+2)-INDEX('D Fleet'!$K$5:$K$36,INT(($B96/G$5))+1)),0)</f>
        <v/>
      </c>
      <c r="H96" s="350">
        <f>IFERROR(INDEX('D Fleet'!$D$5:$D$63,MATCH(H$3-$B96,'D Fleet'!$B$5:$B$63,0)),0)*IFERROR(INDEX('D Fleet'!$K$5:$K$36,INT(($B96/H$5))+1)+(($B96/H$5)-INT(($B96/H$5)))*(INDEX('D Fleet'!$K$5:$K$36,INT(($B96/H$5))+2)-INDEX('D Fleet'!$K$5:$K$36,INT(($B96/H$5))+1)),0)</f>
        <v/>
      </c>
      <c r="I96" s="350">
        <f>IFERROR(INDEX('D Fleet'!$D$5:$D$63,MATCH(I$3-$B96,'D Fleet'!$B$5:$B$63,0)),0)*IFERROR(INDEX('D Fleet'!$K$5:$K$36,INT(($B96/I$5))+1)+(($B96/I$5)-INT(($B96/I$5)))*(INDEX('D Fleet'!$K$5:$K$36,INT(($B96/I$5))+2)-INDEX('D Fleet'!$K$5:$K$36,INT(($B96/I$5))+1)),0)</f>
        <v/>
      </c>
      <c r="J96" s="350">
        <f>IFERROR(INDEX('D Fleet'!$D$5:$D$63,MATCH(J$3-$B96,'D Fleet'!$B$5:$B$63,0)),0)*IFERROR(INDEX('D Fleet'!$K$5:$K$36,INT(($B96/J$5))+1)+(($B96/J$5)-INT(($B96/J$5)))*(INDEX('D Fleet'!$K$5:$K$36,INT(($B96/J$5))+2)-INDEX('D Fleet'!$K$5:$K$36,INT(($B96/J$5))+1)),0)</f>
        <v/>
      </c>
      <c r="K96" s="350">
        <f>IFERROR(INDEX('D Fleet'!$D$5:$D$63,MATCH(K$3-$B96,'D Fleet'!$B$5:$B$63,0)),0)*IFERROR(INDEX('D Fleet'!$K$5:$K$36,INT(($B96/K$5))+1)+(($B96/K$5)-INT(($B96/K$5)))*(INDEX('D Fleet'!$K$5:$K$36,INT(($B96/K$5))+2)-INDEX('D Fleet'!$K$5:$K$36,INT(($B96/K$5))+1)),0)</f>
        <v/>
      </c>
      <c r="L96" s="350">
        <f>IFERROR(INDEX('D Fleet'!$D$5:$D$63,MATCH(L$3-$B96,'D Fleet'!$B$5:$B$63,0)),0)*IFERROR(INDEX('D Fleet'!$K$5:$K$36,INT(($B96/L$5))+1)+(($B96/L$5)-INT(($B96/L$5)))*(INDEX('D Fleet'!$K$5:$K$36,INT(($B96/L$5))+2)-INDEX('D Fleet'!$K$5:$K$36,INT(($B96/L$5))+1)),0)</f>
        <v/>
      </c>
      <c r="M96" s="350">
        <f>IFERROR(INDEX('D Fleet'!$D$5:$D$63,MATCH(M$3-$B96,'D Fleet'!$B$5:$B$63,0)),0)*IFERROR(INDEX('D Fleet'!$K$5:$K$36,INT(($B96/M$5))+1)+(($B96/M$5)-INT(($B96/M$5)))*(INDEX('D Fleet'!$K$5:$K$36,INT(($B96/M$5))+2)-INDEX('D Fleet'!$K$5:$K$36,INT(($B96/M$5))+1)),0)</f>
        <v/>
      </c>
      <c r="N96" s="350">
        <f>IFERROR(INDEX('D Fleet'!$D$5:$D$63,MATCH(N$3-$B96,'D Fleet'!$B$5:$B$63,0)),0)*IFERROR(INDEX('D Fleet'!$K$5:$K$36,INT(($B96/N$5))+1)+(($B96/N$5)-INT(($B96/N$5)))*(INDEX('D Fleet'!$K$5:$K$36,INT(($B96/N$5))+2)-INDEX('D Fleet'!$K$5:$K$36,INT(($B96/N$5))+1)),0)</f>
        <v/>
      </c>
      <c r="P96" s="350">
        <f>E96*$D96*'E1 Fleet'!$D$98</f>
        <v/>
      </c>
      <c r="Q96" s="350">
        <f>F96*$D96*'E1 Fleet'!$D$98</f>
        <v/>
      </c>
      <c r="R96" s="350">
        <f>G96*$D96*'E1 Fleet'!$D$98</f>
        <v/>
      </c>
      <c r="S96" s="350">
        <f>H96*$D96*'E1 Fleet'!$D$98</f>
        <v/>
      </c>
      <c r="T96" s="350">
        <f>I96*$D96*'E1 Fleet'!$D$98</f>
        <v/>
      </c>
      <c r="U96" s="350">
        <f>J96*$D96*'E1 Fleet'!$D$98</f>
        <v/>
      </c>
      <c r="V96" s="350">
        <f>K96*$D96*'E1 Fleet'!$D$98</f>
        <v/>
      </c>
      <c r="W96" s="350">
        <f>L96*$D96*'E1 Fleet'!$D$98</f>
        <v/>
      </c>
      <c r="X96" s="350">
        <f>M96*$D96*'E1 Fleet'!$D$98</f>
        <v/>
      </c>
      <c r="Y96" s="350">
        <f>N96*$D96*'E1 Fleet'!$D$98</f>
        <v/>
      </c>
    </row>
    <row r="97">
      <c r="A97" t="inlineStr">
        <is>
          <t>SUV</t>
        </is>
      </c>
      <c r="B97" s="456" t="n">
        <v>44</v>
      </c>
      <c r="C97" s="456" t="n">
        <v>3</v>
      </c>
      <c r="D97" s="348">
        <f>IF($B97=0,'E1 Fleet'!$D$93,1)*EXP(-'E1 Fleet'!$D$94*MAX($B97-6,0))</f>
        <v/>
      </c>
      <c r="E97" s="350">
        <f>IFERROR(INDEX('D Fleet'!$D$5:$D$63,MATCH(E$3-$B97,'D Fleet'!$B$5:$B$63,0)),0)*IFERROR(INDEX('D Fleet'!$K$5:$K$36,INT(($B97/E$5))+1)+(($B97/E$5)-INT(($B97/E$5)))*(INDEX('D Fleet'!$K$5:$K$36,INT(($B97/E$5))+2)-INDEX('D Fleet'!$K$5:$K$36,INT(($B97/E$5))+1)),0)</f>
        <v/>
      </c>
      <c r="F97" s="350">
        <f>IFERROR(INDEX('D Fleet'!$D$5:$D$63,MATCH(F$3-$B97,'D Fleet'!$B$5:$B$63,0)),0)*IFERROR(INDEX('D Fleet'!$K$5:$K$36,INT(($B97/F$5))+1)+(($B97/F$5)-INT(($B97/F$5)))*(INDEX('D Fleet'!$K$5:$K$36,INT(($B97/F$5))+2)-INDEX('D Fleet'!$K$5:$K$36,INT(($B97/F$5))+1)),0)</f>
        <v/>
      </c>
      <c r="G97" s="350">
        <f>IFERROR(INDEX('D Fleet'!$D$5:$D$63,MATCH(G$3-$B97,'D Fleet'!$B$5:$B$63,0)),0)*IFERROR(INDEX('D Fleet'!$K$5:$K$36,INT(($B97/G$5))+1)+(($B97/G$5)-INT(($B97/G$5)))*(INDEX('D Fleet'!$K$5:$K$36,INT(($B97/G$5))+2)-INDEX('D Fleet'!$K$5:$K$36,INT(($B97/G$5))+1)),0)</f>
        <v/>
      </c>
      <c r="H97" s="350">
        <f>IFERROR(INDEX('D Fleet'!$D$5:$D$63,MATCH(H$3-$B97,'D Fleet'!$B$5:$B$63,0)),0)*IFERROR(INDEX('D Fleet'!$K$5:$K$36,INT(($B97/H$5))+1)+(($B97/H$5)-INT(($B97/H$5)))*(INDEX('D Fleet'!$K$5:$K$36,INT(($B97/H$5))+2)-INDEX('D Fleet'!$K$5:$K$36,INT(($B97/H$5))+1)),0)</f>
        <v/>
      </c>
      <c r="I97" s="350">
        <f>IFERROR(INDEX('D Fleet'!$D$5:$D$63,MATCH(I$3-$B97,'D Fleet'!$B$5:$B$63,0)),0)*IFERROR(INDEX('D Fleet'!$K$5:$K$36,INT(($B97/I$5))+1)+(($B97/I$5)-INT(($B97/I$5)))*(INDEX('D Fleet'!$K$5:$K$36,INT(($B97/I$5))+2)-INDEX('D Fleet'!$K$5:$K$36,INT(($B97/I$5))+1)),0)</f>
        <v/>
      </c>
      <c r="J97" s="350">
        <f>IFERROR(INDEX('D Fleet'!$D$5:$D$63,MATCH(J$3-$B97,'D Fleet'!$B$5:$B$63,0)),0)*IFERROR(INDEX('D Fleet'!$K$5:$K$36,INT(($B97/J$5))+1)+(($B97/J$5)-INT(($B97/J$5)))*(INDEX('D Fleet'!$K$5:$K$36,INT(($B97/J$5))+2)-INDEX('D Fleet'!$K$5:$K$36,INT(($B97/J$5))+1)),0)</f>
        <v/>
      </c>
      <c r="K97" s="350">
        <f>IFERROR(INDEX('D Fleet'!$D$5:$D$63,MATCH(K$3-$B97,'D Fleet'!$B$5:$B$63,0)),0)*IFERROR(INDEX('D Fleet'!$K$5:$K$36,INT(($B97/K$5))+1)+(($B97/K$5)-INT(($B97/K$5)))*(INDEX('D Fleet'!$K$5:$K$36,INT(($B97/K$5))+2)-INDEX('D Fleet'!$K$5:$K$36,INT(($B97/K$5))+1)),0)</f>
        <v/>
      </c>
      <c r="L97" s="350">
        <f>IFERROR(INDEX('D Fleet'!$D$5:$D$63,MATCH(L$3-$B97,'D Fleet'!$B$5:$B$63,0)),0)*IFERROR(INDEX('D Fleet'!$K$5:$K$36,INT(($B97/L$5))+1)+(($B97/L$5)-INT(($B97/L$5)))*(INDEX('D Fleet'!$K$5:$K$36,INT(($B97/L$5))+2)-INDEX('D Fleet'!$K$5:$K$36,INT(($B97/L$5))+1)),0)</f>
        <v/>
      </c>
      <c r="M97" s="350">
        <f>IFERROR(INDEX('D Fleet'!$D$5:$D$63,MATCH(M$3-$B97,'D Fleet'!$B$5:$B$63,0)),0)*IFERROR(INDEX('D Fleet'!$K$5:$K$36,INT(($B97/M$5))+1)+(($B97/M$5)-INT(($B97/M$5)))*(INDEX('D Fleet'!$K$5:$K$36,INT(($B97/M$5))+2)-INDEX('D Fleet'!$K$5:$K$36,INT(($B97/M$5))+1)),0)</f>
        <v/>
      </c>
      <c r="N97" s="350">
        <f>IFERROR(INDEX('D Fleet'!$D$5:$D$63,MATCH(N$3-$B97,'D Fleet'!$B$5:$B$63,0)),0)*IFERROR(INDEX('D Fleet'!$K$5:$K$36,INT(($B97/N$5))+1)+(($B97/N$5)-INT(($B97/N$5)))*(INDEX('D Fleet'!$K$5:$K$36,INT(($B97/N$5))+2)-INDEX('D Fleet'!$K$5:$K$36,INT(($B97/N$5))+1)),0)</f>
        <v/>
      </c>
      <c r="P97" s="350">
        <f>E97*$D97*'E1 Fleet'!$D$98</f>
        <v/>
      </c>
      <c r="Q97" s="350">
        <f>F97*$D97*'E1 Fleet'!$D$98</f>
        <v/>
      </c>
      <c r="R97" s="350">
        <f>G97*$D97*'E1 Fleet'!$D$98</f>
        <v/>
      </c>
      <c r="S97" s="350">
        <f>H97*$D97*'E1 Fleet'!$D$98</f>
        <v/>
      </c>
      <c r="T97" s="350">
        <f>I97*$D97*'E1 Fleet'!$D$98</f>
        <v/>
      </c>
      <c r="U97" s="350">
        <f>J97*$D97*'E1 Fleet'!$D$98</f>
        <v/>
      </c>
      <c r="V97" s="350">
        <f>K97*$D97*'E1 Fleet'!$D$98</f>
        <v/>
      </c>
      <c r="W97" s="350">
        <f>L97*$D97*'E1 Fleet'!$D$98</f>
        <v/>
      </c>
      <c r="X97" s="350">
        <f>M97*$D97*'E1 Fleet'!$D$98</f>
        <v/>
      </c>
      <c r="Y97" s="350">
        <f>N97*$D97*'E1 Fleet'!$D$98</f>
        <v/>
      </c>
    </row>
    <row r="98">
      <c r="A98" t="inlineStr">
        <is>
          <t>SUV</t>
        </is>
      </c>
      <c r="B98" s="456" t="n">
        <v>45</v>
      </c>
      <c r="C98" s="456" t="n">
        <v>3</v>
      </c>
      <c r="D98" s="348">
        <f>IF($B98=0,'E1 Fleet'!$D$93,1)*EXP(-'E1 Fleet'!$D$94*MAX($B98-6,0))</f>
        <v/>
      </c>
      <c r="E98" s="350">
        <f>IFERROR(INDEX('D Fleet'!$D$5:$D$63,MATCH(E$3-$B98,'D Fleet'!$B$5:$B$63,0)),0)*IFERROR(INDEX('D Fleet'!$K$5:$K$36,INT(($B98/E$5))+1)+(($B98/E$5)-INT(($B98/E$5)))*(INDEX('D Fleet'!$K$5:$K$36,INT(($B98/E$5))+2)-INDEX('D Fleet'!$K$5:$K$36,INT(($B98/E$5))+1)),0)</f>
        <v/>
      </c>
      <c r="F98" s="350">
        <f>IFERROR(INDEX('D Fleet'!$D$5:$D$63,MATCH(F$3-$B98,'D Fleet'!$B$5:$B$63,0)),0)*IFERROR(INDEX('D Fleet'!$K$5:$K$36,INT(($B98/F$5))+1)+(($B98/F$5)-INT(($B98/F$5)))*(INDEX('D Fleet'!$K$5:$K$36,INT(($B98/F$5))+2)-INDEX('D Fleet'!$K$5:$K$36,INT(($B98/F$5))+1)),0)</f>
        <v/>
      </c>
      <c r="G98" s="350">
        <f>IFERROR(INDEX('D Fleet'!$D$5:$D$63,MATCH(G$3-$B98,'D Fleet'!$B$5:$B$63,0)),0)*IFERROR(INDEX('D Fleet'!$K$5:$K$36,INT(($B98/G$5))+1)+(($B98/G$5)-INT(($B98/G$5)))*(INDEX('D Fleet'!$K$5:$K$36,INT(($B98/G$5))+2)-INDEX('D Fleet'!$K$5:$K$36,INT(($B98/G$5))+1)),0)</f>
        <v/>
      </c>
      <c r="H98" s="350">
        <f>IFERROR(INDEX('D Fleet'!$D$5:$D$63,MATCH(H$3-$B98,'D Fleet'!$B$5:$B$63,0)),0)*IFERROR(INDEX('D Fleet'!$K$5:$K$36,INT(($B98/H$5))+1)+(($B98/H$5)-INT(($B98/H$5)))*(INDEX('D Fleet'!$K$5:$K$36,INT(($B98/H$5))+2)-INDEX('D Fleet'!$K$5:$K$36,INT(($B98/H$5))+1)),0)</f>
        <v/>
      </c>
      <c r="I98" s="350">
        <f>IFERROR(INDEX('D Fleet'!$D$5:$D$63,MATCH(I$3-$B98,'D Fleet'!$B$5:$B$63,0)),0)*IFERROR(INDEX('D Fleet'!$K$5:$K$36,INT(($B98/I$5))+1)+(($B98/I$5)-INT(($B98/I$5)))*(INDEX('D Fleet'!$K$5:$K$36,INT(($B98/I$5))+2)-INDEX('D Fleet'!$K$5:$K$36,INT(($B98/I$5))+1)),0)</f>
        <v/>
      </c>
      <c r="J98" s="350">
        <f>IFERROR(INDEX('D Fleet'!$D$5:$D$63,MATCH(J$3-$B98,'D Fleet'!$B$5:$B$63,0)),0)*IFERROR(INDEX('D Fleet'!$K$5:$K$36,INT(($B98/J$5))+1)+(($B98/J$5)-INT(($B98/J$5)))*(INDEX('D Fleet'!$K$5:$K$36,INT(($B98/J$5))+2)-INDEX('D Fleet'!$K$5:$K$36,INT(($B98/J$5))+1)),0)</f>
        <v/>
      </c>
      <c r="K98" s="350">
        <f>IFERROR(INDEX('D Fleet'!$D$5:$D$63,MATCH(K$3-$B98,'D Fleet'!$B$5:$B$63,0)),0)*IFERROR(INDEX('D Fleet'!$K$5:$K$36,INT(($B98/K$5))+1)+(($B98/K$5)-INT(($B98/K$5)))*(INDEX('D Fleet'!$K$5:$K$36,INT(($B98/K$5))+2)-INDEX('D Fleet'!$K$5:$K$36,INT(($B98/K$5))+1)),0)</f>
        <v/>
      </c>
      <c r="L98" s="350">
        <f>IFERROR(INDEX('D Fleet'!$D$5:$D$63,MATCH(L$3-$B98,'D Fleet'!$B$5:$B$63,0)),0)*IFERROR(INDEX('D Fleet'!$K$5:$K$36,INT(($B98/L$5))+1)+(($B98/L$5)-INT(($B98/L$5)))*(INDEX('D Fleet'!$K$5:$K$36,INT(($B98/L$5))+2)-INDEX('D Fleet'!$K$5:$K$36,INT(($B98/L$5))+1)),0)</f>
        <v/>
      </c>
      <c r="M98" s="350">
        <f>IFERROR(INDEX('D Fleet'!$D$5:$D$63,MATCH(M$3-$B98,'D Fleet'!$B$5:$B$63,0)),0)*IFERROR(INDEX('D Fleet'!$K$5:$K$36,INT(($B98/M$5))+1)+(($B98/M$5)-INT(($B98/M$5)))*(INDEX('D Fleet'!$K$5:$K$36,INT(($B98/M$5))+2)-INDEX('D Fleet'!$K$5:$K$36,INT(($B98/M$5))+1)),0)</f>
        <v/>
      </c>
      <c r="N98" s="350">
        <f>IFERROR(INDEX('D Fleet'!$D$5:$D$63,MATCH(N$3-$B98,'D Fleet'!$B$5:$B$63,0)),0)*IFERROR(INDEX('D Fleet'!$K$5:$K$36,INT(($B98/N$5))+1)+(($B98/N$5)-INT(($B98/N$5)))*(INDEX('D Fleet'!$K$5:$K$36,INT(($B98/N$5))+2)-INDEX('D Fleet'!$K$5:$K$36,INT(($B98/N$5))+1)),0)</f>
        <v/>
      </c>
      <c r="P98" s="350">
        <f>E98*$D98*'E1 Fleet'!$D$98</f>
        <v/>
      </c>
      <c r="Q98" s="350">
        <f>F98*$D98*'E1 Fleet'!$D$98</f>
        <v/>
      </c>
      <c r="R98" s="350">
        <f>G98*$D98*'E1 Fleet'!$D$98</f>
        <v/>
      </c>
      <c r="S98" s="350">
        <f>H98*$D98*'E1 Fleet'!$D$98</f>
        <v/>
      </c>
      <c r="T98" s="350">
        <f>I98*$D98*'E1 Fleet'!$D$98</f>
        <v/>
      </c>
      <c r="U98" s="350">
        <f>J98*$D98*'E1 Fleet'!$D$98</f>
        <v/>
      </c>
      <c r="V98" s="350">
        <f>K98*$D98*'E1 Fleet'!$D$98</f>
        <v/>
      </c>
      <c r="W98" s="350">
        <f>L98*$D98*'E1 Fleet'!$D$98</f>
        <v/>
      </c>
      <c r="X98" s="350">
        <f>M98*$D98*'E1 Fleet'!$D$98</f>
        <v/>
      </c>
      <c r="Y98" s="350">
        <f>N98*$D98*'E1 Fleet'!$D$98</f>
        <v/>
      </c>
    </row>
    <row r="99">
      <c r="A99" t="inlineStr">
        <is>
          <t>Pickup</t>
        </is>
      </c>
      <c r="B99" s="456" t="n">
        <v>0</v>
      </c>
      <c r="C99" s="456" t="n">
        <v>0</v>
      </c>
      <c r="D99" s="348">
        <f>IF($B99=0,'E1 Fleet'!$D$93,1)*EXP(-'E1 Fleet'!$D$94*MAX($B99-6,0))</f>
        <v/>
      </c>
      <c r="E99" s="350">
        <f>IFERROR(INDEX('D Fleet'!$E$5:$E$63,MATCH(E$3-$B99,'D Fleet'!$B$5:$B$63,0)),0)*IFERROR(INDEX('D Fleet'!$K$5:$K$36,INT(($B99/E$5))+1)+(($B99/E$5)-INT(($B99/E$5)))*(INDEX('D Fleet'!$K$5:$K$36,INT(($B99/E$5))+2)-INDEX('D Fleet'!$K$5:$K$36,INT(($B99/E$5))+1)),0)</f>
        <v/>
      </c>
      <c r="F99" s="350">
        <f>IFERROR(INDEX('D Fleet'!$E$5:$E$63,MATCH(F$3-$B99,'D Fleet'!$B$5:$B$63,0)),0)*IFERROR(INDEX('D Fleet'!$K$5:$K$36,INT(($B99/F$5))+1)+(($B99/F$5)-INT(($B99/F$5)))*(INDEX('D Fleet'!$K$5:$K$36,INT(($B99/F$5))+2)-INDEX('D Fleet'!$K$5:$K$36,INT(($B99/F$5))+1)),0)</f>
        <v/>
      </c>
      <c r="G99" s="350">
        <f>IFERROR(INDEX('D Fleet'!$E$5:$E$63,MATCH(G$3-$B99,'D Fleet'!$B$5:$B$63,0)),0)*IFERROR(INDEX('D Fleet'!$K$5:$K$36,INT(($B99/G$5))+1)+(($B99/G$5)-INT(($B99/G$5)))*(INDEX('D Fleet'!$K$5:$K$36,INT(($B99/G$5))+2)-INDEX('D Fleet'!$K$5:$K$36,INT(($B99/G$5))+1)),0)</f>
        <v/>
      </c>
      <c r="H99" s="350">
        <f>IFERROR(INDEX('D Fleet'!$E$5:$E$63,MATCH(H$3-$B99,'D Fleet'!$B$5:$B$63,0)),0)*IFERROR(INDEX('D Fleet'!$K$5:$K$36,INT(($B99/H$5))+1)+(($B99/H$5)-INT(($B99/H$5)))*(INDEX('D Fleet'!$K$5:$K$36,INT(($B99/H$5))+2)-INDEX('D Fleet'!$K$5:$K$36,INT(($B99/H$5))+1)),0)</f>
        <v/>
      </c>
      <c r="I99" s="350">
        <f>IFERROR(INDEX('D Fleet'!$E$5:$E$63,MATCH(I$3-$B99,'D Fleet'!$B$5:$B$63,0)),0)*IFERROR(INDEX('D Fleet'!$K$5:$K$36,INT(($B99/I$5))+1)+(($B99/I$5)-INT(($B99/I$5)))*(INDEX('D Fleet'!$K$5:$K$36,INT(($B99/I$5))+2)-INDEX('D Fleet'!$K$5:$K$36,INT(($B99/I$5))+1)),0)</f>
        <v/>
      </c>
      <c r="J99" s="350">
        <f>IFERROR(INDEX('D Fleet'!$E$5:$E$63,MATCH(J$3-$B99,'D Fleet'!$B$5:$B$63,0)),0)*IFERROR(INDEX('D Fleet'!$K$5:$K$36,INT(($B99/J$5))+1)+(($B99/J$5)-INT(($B99/J$5)))*(INDEX('D Fleet'!$K$5:$K$36,INT(($B99/J$5))+2)-INDEX('D Fleet'!$K$5:$K$36,INT(($B99/J$5))+1)),0)</f>
        <v/>
      </c>
      <c r="K99" s="350">
        <f>IFERROR(INDEX('D Fleet'!$E$5:$E$63,MATCH(K$3-$B99,'D Fleet'!$B$5:$B$63,0)),0)*IFERROR(INDEX('D Fleet'!$K$5:$K$36,INT(($B99/K$5))+1)+(($B99/K$5)-INT(($B99/K$5)))*(INDEX('D Fleet'!$K$5:$K$36,INT(($B99/K$5))+2)-INDEX('D Fleet'!$K$5:$K$36,INT(($B99/K$5))+1)),0)</f>
        <v/>
      </c>
      <c r="L99" s="350">
        <f>IFERROR(INDEX('D Fleet'!$E$5:$E$63,MATCH(L$3-$B99,'D Fleet'!$B$5:$B$63,0)),0)*IFERROR(INDEX('D Fleet'!$K$5:$K$36,INT(($B99/L$5))+1)+(($B99/L$5)-INT(($B99/L$5)))*(INDEX('D Fleet'!$K$5:$K$36,INT(($B99/L$5))+2)-INDEX('D Fleet'!$K$5:$K$36,INT(($B99/L$5))+1)),0)</f>
        <v/>
      </c>
      <c r="M99" s="350">
        <f>IFERROR(INDEX('D Fleet'!$E$5:$E$63,MATCH(M$3-$B99,'D Fleet'!$B$5:$B$63,0)),0)*IFERROR(INDEX('D Fleet'!$K$5:$K$36,INT(($B99/M$5))+1)+(($B99/M$5)-INT(($B99/M$5)))*(INDEX('D Fleet'!$K$5:$K$36,INT(($B99/M$5))+2)-INDEX('D Fleet'!$K$5:$K$36,INT(($B99/M$5))+1)),0)</f>
        <v/>
      </c>
      <c r="N99" s="350">
        <f>IFERROR(INDEX('D Fleet'!$E$5:$E$63,MATCH(N$3-$B99,'D Fleet'!$B$5:$B$63,0)),0)*IFERROR(INDEX('D Fleet'!$K$5:$K$36,INT(($B99/N$5))+1)+(($B99/N$5)-INT(($B99/N$5)))*(INDEX('D Fleet'!$K$5:$K$36,INT(($B99/N$5))+2)-INDEX('D Fleet'!$K$5:$K$36,INT(($B99/N$5))+1)),0)</f>
        <v/>
      </c>
      <c r="P99" s="350">
        <f>E99*$D99*'E1 Fleet'!$D$99</f>
        <v/>
      </c>
      <c r="Q99" s="350">
        <f>F99*$D99*'E1 Fleet'!$D$99</f>
        <v/>
      </c>
      <c r="R99" s="350">
        <f>G99*$D99*'E1 Fleet'!$D$99</f>
        <v/>
      </c>
      <c r="S99" s="350">
        <f>H99*$D99*'E1 Fleet'!$D$99</f>
        <v/>
      </c>
      <c r="T99" s="350">
        <f>I99*$D99*'E1 Fleet'!$D$99</f>
        <v/>
      </c>
      <c r="U99" s="350">
        <f>J99*$D99*'E1 Fleet'!$D$99</f>
        <v/>
      </c>
      <c r="V99" s="350">
        <f>K99*$D99*'E1 Fleet'!$D$99</f>
        <v/>
      </c>
      <c r="W99" s="350">
        <f>L99*$D99*'E1 Fleet'!$D$99</f>
        <v/>
      </c>
      <c r="X99" s="350">
        <f>M99*$D99*'E1 Fleet'!$D$99</f>
        <v/>
      </c>
      <c r="Y99" s="350">
        <f>N99*$D99*'E1 Fleet'!$D$99</f>
        <v/>
      </c>
    </row>
    <row r="100">
      <c r="A100" t="inlineStr">
        <is>
          <t>Pickup</t>
        </is>
      </c>
      <c r="B100" s="456" t="n">
        <v>1</v>
      </c>
      <c r="C100" s="456" t="n">
        <v>1</v>
      </c>
      <c r="D100" s="348">
        <f>IF($B100=0,'E1 Fleet'!$D$93,1)*EXP(-'E1 Fleet'!$D$94*MAX($B100-6,0))</f>
        <v/>
      </c>
      <c r="E100" s="350">
        <f>IFERROR(INDEX('D Fleet'!$E$5:$E$63,MATCH(E$3-$B100,'D Fleet'!$B$5:$B$63,0)),0)*IFERROR(INDEX('D Fleet'!$K$5:$K$36,INT(($B100/E$5))+1)+(($B100/E$5)-INT(($B100/E$5)))*(INDEX('D Fleet'!$K$5:$K$36,INT(($B100/E$5))+2)-INDEX('D Fleet'!$K$5:$K$36,INT(($B100/E$5))+1)),0)</f>
        <v/>
      </c>
      <c r="F100" s="350">
        <f>IFERROR(INDEX('D Fleet'!$E$5:$E$63,MATCH(F$3-$B100,'D Fleet'!$B$5:$B$63,0)),0)*IFERROR(INDEX('D Fleet'!$K$5:$K$36,INT(($B100/F$5))+1)+(($B100/F$5)-INT(($B100/F$5)))*(INDEX('D Fleet'!$K$5:$K$36,INT(($B100/F$5))+2)-INDEX('D Fleet'!$K$5:$K$36,INT(($B100/F$5))+1)),0)</f>
        <v/>
      </c>
      <c r="G100" s="350">
        <f>IFERROR(INDEX('D Fleet'!$E$5:$E$63,MATCH(G$3-$B100,'D Fleet'!$B$5:$B$63,0)),0)*IFERROR(INDEX('D Fleet'!$K$5:$K$36,INT(($B100/G$5))+1)+(($B100/G$5)-INT(($B100/G$5)))*(INDEX('D Fleet'!$K$5:$K$36,INT(($B100/G$5))+2)-INDEX('D Fleet'!$K$5:$K$36,INT(($B100/G$5))+1)),0)</f>
        <v/>
      </c>
      <c r="H100" s="350">
        <f>IFERROR(INDEX('D Fleet'!$E$5:$E$63,MATCH(H$3-$B100,'D Fleet'!$B$5:$B$63,0)),0)*IFERROR(INDEX('D Fleet'!$K$5:$K$36,INT(($B100/H$5))+1)+(($B100/H$5)-INT(($B100/H$5)))*(INDEX('D Fleet'!$K$5:$K$36,INT(($B100/H$5))+2)-INDEX('D Fleet'!$K$5:$K$36,INT(($B100/H$5))+1)),0)</f>
        <v/>
      </c>
      <c r="I100" s="350">
        <f>IFERROR(INDEX('D Fleet'!$E$5:$E$63,MATCH(I$3-$B100,'D Fleet'!$B$5:$B$63,0)),0)*IFERROR(INDEX('D Fleet'!$K$5:$K$36,INT(($B100/I$5))+1)+(($B100/I$5)-INT(($B100/I$5)))*(INDEX('D Fleet'!$K$5:$K$36,INT(($B100/I$5))+2)-INDEX('D Fleet'!$K$5:$K$36,INT(($B100/I$5))+1)),0)</f>
        <v/>
      </c>
      <c r="J100" s="350">
        <f>IFERROR(INDEX('D Fleet'!$E$5:$E$63,MATCH(J$3-$B100,'D Fleet'!$B$5:$B$63,0)),0)*IFERROR(INDEX('D Fleet'!$K$5:$K$36,INT(($B100/J$5))+1)+(($B100/J$5)-INT(($B100/J$5)))*(INDEX('D Fleet'!$K$5:$K$36,INT(($B100/J$5))+2)-INDEX('D Fleet'!$K$5:$K$36,INT(($B100/J$5))+1)),0)</f>
        <v/>
      </c>
      <c r="K100" s="350">
        <f>IFERROR(INDEX('D Fleet'!$E$5:$E$63,MATCH(K$3-$B100,'D Fleet'!$B$5:$B$63,0)),0)*IFERROR(INDEX('D Fleet'!$K$5:$K$36,INT(($B100/K$5))+1)+(($B100/K$5)-INT(($B100/K$5)))*(INDEX('D Fleet'!$K$5:$K$36,INT(($B100/K$5))+2)-INDEX('D Fleet'!$K$5:$K$36,INT(($B100/K$5))+1)),0)</f>
        <v/>
      </c>
      <c r="L100" s="350">
        <f>IFERROR(INDEX('D Fleet'!$E$5:$E$63,MATCH(L$3-$B100,'D Fleet'!$B$5:$B$63,0)),0)*IFERROR(INDEX('D Fleet'!$K$5:$K$36,INT(($B100/L$5))+1)+(($B100/L$5)-INT(($B100/L$5)))*(INDEX('D Fleet'!$K$5:$K$36,INT(($B100/L$5))+2)-INDEX('D Fleet'!$K$5:$K$36,INT(($B100/L$5))+1)),0)</f>
        <v/>
      </c>
      <c r="M100" s="350">
        <f>IFERROR(INDEX('D Fleet'!$E$5:$E$63,MATCH(M$3-$B100,'D Fleet'!$B$5:$B$63,0)),0)*IFERROR(INDEX('D Fleet'!$K$5:$K$36,INT(($B100/M$5))+1)+(($B100/M$5)-INT(($B100/M$5)))*(INDEX('D Fleet'!$K$5:$K$36,INT(($B100/M$5))+2)-INDEX('D Fleet'!$K$5:$K$36,INT(($B100/M$5))+1)),0)</f>
        <v/>
      </c>
      <c r="N100" s="350">
        <f>IFERROR(INDEX('D Fleet'!$E$5:$E$63,MATCH(N$3-$B100,'D Fleet'!$B$5:$B$63,0)),0)*IFERROR(INDEX('D Fleet'!$K$5:$K$36,INT(($B100/N$5))+1)+(($B100/N$5)-INT(($B100/N$5)))*(INDEX('D Fleet'!$K$5:$K$36,INT(($B100/N$5))+2)-INDEX('D Fleet'!$K$5:$K$36,INT(($B100/N$5))+1)),0)</f>
        <v/>
      </c>
      <c r="P100" s="350">
        <f>E100*$D100*'E1 Fleet'!$D$99</f>
        <v/>
      </c>
      <c r="Q100" s="350">
        <f>F100*$D100*'E1 Fleet'!$D$99</f>
        <v/>
      </c>
      <c r="R100" s="350">
        <f>G100*$D100*'E1 Fleet'!$D$99</f>
        <v/>
      </c>
      <c r="S100" s="350">
        <f>H100*$D100*'E1 Fleet'!$D$99</f>
        <v/>
      </c>
      <c r="T100" s="350">
        <f>I100*$D100*'E1 Fleet'!$D$99</f>
        <v/>
      </c>
      <c r="U100" s="350">
        <f>J100*$D100*'E1 Fleet'!$D$99</f>
        <v/>
      </c>
      <c r="V100" s="350">
        <f>K100*$D100*'E1 Fleet'!$D$99</f>
        <v/>
      </c>
      <c r="W100" s="350">
        <f>L100*$D100*'E1 Fleet'!$D$99</f>
        <v/>
      </c>
      <c r="X100" s="350">
        <f>M100*$D100*'E1 Fleet'!$D$99</f>
        <v/>
      </c>
      <c r="Y100" s="350">
        <f>N100*$D100*'E1 Fleet'!$D$99</f>
        <v/>
      </c>
    </row>
    <row r="101">
      <c r="A101" t="inlineStr">
        <is>
          <t>Pickup</t>
        </is>
      </c>
      <c r="B101" s="456" t="n">
        <v>2</v>
      </c>
      <c r="C101" s="456" t="n">
        <v>1</v>
      </c>
      <c r="D101" s="348">
        <f>IF($B101=0,'E1 Fleet'!$D$93,1)*EXP(-'E1 Fleet'!$D$94*MAX($B101-6,0))</f>
        <v/>
      </c>
      <c r="E101" s="350">
        <f>IFERROR(INDEX('D Fleet'!$E$5:$E$63,MATCH(E$3-$B101,'D Fleet'!$B$5:$B$63,0)),0)*IFERROR(INDEX('D Fleet'!$K$5:$K$36,INT(($B101/E$5))+1)+(($B101/E$5)-INT(($B101/E$5)))*(INDEX('D Fleet'!$K$5:$K$36,INT(($B101/E$5))+2)-INDEX('D Fleet'!$K$5:$K$36,INT(($B101/E$5))+1)),0)</f>
        <v/>
      </c>
      <c r="F101" s="350">
        <f>IFERROR(INDEX('D Fleet'!$E$5:$E$63,MATCH(F$3-$B101,'D Fleet'!$B$5:$B$63,0)),0)*IFERROR(INDEX('D Fleet'!$K$5:$K$36,INT(($B101/F$5))+1)+(($B101/F$5)-INT(($B101/F$5)))*(INDEX('D Fleet'!$K$5:$K$36,INT(($B101/F$5))+2)-INDEX('D Fleet'!$K$5:$K$36,INT(($B101/F$5))+1)),0)</f>
        <v/>
      </c>
      <c r="G101" s="350">
        <f>IFERROR(INDEX('D Fleet'!$E$5:$E$63,MATCH(G$3-$B101,'D Fleet'!$B$5:$B$63,0)),0)*IFERROR(INDEX('D Fleet'!$K$5:$K$36,INT(($B101/G$5))+1)+(($B101/G$5)-INT(($B101/G$5)))*(INDEX('D Fleet'!$K$5:$K$36,INT(($B101/G$5))+2)-INDEX('D Fleet'!$K$5:$K$36,INT(($B101/G$5))+1)),0)</f>
        <v/>
      </c>
      <c r="H101" s="350">
        <f>IFERROR(INDEX('D Fleet'!$E$5:$E$63,MATCH(H$3-$B101,'D Fleet'!$B$5:$B$63,0)),0)*IFERROR(INDEX('D Fleet'!$K$5:$K$36,INT(($B101/H$5))+1)+(($B101/H$5)-INT(($B101/H$5)))*(INDEX('D Fleet'!$K$5:$K$36,INT(($B101/H$5))+2)-INDEX('D Fleet'!$K$5:$K$36,INT(($B101/H$5))+1)),0)</f>
        <v/>
      </c>
      <c r="I101" s="350">
        <f>IFERROR(INDEX('D Fleet'!$E$5:$E$63,MATCH(I$3-$B101,'D Fleet'!$B$5:$B$63,0)),0)*IFERROR(INDEX('D Fleet'!$K$5:$K$36,INT(($B101/I$5))+1)+(($B101/I$5)-INT(($B101/I$5)))*(INDEX('D Fleet'!$K$5:$K$36,INT(($B101/I$5))+2)-INDEX('D Fleet'!$K$5:$K$36,INT(($B101/I$5))+1)),0)</f>
        <v/>
      </c>
      <c r="J101" s="350">
        <f>IFERROR(INDEX('D Fleet'!$E$5:$E$63,MATCH(J$3-$B101,'D Fleet'!$B$5:$B$63,0)),0)*IFERROR(INDEX('D Fleet'!$K$5:$K$36,INT(($B101/J$5))+1)+(($B101/J$5)-INT(($B101/J$5)))*(INDEX('D Fleet'!$K$5:$K$36,INT(($B101/J$5))+2)-INDEX('D Fleet'!$K$5:$K$36,INT(($B101/J$5))+1)),0)</f>
        <v/>
      </c>
      <c r="K101" s="350">
        <f>IFERROR(INDEX('D Fleet'!$E$5:$E$63,MATCH(K$3-$B101,'D Fleet'!$B$5:$B$63,0)),0)*IFERROR(INDEX('D Fleet'!$K$5:$K$36,INT(($B101/K$5))+1)+(($B101/K$5)-INT(($B101/K$5)))*(INDEX('D Fleet'!$K$5:$K$36,INT(($B101/K$5))+2)-INDEX('D Fleet'!$K$5:$K$36,INT(($B101/K$5))+1)),0)</f>
        <v/>
      </c>
      <c r="L101" s="350">
        <f>IFERROR(INDEX('D Fleet'!$E$5:$E$63,MATCH(L$3-$B101,'D Fleet'!$B$5:$B$63,0)),0)*IFERROR(INDEX('D Fleet'!$K$5:$K$36,INT(($B101/L$5))+1)+(($B101/L$5)-INT(($B101/L$5)))*(INDEX('D Fleet'!$K$5:$K$36,INT(($B101/L$5))+2)-INDEX('D Fleet'!$K$5:$K$36,INT(($B101/L$5))+1)),0)</f>
        <v/>
      </c>
      <c r="M101" s="350">
        <f>IFERROR(INDEX('D Fleet'!$E$5:$E$63,MATCH(M$3-$B101,'D Fleet'!$B$5:$B$63,0)),0)*IFERROR(INDEX('D Fleet'!$K$5:$K$36,INT(($B101/M$5))+1)+(($B101/M$5)-INT(($B101/M$5)))*(INDEX('D Fleet'!$K$5:$K$36,INT(($B101/M$5))+2)-INDEX('D Fleet'!$K$5:$K$36,INT(($B101/M$5))+1)),0)</f>
        <v/>
      </c>
      <c r="N101" s="350">
        <f>IFERROR(INDEX('D Fleet'!$E$5:$E$63,MATCH(N$3-$B101,'D Fleet'!$B$5:$B$63,0)),0)*IFERROR(INDEX('D Fleet'!$K$5:$K$36,INT(($B101/N$5))+1)+(($B101/N$5)-INT(($B101/N$5)))*(INDEX('D Fleet'!$K$5:$K$36,INT(($B101/N$5))+2)-INDEX('D Fleet'!$K$5:$K$36,INT(($B101/N$5))+1)),0)</f>
        <v/>
      </c>
      <c r="P101" s="350">
        <f>E101*$D101*'E1 Fleet'!$D$99</f>
        <v/>
      </c>
      <c r="Q101" s="350">
        <f>F101*$D101*'E1 Fleet'!$D$99</f>
        <v/>
      </c>
      <c r="R101" s="350">
        <f>G101*$D101*'E1 Fleet'!$D$99</f>
        <v/>
      </c>
      <c r="S101" s="350">
        <f>H101*$D101*'E1 Fleet'!$D$99</f>
        <v/>
      </c>
      <c r="T101" s="350">
        <f>I101*$D101*'E1 Fleet'!$D$99</f>
        <v/>
      </c>
      <c r="U101" s="350">
        <f>J101*$D101*'E1 Fleet'!$D$99</f>
        <v/>
      </c>
      <c r="V101" s="350">
        <f>K101*$D101*'E1 Fleet'!$D$99</f>
        <v/>
      </c>
      <c r="W101" s="350">
        <f>L101*$D101*'E1 Fleet'!$D$99</f>
        <v/>
      </c>
      <c r="X101" s="350">
        <f>M101*$D101*'E1 Fleet'!$D$99</f>
        <v/>
      </c>
      <c r="Y101" s="350">
        <f>N101*$D101*'E1 Fleet'!$D$99</f>
        <v/>
      </c>
    </row>
    <row r="102">
      <c r="A102" t="inlineStr">
        <is>
          <t>Pickup</t>
        </is>
      </c>
      <c r="B102" s="456" t="n">
        <v>3</v>
      </c>
      <c r="C102" s="456" t="n">
        <v>1</v>
      </c>
      <c r="D102" s="348">
        <f>IF($B102=0,'E1 Fleet'!$D$93,1)*EXP(-'E1 Fleet'!$D$94*MAX($B102-6,0))</f>
        <v/>
      </c>
      <c r="E102" s="350">
        <f>IFERROR(INDEX('D Fleet'!$E$5:$E$63,MATCH(E$3-$B102,'D Fleet'!$B$5:$B$63,0)),0)*IFERROR(INDEX('D Fleet'!$K$5:$K$36,INT(($B102/E$5))+1)+(($B102/E$5)-INT(($B102/E$5)))*(INDEX('D Fleet'!$K$5:$K$36,INT(($B102/E$5))+2)-INDEX('D Fleet'!$K$5:$K$36,INT(($B102/E$5))+1)),0)</f>
        <v/>
      </c>
      <c r="F102" s="350">
        <f>IFERROR(INDEX('D Fleet'!$E$5:$E$63,MATCH(F$3-$B102,'D Fleet'!$B$5:$B$63,0)),0)*IFERROR(INDEX('D Fleet'!$K$5:$K$36,INT(($B102/F$5))+1)+(($B102/F$5)-INT(($B102/F$5)))*(INDEX('D Fleet'!$K$5:$K$36,INT(($B102/F$5))+2)-INDEX('D Fleet'!$K$5:$K$36,INT(($B102/F$5))+1)),0)</f>
        <v/>
      </c>
      <c r="G102" s="350">
        <f>IFERROR(INDEX('D Fleet'!$E$5:$E$63,MATCH(G$3-$B102,'D Fleet'!$B$5:$B$63,0)),0)*IFERROR(INDEX('D Fleet'!$K$5:$K$36,INT(($B102/G$5))+1)+(($B102/G$5)-INT(($B102/G$5)))*(INDEX('D Fleet'!$K$5:$K$36,INT(($B102/G$5))+2)-INDEX('D Fleet'!$K$5:$K$36,INT(($B102/G$5))+1)),0)</f>
        <v/>
      </c>
      <c r="H102" s="350">
        <f>IFERROR(INDEX('D Fleet'!$E$5:$E$63,MATCH(H$3-$B102,'D Fleet'!$B$5:$B$63,0)),0)*IFERROR(INDEX('D Fleet'!$K$5:$K$36,INT(($B102/H$5))+1)+(($B102/H$5)-INT(($B102/H$5)))*(INDEX('D Fleet'!$K$5:$K$36,INT(($B102/H$5))+2)-INDEX('D Fleet'!$K$5:$K$36,INT(($B102/H$5))+1)),0)</f>
        <v/>
      </c>
      <c r="I102" s="350">
        <f>IFERROR(INDEX('D Fleet'!$E$5:$E$63,MATCH(I$3-$B102,'D Fleet'!$B$5:$B$63,0)),0)*IFERROR(INDEX('D Fleet'!$K$5:$K$36,INT(($B102/I$5))+1)+(($B102/I$5)-INT(($B102/I$5)))*(INDEX('D Fleet'!$K$5:$K$36,INT(($B102/I$5))+2)-INDEX('D Fleet'!$K$5:$K$36,INT(($B102/I$5))+1)),0)</f>
        <v/>
      </c>
      <c r="J102" s="350">
        <f>IFERROR(INDEX('D Fleet'!$E$5:$E$63,MATCH(J$3-$B102,'D Fleet'!$B$5:$B$63,0)),0)*IFERROR(INDEX('D Fleet'!$K$5:$K$36,INT(($B102/J$5))+1)+(($B102/J$5)-INT(($B102/J$5)))*(INDEX('D Fleet'!$K$5:$K$36,INT(($B102/J$5))+2)-INDEX('D Fleet'!$K$5:$K$36,INT(($B102/J$5))+1)),0)</f>
        <v/>
      </c>
      <c r="K102" s="350">
        <f>IFERROR(INDEX('D Fleet'!$E$5:$E$63,MATCH(K$3-$B102,'D Fleet'!$B$5:$B$63,0)),0)*IFERROR(INDEX('D Fleet'!$K$5:$K$36,INT(($B102/K$5))+1)+(($B102/K$5)-INT(($B102/K$5)))*(INDEX('D Fleet'!$K$5:$K$36,INT(($B102/K$5))+2)-INDEX('D Fleet'!$K$5:$K$36,INT(($B102/K$5))+1)),0)</f>
        <v/>
      </c>
      <c r="L102" s="350">
        <f>IFERROR(INDEX('D Fleet'!$E$5:$E$63,MATCH(L$3-$B102,'D Fleet'!$B$5:$B$63,0)),0)*IFERROR(INDEX('D Fleet'!$K$5:$K$36,INT(($B102/L$5))+1)+(($B102/L$5)-INT(($B102/L$5)))*(INDEX('D Fleet'!$K$5:$K$36,INT(($B102/L$5))+2)-INDEX('D Fleet'!$K$5:$K$36,INT(($B102/L$5))+1)),0)</f>
        <v/>
      </c>
      <c r="M102" s="350">
        <f>IFERROR(INDEX('D Fleet'!$E$5:$E$63,MATCH(M$3-$B102,'D Fleet'!$B$5:$B$63,0)),0)*IFERROR(INDEX('D Fleet'!$K$5:$K$36,INT(($B102/M$5))+1)+(($B102/M$5)-INT(($B102/M$5)))*(INDEX('D Fleet'!$K$5:$K$36,INT(($B102/M$5))+2)-INDEX('D Fleet'!$K$5:$K$36,INT(($B102/M$5))+1)),0)</f>
        <v/>
      </c>
      <c r="N102" s="350">
        <f>IFERROR(INDEX('D Fleet'!$E$5:$E$63,MATCH(N$3-$B102,'D Fleet'!$B$5:$B$63,0)),0)*IFERROR(INDEX('D Fleet'!$K$5:$K$36,INT(($B102/N$5))+1)+(($B102/N$5)-INT(($B102/N$5)))*(INDEX('D Fleet'!$K$5:$K$36,INT(($B102/N$5))+2)-INDEX('D Fleet'!$K$5:$K$36,INT(($B102/N$5))+1)),0)</f>
        <v/>
      </c>
      <c r="P102" s="350">
        <f>E102*$D102*'E1 Fleet'!$D$99</f>
        <v/>
      </c>
      <c r="Q102" s="350">
        <f>F102*$D102*'E1 Fleet'!$D$99</f>
        <v/>
      </c>
      <c r="R102" s="350">
        <f>G102*$D102*'E1 Fleet'!$D$99</f>
        <v/>
      </c>
      <c r="S102" s="350">
        <f>H102*$D102*'E1 Fleet'!$D$99</f>
        <v/>
      </c>
      <c r="T102" s="350">
        <f>I102*$D102*'E1 Fleet'!$D$99</f>
        <v/>
      </c>
      <c r="U102" s="350">
        <f>J102*$D102*'E1 Fleet'!$D$99</f>
        <v/>
      </c>
      <c r="V102" s="350">
        <f>K102*$D102*'E1 Fleet'!$D$99</f>
        <v/>
      </c>
      <c r="W102" s="350">
        <f>L102*$D102*'E1 Fleet'!$D$99</f>
        <v/>
      </c>
      <c r="X102" s="350">
        <f>M102*$D102*'E1 Fleet'!$D$99</f>
        <v/>
      </c>
      <c r="Y102" s="350">
        <f>N102*$D102*'E1 Fleet'!$D$99</f>
        <v/>
      </c>
    </row>
    <row r="103">
      <c r="A103" t="inlineStr">
        <is>
          <t>Pickup</t>
        </is>
      </c>
      <c r="B103" s="456" t="n">
        <v>4</v>
      </c>
      <c r="C103" s="456" t="n">
        <v>2</v>
      </c>
      <c r="D103" s="348">
        <f>IF($B103=0,'E1 Fleet'!$D$93,1)*EXP(-'E1 Fleet'!$D$94*MAX($B103-6,0))</f>
        <v/>
      </c>
      <c r="E103" s="350">
        <f>IFERROR(INDEX('D Fleet'!$E$5:$E$63,MATCH(E$3-$B103,'D Fleet'!$B$5:$B$63,0)),0)*IFERROR(INDEX('D Fleet'!$K$5:$K$36,INT(($B103/E$5))+1)+(($B103/E$5)-INT(($B103/E$5)))*(INDEX('D Fleet'!$K$5:$K$36,INT(($B103/E$5))+2)-INDEX('D Fleet'!$K$5:$K$36,INT(($B103/E$5))+1)),0)</f>
        <v/>
      </c>
      <c r="F103" s="350">
        <f>IFERROR(INDEX('D Fleet'!$E$5:$E$63,MATCH(F$3-$B103,'D Fleet'!$B$5:$B$63,0)),0)*IFERROR(INDEX('D Fleet'!$K$5:$K$36,INT(($B103/F$5))+1)+(($B103/F$5)-INT(($B103/F$5)))*(INDEX('D Fleet'!$K$5:$K$36,INT(($B103/F$5))+2)-INDEX('D Fleet'!$K$5:$K$36,INT(($B103/F$5))+1)),0)</f>
        <v/>
      </c>
      <c r="G103" s="350">
        <f>IFERROR(INDEX('D Fleet'!$E$5:$E$63,MATCH(G$3-$B103,'D Fleet'!$B$5:$B$63,0)),0)*IFERROR(INDEX('D Fleet'!$K$5:$K$36,INT(($B103/G$5))+1)+(($B103/G$5)-INT(($B103/G$5)))*(INDEX('D Fleet'!$K$5:$K$36,INT(($B103/G$5))+2)-INDEX('D Fleet'!$K$5:$K$36,INT(($B103/G$5))+1)),0)</f>
        <v/>
      </c>
      <c r="H103" s="350">
        <f>IFERROR(INDEX('D Fleet'!$E$5:$E$63,MATCH(H$3-$B103,'D Fleet'!$B$5:$B$63,0)),0)*IFERROR(INDEX('D Fleet'!$K$5:$K$36,INT(($B103/H$5))+1)+(($B103/H$5)-INT(($B103/H$5)))*(INDEX('D Fleet'!$K$5:$K$36,INT(($B103/H$5))+2)-INDEX('D Fleet'!$K$5:$K$36,INT(($B103/H$5))+1)),0)</f>
        <v/>
      </c>
      <c r="I103" s="350">
        <f>IFERROR(INDEX('D Fleet'!$E$5:$E$63,MATCH(I$3-$B103,'D Fleet'!$B$5:$B$63,0)),0)*IFERROR(INDEX('D Fleet'!$K$5:$K$36,INT(($B103/I$5))+1)+(($B103/I$5)-INT(($B103/I$5)))*(INDEX('D Fleet'!$K$5:$K$36,INT(($B103/I$5))+2)-INDEX('D Fleet'!$K$5:$K$36,INT(($B103/I$5))+1)),0)</f>
        <v/>
      </c>
      <c r="J103" s="350">
        <f>IFERROR(INDEX('D Fleet'!$E$5:$E$63,MATCH(J$3-$B103,'D Fleet'!$B$5:$B$63,0)),0)*IFERROR(INDEX('D Fleet'!$K$5:$K$36,INT(($B103/J$5))+1)+(($B103/J$5)-INT(($B103/J$5)))*(INDEX('D Fleet'!$K$5:$K$36,INT(($B103/J$5))+2)-INDEX('D Fleet'!$K$5:$K$36,INT(($B103/J$5))+1)),0)</f>
        <v/>
      </c>
      <c r="K103" s="350">
        <f>IFERROR(INDEX('D Fleet'!$E$5:$E$63,MATCH(K$3-$B103,'D Fleet'!$B$5:$B$63,0)),0)*IFERROR(INDEX('D Fleet'!$K$5:$K$36,INT(($B103/K$5))+1)+(($B103/K$5)-INT(($B103/K$5)))*(INDEX('D Fleet'!$K$5:$K$36,INT(($B103/K$5))+2)-INDEX('D Fleet'!$K$5:$K$36,INT(($B103/K$5))+1)),0)</f>
        <v/>
      </c>
      <c r="L103" s="350">
        <f>IFERROR(INDEX('D Fleet'!$E$5:$E$63,MATCH(L$3-$B103,'D Fleet'!$B$5:$B$63,0)),0)*IFERROR(INDEX('D Fleet'!$K$5:$K$36,INT(($B103/L$5))+1)+(($B103/L$5)-INT(($B103/L$5)))*(INDEX('D Fleet'!$K$5:$K$36,INT(($B103/L$5))+2)-INDEX('D Fleet'!$K$5:$K$36,INT(($B103/L$5))+1)),0)</f>
        <v/>
      </c>
      <c r="M103" s="350">
        <f>IFERROR(INDEX('D Fleet'!$E$5:$E$63,MATCH(M$3-$B103,'D Fleet'!$B$5:$B$63,0)),0)*IFERROR(INDEX('D Fleet'!$K$5:$K$36,INT(($B103/M$5))+1)+(($B103/M$5)-INT(($B103/M$5)))*(INDEX('D Fleet'!$K$5:$K$36,INT(($B103/M$5))+2)-INDEX('D Fleet'!$K$5:$K$36,INT(($B103/M$5))+1)),0)</f>
        <v/>
      </c>
      <c r="N103" s="350">
        <f>IFERROR(INDEX('D Fleet'!$E$5:$E$63,MATCH(N$3-$B103,'D Fleet'!$B$5:$B$63,0)),0)*IFERROR(INDEX('D Fleet'!$K$5:$K$36,INT(($B103/N$5))+1)+(($B103/N$5)-INT(($B103/N$5)))*(INDEX('D Fleet'!$K$5:$K$36,INT(($B103/N$5))+2)-INDEX('D Fleet'!$K$5:$K$36,INT(($B103/N$5))+1)),0)</f>
        <v/>
      </c>
      <c r="P103" s="350">
        <f>E103*$D103*'E1 Fleet'!$D$99</f>
        <v/>
      </c>
      <c r="Q103" s="350">
        <f>F103*$D103*'E1 Fleet'!$D$99</f>
        <v/>
      </c>
      <c r="R103" s="350">
        <f>G103*$D103*'E1 Fleet'!$D$99</f>
        <v/>
      </c>
      <c r="S103" s="350">
        <f>H103*$D103*'E1 Fleet'!$D$99</f>
        <v/>
      </c>
      <c r="T103" s="350">
        <f>I103*$D103*'E1 Fleet'!$D$99</f>
        <v/>
      </c>
      <c r="U103" s="350">
        <f>J103*$D103*'E1 Fleet'!$D$99</f>
        <v/>
      </c>
      <c r="V103" s="350">
        <f>K103*$D103*'E1 Fleet'!$D$99</f>
        <v/>
      </c>
      <c r="W103" s="350">
        <f>L103*$D103*'E1 Fleet'!$D$99</f>
        <v/>
      </c>
      <c r="X103" s="350">
        <f>M103*$D103*'E1 Fleet'!$D$99</f>
        <v/>
      </c>
      <c r="Y103" s="350">
        <f>N103*$D103*'E1 Fleet'!$D$99</f>
        <v/>
      </c>
    </row>
    <row r="104">
      <c r="A104" t="inlineStr">
        <is>
          <t>Pickup</t>
        </is>
      </c>
      <c r="B104" s="456" t="n">
        <v>5</v>
      </c>
      <c r="C104" s="456" t="n">
        <v>2</v>
      </c>
      <c r="D104" s="348">
        <f>IF($B104=0,'E1 Fleet'!$D$93,1)*EXP(-'E1 Fleet'!$D$94*MAX($B104-6,0))</f>
        <v/>
      </c>
      <c r="E104" s="350">
        <f>IFERROR(INDEX('D Fleet'!$E$5:$E$63,MATCH(E$3-$B104,'D Fleet'!$B$5:$B$63,0)),0)*IFERROR(INDEX('D Fleet'!$K$5:$K$36,INT(($B104/E$5))+1)+(($B104/E$5)-INT(($B104/E$5)))*(INDEX('D Fleet'!$K$5:$K$36,INT(($B104/E$5))+2)-INDEX('D Fleet'!$K$5:$K$36,INT(($B104/E$5))+1)),0)</f>
        <v/>
      </c>
      <c r="F104" s="350">
        <f>IFERROR(INDEX('D Fleet'!$E$5:$E$63,MATCH(F$3-$B104,'D Fleet'!$B$5:$B$63,0)),0)*IFERROR(INDEX('D Fleet'!$K$5:$K$36,INT(($B104/F$5))+1)+(($B104/F$5)-INT(($B104/F$5)))*(INDEX('D Fleet'!$K$5:$K$36,INT(($B104/F$5))+2)-INDEX('D Fleet'!$K$5:$K$36,INT(($B104/F$5))+1)),0)</f>
        <v/>
      </c>
      <c r="G104" s="350">
        <f>IFERROR(INDEX('D Fleet'!$E$5:$E$63,MATCH(G$3-$B104,'D Fleet'!$B$5:$B$63,0)),0)*IFERROR(INDEX('D Fleet'!$K$5:$K$36,INT(($B104/G$5))+1)+(($B104/G$5)-INT(($B104/G$5)))*(INDEX('D Fleet'!$K$5:$K$36,INT(($B104/G$5))+2)-INDEX('D Fleet'!$K$5:$K$36,INT(($B104/G$5))+1)),0)</f>
        <v/>
      </c>
      <c r="H104" s="350">
        <f>IFERROR(INDEX('D Fleet'!$E$5:$E$63,MATCH(H$3-$B104,'D Fleet'!$B$5:$B$63,0)),0)*IFERROR(INDEX('D Fleet'!$K$5:$K$36,INT(($B104/H$5))+1)+(($B104/H$5)-INT(($B104/H$5)))*(INDEX('D Fleet'!$K$5:$K$36,INT(($B104/H$5))+2)-INDEX('D Fleet'!$K$5:$K$36,INT(($B104/H$5))+1)),0)</f>
        <v/>
      </c>
      <c r="I104" s="350">
        <f>IFERROR(INDEX('D Fleet'!$E$5:$E$63,MATCH(I$3-$B104,'D Fleet'!$B$5:$B$63,0)),0)*IFERROR(INDEX('D Fleet'!$K$5:$K$36,INT(($B104/I$5))+1)+(($B104/I$5)-INT(($B104/I$5)))*(INDEX('D Fleet'!$K$5:$K$36,INT(($B104/I$5))+2)-INDEX('D Fleet'!$K$5:$K$36,INT(($B104/I$5))+1)),0)</f>
        <v/>
      </c>
      <c r="J104" s="350">
        <f>IFERROR(INDEX('D Fleet'!$E$5:$E$63,MATCH(J$3-$B104,'D Fleet'!$B$5:$B$63,0)),0)*IFERROR(INDEX('D Fleet'!$K$5:$K$36,INT(($B104/J$5))+1)+(($B104/J$5)-INT(($B104/J$5)))*(INDEX('D Fleet'!$K$5:$K$36,INT(($B104/J$5))+2)-INDEX('D Fleet'!$K$5:$K$36,INT(($B104/J$5))+1)),0)</f>
        <v/>
      </c>
      <c r="K104" s="350">
        <f>IFERROR(INDEX('D Fleet'!$E$5:$E$63,MATCH(K$3-$B104,'D Fleet'!$B$5:$B$63,0)),0)*IFERROR(INDEX('D Fleet'!$K$5:$K$36,INT(($B104/K$5))+1)+(($B104/K$5)-INT(($B104/K$5)))*(INDEX('D Fleet'!$K$5:$K$36,INT(($B104/K$5))+2)-INDEX('D Fleet'!$K$5:$K$36,INT(($B104/K$5))+1)),0)</f>
        <v/>
      </c>
      <c r="L104" s="350">
        <f>IFERROR(INDEX('D Fleet'!$E$5:$E$63,MATCH(L$3-$B104,'D Fleet'!$B$5:$B$63,0)),0)*IFERROR(INDEX('D Fleet'!$K$5:$K$36,INT(($B104/L$5))+1)+(($B104/L$5)-INT(($B104/L$5)))*(INDEX('D Fleet'!$K$5:$K$36,INT(($B104/L$5))+2)-INDEX('D Fleet'!$K$5:$K$36,INT(($B104/L$5))+1)),0)</f>
        <v/>
      </c>
      <c r="M104" s="350">
        <f>IFERROR(INDEX('D Fleet'!$E$5:$E$63,MATCH(M$3-$B104,'D Fleet'!$B$5:$B$63,0)),0)*IFERROR(INDEX('D Fleet'!$K$5:$K$36,INT(($B104/M$5))+1)+(($B104/M$5)-INT(($B104/M$5)))*(INDEX('D Fleet'!$K$5:$K$36,INT(($B104/M$5))+2)-INDEX('D Fleet'!$K$5:$K$36,INT(($B104/M$5))+1)),0)</f>
        <v/>
      </c>
      <c r="N104" s="350">
        <f>IFERROR(INDEX('D Fleet'!$E$5:$E$63,MATCH(N$3-$B104,'D Fleet'!$B$5:$B$63,0)),0)*IFERROR(INDEX('D Fleet'!$K$5:$K$36,INT(($B104/N$5))+1)+(($B104/N$5)-INT(($B104/N$5)))*(INDEX('D Fleet'!$K$5:$K$36,INT(($B104/N$5))+2)-INDEX('D Fleet'!$K$5:$K$36,INT(($B104/N$5))+1)),0)</f>
        <v/>
      </c>
      <c r="P104" s="350">
        <f>E104*$D104*'E1 Fleet'!$D$99</f>
        <v/>
      </c>
      <c r="Q104" s="350">
        <f>F104*$D104*'E1 Fleet'!$D$99</f>
        <v/>
      </c>
      <c r="R104" s="350">
        <f>G104*$D104*'E1 Fleet'!$D$99</f>
        <v/>
      </c>
      <c r="S104" s="350">
        <f>H104*$D104*'E1 Fleet'!$D$99</f>
        <v/>
      </c>
      <c r="T104" s="350">
        <f>I104*$D104*'E1 Fleet'!$D$99</f>
        <v/>
      </c>
      <c r="U104" s="350">
        <f>J104*$D104*'E1 Fleet'!$D$99</f>
        <v/>
      </c>
      <c r="V104" s="350">
        <f>K104*$D104*'E1 Fleet'!$D$99</f>
        <v/>
      </c>
      <c r="W104" s="350">
        <f>L104*$D104*'E1 Fleet'!$D$99</f>
        <v/>
      </c>
      <c r="X104" s="350">
        <f>M104*$D104*'E1 Fleet'!$D$99</f>
        <v/>
      </c>
      <c r="Y104" s="350">
        <f>N104*$D104*'E1 Fleet'!$D$99</f>
        <v/>
      </c>
    </row>
    <row r="105">
      <c r="A105" t="inlineStr">
        <is>
          <t>Pickup</t>
        </is>
      </c>
      <c r="B105" s="456" t="n">
        <v>6</v>
      </c>
      <c r="C105" s="456" t="n">
        <v>2</v>
      </c>
      <c r="D105" s="348">
        <f>IF($B105=0,'E1 Fleet'!$D$93,1)*EXP(-'E1 Fleet'!$D$94*MAX($B105-6,0))</f>
        <v/>
      </c>
      <c r="E105" s="350">
        <f>IFERROR(INDEX('D Fleet'!$E$5:$E$63,MATCH(E$3-$B105,'D Fleet'!$B$5:$B$63,0)),0)*IFERROR(INDEX('D Fleet'!$K$5:$K$36,INT(($B105/E$5))+1)+(($B105/E$5)-INT(($B105/E$5)))*(INDEX('D Fleet'!$K$5:$K$36,INT(($B105/E$5))+2)-INDEX('D Fleet'!$K$5:$K$36,INT(($B105/E$5))+1)),0)</f>
        <v/>
      </c>
      <c r="F105" s="350">
        <f>IFERROR(INDEX('D Fleet'!$E$5:$E$63,MATCH(F$3-$B105,'D Fleet'!$B$5:$B$63,0)),0)*IFERROR(INDEX('D Fleet'!$K$5:$K$36,INT(($B105/F$5))+1)+(($B105/F$5)-INT(($B105/F$5)))*(INDEX('D Fleet'!$K$5:$K$36,INT(($B105/F$5))+2)-INDEX('D Fleet'!$K$5:$K$36,INT(($B105/F$5))+1)),0)</f>
        <v/>
      </c>
      <c r="G105" s="350">
        <f>IFERROR(INDEX('D Fleet'!$E$5:$E$63,MATCH(G$3-$B105,'D Fleet'!$B$5:$B$63,0)),0)*IFERROR(INDEX('D Fleet'!$K$5:$K$36,INT(($B105/G$5))+1)+(($B105/G$5)-INT(($B105/G$5)))*(INDEX('D Fleet'!$K$5:$K$36,INT(($B105/G$5))+2)-INDEX('D Fleet'!$K$5:$K$36,INT(($B105/G$5))+1)),0)</f>
        <v/>
      </c>
      <c r="H105" s="350">
        <f>IFERROR(INDEX('D Fleet'!$E$5:$E$63,MATCH(H$3-$B105,'D Fleet'!$B$5:$B$63,0)),0)*IFERROR(INDEX('D Fleet'!$K$5:$K$36,INT(($B105/H$5))+1)+(($B105/H$5)-INT(($B105/H$5)))*(INDEX('D Fleet'!$K$5:$K$36,INT(($B105/H$5))+2)-INDEX('D Fleet'!$K$5:$K$36,INT(($B105/H$5))+1)),0)</f>
        <v/>
      </c>
      <c r="I105" s="350">
        <f>IFERROR(INDEX('D Fleet'!$E$5:$E$63,MATCH(I$3-$B105,'D Fleet'!$B$5:$B$63,0)),0)*IFERROR(INDEX('D Fleet'!$K$5:$K$36,INT(($B105/I$5))+1)+(($B105/I$5)-INT(($B105/I$5)))*(INDEX('D Fleet'!$K$5:$K$36,INT(($B105/I$5))+2)-INDEX('D Fleet'!$K$5:$K$36,INT(($B105/I$5))+1)),0)</f>
        <v/>
      </c>
      <c r="J105" s="350">
        <f>IFERROR(INDEX('D Fleet'!$E$5:$E$63,MATCH(J$3-$B105,'D Fleet'!$B$5:$B$63,0)),0)*IFERROR(INDEX('D Fleet'!$K$5:$K$36,INT(($B105/J$5))+1)+(($B105/J$5)-INT(($B105/J$5)))*(INDEX('D Fleet'!$K$5:$K$36,INT(($B105/J$5))+2)-INDEX('D Fleet'!$K$5:$K$36,INT(($B105/J$5))+1)),0)</f>
        <v/>
      </c>
      <c r="K105" s="350">
        <f>IFERROR(INDEX('D Fleet'!$E$5:$E$63,MATCH(K$3-$B105,'D Fleet'!$B$5:$B$63,0)),0)*IFERROR(INDEX('D Fleet'!$K$5:$K$36,INT(($B105/K$5))+1)+(($B105/K$5)-INT(($B105/K$5)))*(INDEX('D Fleet'!$K$5:$K$36,INT(($B105/K$5))+2)-INDEX('D Fleet'!$K$5:$K$36,INT(($B105/K$5))+1)),0)</f>
        <v/>
      </c>
      <c r="L105" s="350">
        <f>IFERROR(INDEX('D Fleet'!$E$5:$E$63,MATCH(L$3-$B105,'D Fleet'!$B$5:$B$63,0)),0)*IFERROR(INDEX('D Fleet'!$K$5:$K$36,INT(($B105/L$5))+1)+(($B105/L$5)-INT(($B105/L$5)))*(INDEX('D Fleet'!$K$5:$K$36,INT(($B105/L$5))+2)-INDEX('D Fleet'!$K$5:$K$36,INT(($B105/L$5))+1)),0)</f>
        <v/>
      </c>
      <c r="M105" s="350">
        <f>IFERROR(INDEX('D Fleet'!$E$5:$E$63,MATCH(M$3-$B105,'D Fleet'!$B$5:$B$63,0)),0)*IFERROR(INDEX('D Fleet'!$K$5:$K$36,INT(($B105/M$5))+1)+(($B105/M$5)-INT(($B105/M$5)))*(INDEX('D Fleet'!$K$5:$K$36,INT(($B105/M$5))+2)-INDEX('D Fleet'!$K$5:$K$36,INT(($B105/M$5))+1)),0)</f>
        <v/>
      </c>
      <c r="N105" s="350">
        <f>IFERROR(INDEX('D Fleet'!$E$5:$E$63,MATCH(N$3-$B105,'D Fleet'!$B$5:$B$63,0)),0)*IFERROR(INDEX('D Fleet'!$K$5:$K$36,INT(($B105/N$5))+1)+(($B105/N$5)-INT(($B105/N$5)))*(INDEX('D Fleet'!$K$5:$K$36,INT(($B105/N$5))+2)-INDEX('D Fleet'!$K$5:$K$36,INT(($B105/N$5))+1)),0)</f>
        <v/>
      </c>
      <c r="P105" s="350">
        <f>E105*$D105*'E1 Fleet'!$D$99</f>
        <v/>
      </c>
      <c r="Q105" s="350">
        <f>F105*$D105*'E1 Fleet'!$D$99</f>
        <v/>
      </c>
      <c r="R105" s="350">
        <f>G105*$D105*'E1 Fleet'!$D$99</f>
        <v/>
      </c>
      <c r="S105" s="350">
        <f>H105*$D105*'E1 Fleet'!$D$99</f>
        <v/>
      </c>
      <c r="T105" s="350">
        <f>I105*$D105*'E1 Fleet'!$D$99</f>
        <v/>
      </c>
      <c r="U105" s="350">
        <f>J105*$D105*'E1 Fleet'!$D$99</f>
        <v/>
      </c>
      <c r="V105" s="350">
        <f>K105*$D105*'E1 Fleet'!$D$99</f>
        <v/>
      </c>
      <c r="W105" s="350">
        <f>L105*$D105*'E1 Fleet'!$D$99</f>
        <v/>
      </c>
      <c r="X105" s="350">
        <f>M105*$D105*'E1 Fleet'!$D$99</f>
        <v/>
      </c>
      <c r="Y105" s="350">
        <f>N105*$D105*'E1 Fleet'!$D$99</f>
        <v/>
      </c>
    </row>
    <row r="106">
      <c r="A106" t="inlineStr">
        <is>
          <t>Pickup</t>
        </is>
      </c>
      <c r="B106" s="456" t="n">
        <v>7</v>
      </c>
      <c r="C106" s="456" t="n">
        <v>3</v>
      </c>
      <c r="D106" s="348">
        <f>IF($B106=0,'E1 Fleet'!$D$93,1)*EXP(-'E1 Fleet'!$D$94*MAX($B106-6,0))</f>
        <v/>
      </c>
      <c r="E106" s="350">
        <f>IFERROR(INDEX('D Fleet'!$E$5:$E$63,MATCH(E$3-$B106,'D Fleet'!$B$5:$B$63,0)),0)*IFERROR(INDEX('D Fleet'!$K$5:$K$36,INT(($B106/E$5))+1)+(($B106/E$5)-INT(($B106/E$5)))*(INDEX('D Fleet'!$K$5:$K$36,INT(($B106/E$5))+2)-INDEX('D Fleet'!$K$5:$K$36,INT(($B106/E$5))+1)),0)</f>
        <v/>
      </c>
      <c r="F106" s="350">
        <f>IFERROR(INDEX('D Fleet'!$E$5:$E$63,MATCH(F$3-$B106,'D Fleet'!$B$5:$B$63,0)),0)*IFERROR(INDEX('D Fleet'!$K$5:$K$36,INT(($B106/F$5))+1)+(($B106/F$5)-INT(($B106/F$5)))*(INDEX('D Fleet'!$K$5:$K$36,INT(($B106/F$5))+2)-INDEX('D Fleet'!$K$5:$K$36,INT(($B106/F$5))+1)),0)</f>
        <v/>
      </c>
      <c r="G106" s="350">
        <f>IFERROR(INDEX('D Fleet'!$E$5:$E$63,MATCH(G$3-$B106,'D Fleet'!$B$5:$B$63,0)),0)*IFERROR(INDEX('D Fleet'!$K$5:$K$36,INT(($B106/G$5))+1)+(($B106/G$5)-INT(($B106/G$5)))*(INDEX('D Fleet'!$K$5:$K$36,INT(($B106/G$5))+2)-INDEX('D Fleet'!$K$5:$K$36,INT(($B106/G$5))+1)),0)</f>
        <v/>
      </c>
      <c r="H106" s="350">
        <f>IFERROR(INDEX('D Fleet'!$E$5:$E$63,MATCH(H$3-$B106,'D Fleet'!$B$5:$B$63,0)),0)*IFERROR(INDEX('D Fleet'!$K$5:$K$36,INT(($B106/H$5))+1)+(($B106/H$5)-INT(($B106/H$5)))*(INDEX('D Fleet'!$K$5:$K$36,INT(($B106/H$5))+2)-INDEX('D Fleet'!$K$5:$K$36,INT(($B106/H$5))+1)),0)</f>
        <v/>
      </c>
      <c r="I106" s="350">
        <f>IFERROR(INDEX('D Fleet'!$E$5:$E$63,MATCH(I$3-$B106,'D Fleet'!$B$5:$B$63,0)),0)*IFERROR(INDEX('D Fleet'!$K$5:$K$36,INT(($B106/I$5))+1)+(($B106/I$5)-INT(($B106/I$5)))*(INDEX('D Fleet'!$K$5:$K$36,INT(($B106/I$5))+2)-INDEX('D Fleet'!$K$5:$K$36,INT(($B106/I$5))+1)),0)</f>
        <v/>
      </c>
      <c r="J106" s="350">
        <f>IFERROR(INDEX('D Fleet'!$E$5:$E$63,MATCH(J$3-$B106,'D Fleet'!$B$5:$B$63,0)),0)*IFERROR(INDEX('D Fleet'!$K$5:$K$36,INT(($B106/J$5))+1)+(($B106/J$5)-INT(($B106/J$5)))*(INDEX('D Fleet'!$K$5:$K$36,INT(($B106/J$5))+2)-INDEX('D Fleet'!$K$5:$K$36,INT(($B106/J$5))+1)),0)</f>
        <v/>
      </c>
      <c r="K106" s="350">
        <f>IFERROR(INDEX('D Fleet'!$E$5:$E$63,MATCH(K$3-$B106,'D Fleet'!$B$5:$B$63,0)),0)*IFERROR(INDEX('D Fleet'!$K$5:$K$36,INT(($B106/K$5))+1)+(($B106/K$5)-INT(($B106/K$5)))*(INDEX('D Fleet'!$K$5:$K$36,INT(($B106/K$5))+2)-INDEX('D Fleet'!$K$5:$K$36,INT(($B106/K$5))+1)),0)</f>
        <v/>
      </c>
      <c r="L106" s="350">
        <f>IFERROR(INDEX('D Fleet'!$E$5:$E$63,MATCH(L$3-$B106,'D Fleet'!$B$5:$B$63,0)),0)*IFERROR(INDEX('D Fleet'!$K$5:$K$36,INT(($B106/L$5))+1)+(($B106/L$5)-INT(($B106/L$5)))*(INDEX('D Fleet'!$K$5:$K$36,INT(($B106/L$5))+2)-INDEX('D Fleet'!$K$5:$K$36,INT(($B106/L$5))+1)),0)</f>
        <v/>
      </c>
      <c r="M106" s="350">
        <f>IFERROR(INDEX('D Fleet'!$E$5:$E$63,MATCH(M$3-$B106,'D Fleet'!$B$5:$B$63,0)),0)*IFERROR(INDEX('D Fleet'!$K$5:$K$36,INT(($B106/M$5))+1)+(($B106/M$5)-INT(($B106/M$5)))*(INDEX('D Fleet'!$K$5:$K$36,INT(($B106/M$5))+2)-INDEX('D Fleet'!$K$5:$K$36,INT(($B106/M$5))+1)),0)</f>
        <v/>
      </c>
      <c r="N106" s="350">
        <f>IFERROR(INDEX('D Fleet'!$E$5:$E$63,MATCH(N$3-$B106,'D Fleet'!$B$5:$B$63,0)),0)*IFERROR(INDEX('D Fleet'!$K$5:$K$36,INT(($B106/N$5))+1)+(($B106/N$5)-INT(($B106/N$5)))*(INDEX('D Fleet'!$K$5:$K$36,INT(($B106/N$5))+2)-INDEX('D Fleet'!$K$5:$K$36,INT(($B106/N$5))+1)),0)</f>
        <v/>
      </c>
      <c r="P106" s="350">
        <f>E106*$D106*'E1 Fleet'!$D$99</f>
        <v/>
      </c>
      <c r="Q106" s="350">
        <f>F106*$D106*'E1 Fleet'!$D$99</f>
        <v/>
      </c>
      <c r="R106" s="350">
        <f>G106*$D106*'E1 Fleet'!$D$99</f>
        <v/>
      </c>
      <c r="S106" s="350">
        <f>H106*$D106*'E1 Fleet'!$D$99</f>
        <v/>
      </c>
      <c r="T106" s="350">
        <f>I106*$D106*'E1 Fleet'!$D$99</f>
        <v/>
      </c>
      <c r="U106" s="350">
        <f>J106*$D106*'E1 Fleet'!$D$99</f>
        <v/>
      </c>
      <c r="V106" s="350">
        <f>K106*$D106*'E1 Fleet'!$D$99</f>
        <v/>
      </c>
      <c r="W106" s="350">
        <f>L106*$D106*'E1 Fleet'!$D$99</f>
        <v/>
      </c>
      <c r="X106" s="350">
        <f>M106*$D106*'E1 Fleet'!$D$99</f>
        <v/>
      </c>
      <c r="Y106" s="350">
        <f>N106*$D106*'E1 Fleet'!$D$99</f>
        <v/>
      </c>
    </row>
    <row r="107">
      <c r="A107" t="inlineStr">
        <is>
          <t>Pickup</t>
        </is>
      </c>
      <c r="B107" s="456" t="n">
        <v>8</v>
      </c>
      <c r="C107" s="456" t="n">
        <v>3</v>
      </c>
      <c r="D107" s="348">
        <f>IF($B107=0,'E1 Fleet'!$D$93,1)*EXP(-'E1 Fleet'!$D$94*MAX($B107-6,0))</f>
        <v/>
      </c>
      <c r="E107" s="350">
        <f>IFERROR(INDEX('D Fleet'!$E$5:$E$63,MATCH(E$3-$B107,'D Fleet'!$B$5:$B$63,0)),0)*IFERROR(INDEX('D Fleet'!$K$5:$K$36,INT(($B107/E$5))+1)+(($B107/E$5)-INT(($B107/E$5)))*(INDEX('D Fleet'!$K$5:$K$36,INT(($B107/E$5))+2)-INDEX('D Fleet'!$K$5:$K$36,INT(($B107/E$5))+1)),0)</f>
        <v/>
      </c>
      <c r="F107" s="350">
        <f>IFERROR(INDEX('D Fleet'!$E$5:$E$63,MATCH(F$3-$B107,'D Fleet'!$B$5:$B$63,0)),0)*IFERROR(INDEX('D Fleet'!$K$5:$K$36,INT(($B107/F$5))+1)+(($B107/F$5)-INT(($B107/F$5)))*(INDEX('D Fleet'!$K$5:$K$36,INT(($B107/F$5))+2)-INDEX('D Fleet'!$K$5:$K$36,INT(($B107/F$5))+1)),0)</f>
        <v/>
      </c>
      <c r="G107" s="350">
        <f>IFERROR(INDEX('D Fleet'!$E$5:$E$63,MATCH(G$3-$B107,'D Fleet'!$B$5:$B$63,0)),0)*IFERROR(INDEX('D Fleet'!$K$5:$K$36,INT(($B107/G$5))+1)+(($B107/G$5)-INT(($B107/G$5)))*(INDEX('D Fleet'!$K$5:$K$36,INT(($B107/G$5))+2)-INDEX('D Fleet'!$K$5:$K$36,INT(($B107/G$5))+1)),0)</f>
        <v/>
      </c>
      <c r="H107" s="350">
        <f>IFERROR(INDEX('D Fleet'!$E$5:$E$63,MATCH(H$3-$B107,'D Fleet'!$B$5:$B$63,0)),0)*IFERROR(INDEX('D Fleet'!$K$5:$K$36,INT(($B107/H$5))+1)+(($B107/H$5)-INT(($B107/H$5)))*(INDEX('D Fleet'!$K$5:$K$36,INT(($B107/H$5))+2)-INDEX('D Fleet'!$K$5:$K$36,INT(($B107/H$5))+1)),0)</f>
        <v/>
      </c>
      <c r="I107" s="350">
        <f>IFERROR(INDEX('D Fleet'!$E$5:$E$63,MATCH(I$3-$B107,'D Fleet'!$B$5:$B$63,0)),0)*IFERROR(INDEX('D Fleet'!$K$5:$K$36,INT(($B107/I$5))+1)+(($B107/I$5)-INT(($B107/I$5)))*(INDEX('D Fleet'!$K$5:$K$36,INT(($B107/I$5))+2)-INDEX('D Fleet'!$K$5:$K$36,INT(($B107/I$5))+1)),0)</f>
        <v/>
      </c>
      <c r="J107" s="350">
        <f>IFERROR(INDEX('D Fleet'!$E$5:$E$63,MATCH(J$3-$B107,'D Fleet'!$B$5:$B$63,0)),0)*IFERROR(INDEX('D Fleet'!$K$5:$K$36,INT(($B107/J$5))+1)+(($B107/J$5)-INT(($B107/J$5)))*(INDEX('D Fleet'!$K$5:$K$36,INT(($B107/J$5))+2)-INDEX('D Fleet'!$K$5:$K$36,INT(($B107/J$5))+1)),0)</f>
        <v/>
      </c>
      <c r="K107" s="350">
        <f>IFERROR(INDEX('D Fleet'!$E$5:$E$63,MATCH(K$3-$B107,'D Fleet'!$B$5:$B$63,0)),0)*IFERROR(INDEX('D Fleet'!$K$5:$K$36,INT(($B107/K$5))+1)+(($B107/K$5)-INT(($B107/K$5)))*(INDEX('D Fleet'!$K$5:$K$36,INT(($B107/K$5))+2)-INDEX('D Fleet'!$K$5:$K$36,INT(($B107/K$5))+1)),0)</f>
        <v/>
      </c>
      <c r="L107" s="350">
        <f>IFERROR(INDEX('D Fleet'!$E$5:$E$63,MATCH(L$3-$B107,'D Fleet'!$B$5:$B$63,0)),0)*IFERROR(INDEX('D Fleet'!$K$5:$K$36,INT(($B107/L$5))+1)+(($B107/L$5)-INT(($B107/L$5)))*(INDEX('D Fleet'!$K$5:$K$36,INT(($B107/L$5))+2)-INDEX('D Fleet'!$K$5:$K$36,INT(($B107/L$5))+1)),0)</f>
        <v/>
      </c>
      <c r="M107" s="350">
        <f>IFERROR(INDEX('D Fleet'!$E$5:$E$63,MATCH(M$3-$B107,'D Fleet'!$B$5:$B$63,0)),0)*IFERROR(INDEX('D Fleet'!$K$5:$K$36,INT(($B107/M$5))+1)+(($B107/M$5)-INT(($B107/M$5)))*(INDEX('D Fleet'!$K$5:$K$36,INT(($B107/M$5))+2)-INDEX('D Fleet'!$K$5:$K$36,INT(($B107/M$5))+1)),0)</f>
        <v/>
      </c>
      <c r="N107" s="350">
        <f>IFERROR(INDEX('D Fleet'!$E$5:$E$63,MATCH(N$3-$B107,'D Fleet'!$B$5:$B$63,0)),0)*IFERROR(INDEX('D Fleet'!$K$5:$K$36,INT(($B107/N$5))+1)+(($B107/N$5)-INT(($B107/N$5)))*(INDEX('D Fleet'!$K$5:$K$36,INT(($B107/N$5))+2)-INDEX('D Fleet'!$K$5:$K$36,INT(($B107/N$5))+1)),0)</f>
        <v/>
      </c>
      <c r="P107" s="350">
        <f>E107*$D107*'E1 Fleet'!$D$99</f>
        <v/>
      </c>
      <c r="Q107" s="350">
        <f>F107*$D107*'E1 Fleet'!$D$99</f>
        <v/>
      </c>
      <c r="R107" s="350">
        <f>G107*$D107*'E1 Fleet'!$D$99</f>
        <v/>
      </c>
      <c r="S107" s="350">
        <f>H107*$D107*'E1 Fleet'!$D$99</f>
        <v/>
      </c>
      <c r="T107" s="350">
        <f>I107*$D107*'E1 Fleet'!$D$99</f>
        <v/>
      </c>
      <c r="U107" s="350">
        <f>J107*$D107*'E1 Fleet'!$D$99</f>
        <v/>
      </c>
      <c r="V107" s="350">
        <f>K107*$D107*'E1 Fleet'!$D$99</f>
        <v/>
      </c>
      <c r="W107" s="350">
        <f>L107*$D107*'E1 Fleet'!$D$99</f>
        <v/>
      </c>
      <c r="X107" s="350">
        <f>M107*$D107*'E1 Fleet'!$D$99</f>
        <v/>
      </c>
      <c r="Y107" s="350">
        <f>N107*$D107*'E1 Fleet'!$D$99</f>
        <v/>
      </c>
    </row>
    <row r="108">
      <c r="A108" t="inlineStr">
        <is>
          <t>Pickup</t>
        </is>
      </c>
      <c r="B108" s="456" t="n">
        <v>9</v>
      </c>
      <c r="C108" s="456" t="n">
        <v>3</v>
      </c>
      <c r="D108" s="348">
        <f>IF($B108=0,'E1 Fleet'!$D$93,1)*EXP(-'E1 Fleet'!$D$94*MAX($B108-6,0))</f>
        <v/>
      </c>
      <c r="E108" s="350">
        <f>IFERROR(INDEX('D Fleet'!$E$5:$E$63,MATCH(E$3-$B108,'D Fleet'!$B$5:$B$63,0)),0)*IFERROR(INDEX('D Fleet'!$K$5:$K$36,INT(($B108/E$5))+1)+(($B108/E$5)-INT(($B108/E$5)))*(INDEX('D Fleet'!$K$5:$K$36,INT(($B108/E$5))+2)-INDEX('D Fleet'!$K$5:$K$36,INT(($B108/E$5))+1)),0)</f>
        <v/>
      </c>
      <c r="F108" s="350">
        <f>IFERROR(INDEX('D Fleet'!$E$5:$E$63,MATCH(F$3-$B108,'D Fleet'!$B$5:$B$63,0)),0)*IFERROR(INDEX('D Fleet'!$K$5:$K$36,INT(($B108/F$5))+1)+(($B108/F$5)-INT(($B108/F$5)))*(INDEX('D Fleet'!$K$5:$K$36,INT(($B108/F$5))+2)-INDEX('D Fleet'!$K$5:$K$36,INT(($B108/F$5))+1)),0)</f>
        <v/>
      </c>
      <c r="G108" s="350">
        <f>IFERROR(INDEX('D Fleet'!$E$5:$E$63,MATCH(G$3-$B108,'D Fleet'!$B$5:$B$63,0)),0)*IFERROR(INDEX('D Fleet'!$K$5:$K$36,INT(($B108/G$5))+1)+(($B108/G$5)-INT(($B108/G$5)))*(INDEX('D Fleet'!$K$5:$K$36,INT(($B108/G$5))+2)-INDEX('D Fleet'!$K$5:$K$36,INT(($B108/G$5))+1)),0)</f>
        <v/>
      </c>
      <c r="H108" s="350">
        <f>IFERROR(INDEX('D Fleet'!$E$5:$E$63,MATCH(H$3-$B108,'D Fleet'!$B$5:$B$63,0)),0)*IFERROR(INDEX('D Fleet'!$K$5:$K$36,INT(($B108/H$5))+1)+(($B108/H$5)-INT(($B108/H$5)))*(INDEX('D Fleet'!$K$5:$K$36,INT(($B108/H$5))+2)-INDEX('D Fleet'!$K$5:$K$36,INT(($B108/H$5))+1)),0)</f>
        <v/>
      </c>
      <c r="I108" s="350">
        <f>IFERROR(INDEX('D Fleet'!$E$5:$E$63,MATCH(I$3-$B108,'D Fleet'!$B$5:$B$63,0)),0)*IFERROR(INDEX('D Fleet'!$K$5:$K$36,INT(($B108/I$5))+1)+(($B108/I$5)-INT(($B108/I$5)))*(INDEX('D Fleet'!$K$5:$K$36,INT(($B108/I$5))+2)-INDEX('D Fleet'!$K$5:$K$36,INT(($B108/I$5))+1)),0)</f>
        <v/>
      </c>
      <c r="J108" s="350">
        <f>IFERROR(INDEX('D Fleet'!$E$5:$E$63,MATCH(J$3-$B108,'D Fleet'!$B$5:$B$63,0)),0)*IFERROR(INDEX('D Fleet'!$K$5:$K$36,INT(($B108/J$5))+1)+(($B108/J$5)-INT(($B108/J$5)))*(INDEX('D Fleet'!$K$5:$K$36,INT(($B108/J$5))+2)-INDEX('D Fleet'!$K$5:$K$36,INT(($B108/J$5))+1)),0)</f>
        <v/>
      </c>
      <c r="K108" s="350">
        <f>IFERROR(INDEX('D Fleet'!$E$5:$E$63,MATCH(K$3-$B108,'D Fleet'!$B$5:$B$63,0)),0)*IFERROR(INDEX('D Fleet'!$K$5:$K$36,INT(($B108/K$5))+1)+(($B108/K$5)-INT(($B108/K$5)))*(INDEX('D Fleet'!$K$5:$K$36,INT(($B108/K$5))+2)-INDEX('D Fleet'!$K$5:$K$36,INT(($B108/K$5))+1)),0)</f>
        <v/>
      </c>
      <c r="L108" s="350">
        <f>IFERROR(INDEX('D Fleet'!$E$5:$E$63,MATCH(L$3-$B108,'D Fleet'!$B$5:$B$63,0)),0)*IFERROR(INDEX('D Fleet'!$K$5:$K$36,INT(($B108/L$5))+1)+(($B108/L$5)-INT(($B108/L$5)))*(INDEX('D Fleet'!$K$5:$K$36,INT(($B108/L$5))+2)-INDEX('D Fleet'!$K$5:$K$36,INT(($B108/L$5))+1)),0)</f>
        <v/>
      </c>
      <c r="M108" s="350">
        <f>IFERROR(INDEX('D Fleet'!$E$5:$E$63,MATCH(M$3-$B108,'D Fleet'!$B$5:$B$63,0)),0)*IFERROR(INDEX('D Fleet'!$K$5:$K$36,INT(($B108/M$5))+1)+(($B108/M$5)-INT(($B108/M$5)))*(INDEX('D Fleet'!$K$5:$K$36,INT(($B108/M$5))+2)-INDEX('D Fleet'!$K$5:$K$36,INT(($B108/M$5))+1)),0)</f>
        <v/>
      </c>
      <c r="N108" s="350">
        <f>IFERROR(INDEX('D Fleet'!$E$5:$E$63,MATCH(N$3-$B108,'D Fleet'!$B$5:$B$63,0)),0)*IFERROR(INDEX('D Fleet'!$K$5:$K$36,INT(($B108/N$5))+1)+(($B108/N$5)-INT(($B108/N$5)))*(INDEX('D Fleet'!$K$5:$K$36,INT(($B108/N$5))+2)-INDEX('D Fleet'!$K$5:$K$36,INT(($B108/N$5))+1)),0)</f>
        <v/>
      </c>
      <c r="P108" s="350">
        <f>E108*$D108*'E1 Fleet'!$D$99</f>
        <v/>
      </c>
      <c r="Q108" s="350">
        <f>F108*$D108*'E1 Fleet'!$D$99</f>
        <v/>
      </c>
      <c r="R108" s="350">
        <f>G108*$D108*'E1 Fleet'!$D$99</f>
        <v/>
      </c>
      <c r="S108" s="350">
        <f>H108*$D108*'E1 Fleet'!$D$99</f>
        <v/>
      </c>
      <c r="T108" s="350">
        <f>I108*$D108*'E1 Fleet'!$D$99</f>
        <v/>
      </c>
      <c r="U108" s="350">
        <f>J108*$D108*'E1 Fleet'!$D$99</f>
        <v/>
      </c>
      <c r="V108" s="350">
        <f>K108*$D108*'E1 Fleet'!$D$99</f>
        <v/>
      </c>
      <c r="W108" s="350">
        <f>L108*$D108*'E1 Fleet'!$D$99</f>
        <v/>
      </c>
      <c r="X108" s="350">
        <f>M108*$D108*'E1 Fleet'!$D$99</f>
        <v/>
      </c>
      <c r="Y108" s="350">
        <f>N108*$D108*'E1 Fleet'!$D$99</f>
        <v/>
      </c>
    </row>
    <row r="109">
      <c r="A109" t="inlineStr">
        <is>
          <t>Pickup</t>
        </is>
      </c>
      <c r="B109" s="456" t="n">
        <v>10</v>
      </c>
      <c r="C109" s="456" t="n">
        <v>3</v>
      </c>
      <c r="D109" s="348">
        <f>IF($B109=0,'E1 Fleet'!$D$93,1)*EXP(-'E1 Fleet'!$D$94*MAX($B109-6,0))</f>
        <v/>
      </c>
      <c r="E109" s="350">
        <f>IFERROR(INDEX('D Fleet'!$E$5:$E$63,MATCH(E$3-$B109,'D Fleet'!$B$5:$B$63,0)),0)*IFERROR(INDEX('D Fleet'!$K$5:$K$36,INT(($B109/E$5))+1)+(($B109/E$5)-INT(($B109/E$5)))*(INDEX('D Fleet'!$K$5:$K$36,INT(($B109/E$5))+2)-INDEX('D Fleet'!$K$5:$K$36,INT(($B109/E$5))+1)),0)</f>
        <v/>
      </c>
      <c r="F109" s="350">
        <f>IFERROR(INDEX('D Fleet'!$E$5:$E$63,MATCH(F$3-$B109,'D Fleet'!$B$5:$B$63,0)),0)*IFERROR(INDEX('D Fleet'!$K$5:$K$36,INT(($B109/F$5))+1)+(($B109/F$5)-INT(($B109/F$5)))*(INDEX('D Fleet'!$K$5:$K$36,INT(($B109/F$5))+2)-INDEX('D Fleet'!$K$5:$K$36,INT(($B109/F$5))+1)),0)</f>
        <v/>
      </c>
      <c r="G109" s="350">
        <f>IFERROR(INDEX('D Fleet'!$E$5:$E$63,MATCH(G$3-$B109,'D Fleet'!$B$5:$B$63,0)),0)*IFERROR(INDEX('D Fleet'!$K$5:$K$36,INT(($B109/G$5))+1)+(($B109/G$5)-INT(($B109/G$5)))*(INDEX('D Fleet'!$K$5:$K$36,INT(($B109/G$5))+2)-INDEX('D Fleet'!$K$5:$K$36,INT(($B109/G$5))+1)),0)</f>
        <v/>
      </c>
      <c r="H109" s="350">
        <f>IFERROR(INDEX('D Fleet'!$E$5:$E$63,MATCH(H$3-$B109,'D Fleet'!$B$5:$B$63,0)),0)*IFERROR(INDEX('D Fleet'!$K$5:$K$36,INT(($B109/H$5))+1)+(($B109/H$5)-INT(($B109/H$5)))*(INDEX('D Fleet'!$K$5:$K$36,INT(($B109/H$5))+2)-INDEX('D Fleet'!$K$5:$K$36,INT(($B109/H$5))+1)),0)</f>
        <v/>
      </c>
      <c r="I109" s="350">
        <f>IFERROR(INDEX('D Fleet'!$E$5:$E$63,MATCH(I$3-$B109,'D Fleet'!$B$5:$B$63,0)),0)*IFERROR(INDEX('D Fleet'!$K$5:$K$36,INT(($B109/I$5))+1)+(($B109/I$5)-INT(($B109/I$5)))*(INDEX('D Fleet'!$K$5:$K$36,INT(($B109/I$5))+2)-INDEX('D Fleet'!$K$5:$K$36,INT(($B109/I$5))+1)),0)</f>
        <v/>
      </c>
      <c r="J109" s="350">
        <f>IFERROR(INDEX('D Fleet'!$E$5:$E$63,MATCH(J$3-$B109,'D Fleet'!$B$5:$B$63,0)),0)*IFERROR(INDEX('D Fleet'!$K$5:$K$36,INT(($B109/J$5))+1)+(($B109/J$5)-INT(($B109/J$5)))*(INDEX('D Fleet'!$K$5:$K$36,INT(($B109/J$5))+2)-INDEX('D Fleet'!$K$5:$K$36,INT(($B109/J$5))+1)),0)</f>
        <v/>
      </c>
      <c r="K109" s="350">
        <f>IFERROR(INDEX('D Fleet'!$E$5:$E$63,MATCH(K$3-$B109,'D Fleet'!$B$5:$B$63,0)),0)*IFERROR(INDEX('D Fleet'!$K$5:$K$36,INT(($B109/K$5))+1)+(($B109/K$5)-INT(($B109/K$5)))*(INDEX('D Fleet'!$K$5:$K$36,INT(($B109/K$5))+2)-INDEX('D Fleet'!$K$5:$K$36,INT(($B109/K$5))+1)),0)</f>
        <v/>
      </c>
      <c r="L109" s="350">
        <f>IFERROR(INDEX('D Fleet'!$E$5:$E$63,MATCH(L$3-$B109,'D Fleet'!$B$5:$B$63,0)),0)*IFERROR(INDEX('D Fleet'!$K$5:$K$36,INT(($B109/L$5))+1)+(($B109/L$5)-INT(($B109/L$5)))*(INDEX('D Fleet'!$K$5:$K$36,INT(($B109/L$5))+2)-INDEX('D Fleet'!$K$5:$K$36,INT(($B109/L$5))+1)),0)</f>
        <v/>
      </c>
      <c r="M109" s="350">
        <f>IFERROR(INDEX('D Fleet'!$E$5:$E$63,MATCH(M$3-$B109,'D Fleet'!$B$5:$B$63,0)),0)*IFERROR(INDEX('D Fleet'!$K$5:$K$36,INT(($B109/M$5))+1)+(($B109/M$5)-INT(($B109/M$5)))*(INDEX('D Fleet'!$K$5:$K$36,INT(($B109/M$5))+2)-INDEX('D Fleet'!$K$5:$K$36,INT(($B109/M$5))+1)),0)</f>
        <v/>
      </c>
      <c r="N109" s="350">
        <f>IFERROR(INDEX('D Fleet'!$E$5:$E$63,MATCH(N$3-$B109,'D Fleet'!$B$5:$B$63,0)),0)*IFERROR(INDEX('D Fleet'!$K$5:$K$36,INT(($B109/N$5))+1)+(($B109/N$5)-INT(($B109/N$5)))*(INDEX('D Fleet'!$K$5:$K$36,INT(($B109/N$5))+2)-INDEX('D Fleet'!$K$5:$K$36,INT(($B109/N$5))+1)),0)</f>
        <v/>
      </c>
      <c r="P109" s="350">
        <f>E109*$D109*'E1 Fleet'!$D$99</f>
        <v/>
      </c>
      <c r="Q109" s="350">
        <f>F109*$D109*'E1 Fleet'!$D$99</f>
        <v/>
      </c>
      <c r="R109" s="350">
        <f>G109*$D109*'E1 Fleet'!$D$99</f>
        <v/>
      </c>
      <c r="S109" s="350">
        <f>H109*$D109*'E1 Fleet'!$D$99</f>
        <v/>
      </c>
      <c r="T109" s="350">
        <f>I109*$D109*'E1 Fleet'!$D$99</f>
        <v/>
      </c>
      <c r="U109" s="350">
        <f>J109*$D109*'E1 Fleet'!$D$99</f>
        <v/>
      </c>
      <c r="V109" s="350">
        <f>K109*$D109*'E1 Fleet'!$D$99</f>
        <v/>
      </c>
      <c r="W109" s="350">
        <f>L109*$D109*'E1 Fleet'!$D$99</f>
        <v/>
      </c>
      <c r="X109" s="350">
        <f>M109*$D109*'E1 Fleet'!$D$99</f>
        <v/>
      </c>
      <c r="Y109" s="350">
        <f>N109*$D109*'E1 Fleet'!$D$99</f>
        <v/>
      </c>
    </row>
    <row r="110">
      <c r="A110" t="inlineStr">
        <is>
          <t>Pickup</t>
        </is>
      </c>
      <c r="B110" s="456" t="n">
        <v>11</v>
      </c>
      <c r="C110" s="456" t="n">
        <v>3</v>
      </c>
      <c r="D110" s="348">
        <f>IF($B110=0,'E1 Fleet'!$D$93,1)*EXP(-'E1 Fleet'!$D$94*MAX($B110-6,0))</f>
        <v/>
      </c>
      <c r="E110" s="350">
        <f>IFERROR(INDEX('D Fleet'!$E$5:$E$63,MATCH(E$3-$B110,'D Fleet'!$B$5:$B$63,0)),0)*IFERROR(INDEX('D Fleet'!$K$5:$K$36,INT(($B110/E$5))+1)+(($B110/E$5)-INT(($B110/E$5)))*(INDEX('D Fleet'!$K$5:$K$36,INT(($B110/E$5))+2)-INDEX('D Fleet'!$K$5:$K$36,INT(($B110/E$5))+1)),0)</f>
        <v/>
      </c>
      <c r="F110" s="350">
        <f>IFERROR(INDEX('D Fleet'!$E$5:$E$63,MATCH(F$3-$B110,'D Fleet'!$B$5:$B$63,0)),0)*IFERROR(INDEX('D Fleet'!$K$5:$K$36,INT(($B110/F$5))+1)+(($B110/F$5)-INT(($B110/F$5)))*(INDEX('D Fleet'!$K$5:$K$36,INT(($B110/F$5))+2)-INDEX('D Fleet'!$K$5:$K$36,INT(($B110/F$5))+1)),0)</f>
        <v/>
      </c>
      <c r="G110" s="350">
        <f>IFERROR(INDEX('D Fleet'!$E$5:$E$63,MATCH(G$3-$B110,'D Fleet'!$B$5:$B$63,0)),0)*IFERROR(INDEX('D Fleet'!$K$5:$K$36,INT(($B110/G$5))+1)+(($B110/G$5)-INT(($B110/G$5)))*(INDEX('D Fleet'!$K$5:$K$36,INT(($B110/G$5))+2)-INDEX('D Fleet'!$K$5:$K$36,INT(($B110/G$5))+1)),0)</f>
        <v/>
      </c>
      <c r="H110" s="350">
        <f>IFERROR(INDEX('D Fleet'!$E$5:$E$63,MATCH(H$3-$B110,'D Fleet'!$B$5:$B$63,0)),0)*IFERROR(INDEX('D Fleet'!$K$5:$K$36,INT(($B110/H$5))+1)+(($B110/H$5)-INT(($B110/H$5)))*(INDEX('D Fleet'!$K$5:$K$36,INT(($B110/H$5))+2)-INDEX('D Fleet'!$K$5:$K$36,INT(($B110/H$5))+1)),0)</f>
        <v/>
      </c>
      <c r="I110" s="350">
        <f>IFERROR(INDEX('D Fleet'!$E$5:$E$63,MATCH(I$3-$B110,'D Fleet'!$B$5:$B$63,0)),0)*IFERROR(INDEX('D Fleet'!$K$5:$K$36,INT(($B110/I$5))+1)+(($B110/I$5)-INT(($B110/I$5)))*(INDEX('D Fleet'!$K$5:$K$36,INT(($B110/I$5))+2)-INDEX('D Fleet'!$K$5:$K$36,INT(($B110/I$5))+1)),0)</f>
        <v/>
      </c>
      <c r="J110" s="350">
        <f>IFERROR(INDEX('D Fleet'!$E$5:$E$63,MATCH(J$3-$B110,'D Fleet'!$B$5:$B$63,0)),0)*IFERROR(INDEX('D Fleet'!$K$5:$K$36,INT(($B110/J$5))+1)+(($B110/J$5)-INT(($B110/J$5)))*(INDEX('D Fleet'!$K$5:$K$36,INT(($B110/J$5))+2)-INDEX('D Fleet'!$K$5:$K$36,INT(($B110/J$5))+1)),0)</f>
        <v/>
      </c>
      <c r="K110" s="350">
        <f>IFERROR(INDEX('D Fleet'!$E$5:$E$63,MATCH(K$3-$B110,'D Fleet'!$B$5:$B$63,0)),0)*IFERROR(INDEX('D Fleet'!$K$5:$K$36,INT(($B110/K$5))+1)+(($B110/K$5)-INT(($B110/K$5)))*(INDEX('D Fleet'!$K$5:$K$36,INT(($B110/K$5))+2)-INDEX('D Fleet'!$K$5:$K$36,INT(($B110/K$5))+1)),0)</f>
        <v/>
      </c>
      <c r="L110" s="350">
        <f>IFERROR(INDEX('D Fleet'!$E$5:$E$63,MATCH(L$3-$B110,'D Fleet'!$B$5:$B$63,0)),0)*IFERROR(INDEX('D Fleet'!$K$5:$K$36,INT(($B110/L$5))+1)+(($B110/L$5)-INT(($B110/L$5)))*(INDEX('D Fleet'!$K$5:$K$36,INT(($B110/L$5))+2)-INDEX('D Fleet'!$K$5:$K$36,INT(($B110/L$5))+1)),0)</f>
        <v/>
      </c>
      <c r="M110" s="350">
        <f>IFERROR(INDEX('D Fleet'!$E$5:$E$63,MATCH(M$3-$B110,'D Fleet'!$B$5:$B$63,0)),0)*IFERROR(INDEX('D Fleet'!$K$5:$K$36,INT(($B110/M$5))+1)+(($B110/M$5)-INT(($B110/M$5)))*(INDEX('D Fleet'!$K$5:$K$36,INT(($B110/M$5))+2)-INDEX('D Fleet'!$K$5:$K$36,INT(($B110/M$5))+1)),0)</f>
        <v/>
      </c>
      <c r="N110" s="350">
        <f>IFERROR(INDEX('D Fleet'!$E$5:$E$63,MATCH(N$3-$B110,'D Fleet'!$B$5:$B$63,0)),0)*IFERROR(INDEX('D Fleet'!$K$5:$K$36,INT(($B110/N$5))+1)+(($B110/N$5)-INT(($B110/N$5)))*(INDEX('D Fleet'!$K$5:$K$36,INT(($B110/N$5))+2)-INDEX('D Fleet'!$K$5:$K$36,INT(($B110/N$5))+1)),0)</f>
        <v/>
      </c>
      <c r="P110" s="350">
        <f>E110*$D110*'E1 Fleet'!$D$99</f>
        <v/>
      </c>
      <c r="Q110" s="350">
        <f>F110*$D110*'E1 Fleet'!$D$99</f>
        <v/>
      </c>
      <c r="R110" s="350">
        <f>G110*$D110*'E1 Fleet'!$D$99</f>
        <v/>
      </c>
      <c r="S110" s="350">
        <f>H110*$D110*'E1 Fleet'!$D$99</f>
        <v/>
      </c>
      <c r="T110" s="350">
        <f>I110*$D110*'E1 Fleet'!$D$99</f>
        <v/>
      </c>
      <c r="U110" s="350">
        <f>J110*$D110*'E1 Fleet'!$D$99</f>
        <v/>
      </c>
      <c r="V110" s="350">
        <f>K110*$D110*'E1 Fleet'!$D$99</f>
        <v/>
      </c>
      <c r="W110" s="350">
        <f>L110*$D110*'E1 Fleet'!$D$99</f>
        <v/>
      </c>
      <c r="X110" s="350">
        <f>M110*$D110*'E1 Fleet'!$D$99</f>
        <v/>
      </c>
      <c r="Y110" s="350">
        <f>N110*$D110*'E1 Fleet'!$D$99</f>
        <v/>
      </c>
    </row>
    <row r="111">
      <c r="A111" t="inlineStr">
        <is>
          <t>Pickup</t>
        </is>
      </c>
      <c r="B111" s="456" t="n">
        <v>12</v>
      </c>
      <c r="C111" s="456" t="n">
        <v>3</v>
      </c>
      <c r="D111" s="348">
        <f>IF($B111=0,'E1 Fleet'!$D$93,1)*EXP(-'E1 Fleet'!$D$94*MAX($B111-6,0))</f>
        <v/>
      </c>
      <c r="E111" s="350">
        <f>IFERROR(INDEX('D Fleet'!$E$5:$E$63,MATCH(E$3-$B111,'D Fleet'!$B$5:$B$63,0)),0)*IFERROR(INDEX('D Fleet'!$K$5:$K$36,INT(($B111/E$5))+1)+(($B111/E$5)-INT(($B111/E$5)))*(INDEX('D Fleet'!$K$5:$K$36,INT(($B111/E$5))+2)-INDEX('D Fleet'!$K$5:$K$36,INT(($B111/E$5))+1)),0)</f>
        <v/>
      </c>
      <c r="F111" s="350">
        <f>IFERROR(INDEX('D Fleet'!$E$5:$E$63,MATCH(F$3-$B111,'D Fleet'!$B$5:$B$63,0)),0)*IFERROR(INDEX('D Fleet'!$K$5:$K$36,INT(($B111/F$5))+1)+(($B111/F$5)-INT(($B111/F$5)))*(INDEX('D Fleet'!$K$5:$K$36,INT(($B111/F$5))+2)-INDEX('D Fleet'!$K$5:$K$36,INT(($B111/F$5))+1)),0)</f>
        <v/>
      </c>
      <c r="G111" s="350">
        <f>IFERROR(INDEX('D Fleet'!$E$5:$E$63,MATCH(G$3-$B111,'D Fleet'!$B$5:$B$63,0)),0)*IFERROR(INDEX('D Fleet'!$K$5:$K$36,INT(($B111/G$5))+1)+(($B111/G$5)-INT(($B111/G$5)))*(INDEX('D Fleet'!$K$5:$K$36,INT(($B111/G$5))+2)-INDEX('D Fleet'!$K$5:$K$36,INT(($B111/G$5))+1)),0)</f>
        <v/>
      </c>
      <c r="H111" s="350">
        <f>IFERROR(INDEX('D Fleet'!$E$5:$E$63,MATCH(H$3-$B111,'D Fleet'!$B$5:$B$63,0)),0)*IFERROR(INDEX('D Fleet'!$K$5:$K$36,INT(($B111/H$5))+1)+(($B111/H$5)-INT(($B111/H$5)))*(INDEX('D Fleet'!$K$5:$K$36,INT(($B111/H$5))+2)-INDEX('D Fleet'!$K$5:$K$36,INT(($B111/H$5))+1)),0)</f>
        <v/>
      </c>
      <c r="I111" s="350">
        <f>IFERROR(INDEX('D Fleet'!$E$5:$E$63,MATCH(I$3-$B111,'D Fleet'!$B$5:$B$63,0)),0)*IFERROR(INDEX('D Fleet'!$K$5:$K$36,INT(($B111/I$5))+1)+(($B111/I$5)-INT(($B111/I$5)))*(INDEX('D Fleet'!$K$5:$K$36,INT(($B111/I$5))+2)-INDEX('D Fleet'!$K$5:$K$36,INT(($B111/I$5))+1)),0)</f>
        <v/>
      </c>
      <c r="J111" s="350">
        <f>IFERROR(INDEX('D Fleet'!$E$5:$E$63,MATCH(J$3-$B111,'D Fleet'!$B$5:$B$63,0)),0)*IFERROR(INDEX('D Fleet'!$K$5:$K$36,INT(($B111/J$5))+1)+(($B111/J$5)-INT(($B111/J$5)))*(INDEX('D Fleet'!$K$5:$K$36,INT(($B111/J$5))+2)-INDEX('D Fleet'!$K$5:$K$36,INT(($B111/J$5))+1)),0)</f>
        <v/>
      </c>
      <c r="K111" s="350">
        <f>IFERROR(INDEX('D Fleet'!$E$5:$E$63,MATCH(K$3-$B111,'D Fleet'!$B$5:$B$63,0)),0)*IFERROR(INDEX('D Fleet'!$K$5:$K$36,INT(($B111/K$5))+1)+(($B111/K$5)-INT(($B111/K$5)))*(INDEX('D Fleet'!$K$5:$K$36,INT(($B111/K$5))+2)-INDEX('D Fleet'!$K$5:$K$36,INT(($B111/K$5))+1)),0)</f>
        <v/>
      </c>
      <c r="L111" s="350">
        <f>IFERROR(INDEX('D Fleet'!$E$5:$E$63,MATCH(L$3-$B111,'D Fleet'!$B$5:$B$63,0)),0)*IFERROR(INDEX('D Fleet'!$K$5:$K$36,INT(($B111/L$5))+1)+(($B111/L$5)-INT(($B111/L$5)))*(INDEX('D Fleet'!$K$5:$K$36,INT(($B111/L$5))+2)-INDEX('D Fleet'!$K$5:$K$36,INT(($B111/L$5))+1)),0)</f>
        <v/>
      </c>
      <c r="M111" s="350">
        <f>IFERROR(INDEX('D Fleet'!$E$5:$E$63,MATCH(M$3-$B111,'D Fleet'!$B$5:$B$63,0)),0)*IFERROR(INDEX('D Fleet'!$K$5:$K$36,INT(($B111/M$5))+1)+(($B111/M$5)-INT(($B111/M$5)))*(INDEX('D Fleet'!$K$5:$K$36,INT(($B111/M$5))+2)-INDEX('D Fleet'!$K$5:$K$36,INT(($B111/M$5))+1)),0)</f>
        <v/>
      </c>
      <c r="N111" s="350">
        <f>IFERROR(INDEX('D Fleet'!$E$5:$E$63,MATCH(N$3-$B111,'D Fleet'!$B$5:$B$63,0)),0)*IFERROR(INDEX('D Fleet'!$K$5:$K$36,INT(($B111/N$5))+1)+(($B111/N$5)-INT(($B111/N$5)))*(INDEX('D Fleet'!$K$5:$K$36,INT(($B111/N$5))+2)-INDEX('D Fleet'!$K$5:$K$36,INT(($B111/N$5))+1)),0)</f>
        <v/>
      </c>
      <c r="P111" s="350">
        <f>E111*$D111*'E1 Fleet'!$D$99</f>
        <v/>
      </c>
      <c r="Q111" s="350">
        <f>F111*$D111*'E1 Fleet'!$D$99</f>
        <v/>
      </c>
      <c r="R111" s="350">
        <f>G111*$D111*'E1 Fleet'!$D$99</f>
        <v/>
      </c>
      <c r="S111" s="350">
        <f>H111*$D111*'E1 Fleet'!$D$99</f>
        <v/>
      </c>
      <c r="T111" s="350">
        <f>I111*$D111*'E1 Fleet'!$D$99</f>
        <v/>
      </c>
      <c r="U111" s="350">
        <f>J111*$D111*'E1 Fleet'!$D$99</f>
        <v/>
      </c>
      <c r="V111" s="350">
        <f>K111*$D111*'E1 Fleet'!$D$99</f>
        <v/>
      </c>
      <c r="W111" s="350">
        <f>L111*$D111*'E1 Fleet'!$D$99</f>
        <v/>
      </c>
      <c r="X111" s="350">
        <f>M111*$D111*'E1 Fleet'!$D$99</f>
        <v/>
      </c>
      <c r="Y111" s="350">
        <f>N111*$D111*'E1 Fleet'!$D$99</f>
        <v/>
      </c>
    </row>
    <row r="112">
      <c r="A112" t="inlineStr">
        <is>
          <t>Pickup</t>
        </is>
      </c>
      <c r="B112" s="456" t="n">
        <v>13</v>
      </c>
      <c r="C112" s="456" t="n">
        <v>3</v>
      </c>
      <c r="D112" s="348">
        <f>IF($B112=0,'E1 Fleet'!$D$93,1)*EXP(-'E1 Fleet'!$D$94*MAX($B112-6,0))</f>
        <v/>
      </c>
      <c r="E112" s="350">
        <f>IFERROR(INDEX('D Fleet'!$E$5:$E$63,MATCH(E$3-$B112,'D Fleet'!$B$5:$B$63,0)),0)*IFERROR(INDEX('D Fleet'!$K$5:$K$36,INT(($B112/E$5))+1)+(($B112/E$5)-INT(($B112/E$5)))*(INDEX('D Fleet'!$K$5:$K$36,INT(($B112/E$5))+2)-INDEX('D Fleet'!$K$5:$K$36,INT(($B112/E$5))+1)),0)</f>
        <v/>
      </c>
      <c r="F112" s="350">
        <f>IFERROR(INDEX('D Fleet'!$E$5:$E$63,MATCH(F$3-$B112,'D Fleet'!$B$5:$B$63,0)),0)*IFERROR(INDEX('D Fleet'!$K$5:$K$36,INT(($B112/F$5))+1)+(($B112/F$5)-INT(($B112/F$5)))*(INDEX('D Fleet'!$K$5:$K$36,INT(($B112/F$5))+2)-INDEX('D Fleet'!$K$5:$K$36,INT(($B112/F$5))+1)),0)</f>
        <v/>
      </c>
      <c r="G112" s="350">
        <f>IFERROR(INDEX('D Fleet'!$E$5:$E$63,MATCH(G$3-$B112,'D Fleet'!$B$5:$B$63,0)),0)*IFERROR(INDEX('D Fleet'!$K$5:$K$36,INT(($B112/G$5))+1)+(($B112/G$5)-INT(($B112/G$5)))*(INDEX('D Fleet'!$K$5:$K$36,INT(($B112/G$5))+2)-INDEX('D Fleet'!$K$5:$K$36,INT(($B112/G$5))+1)),0)</f>
        <v/>
      </c>
      <c r="H112" s="350">
        <f>IFERROR(INDEX('D Fleet'!$E$5:$E$63,MATCH(H$3-$B112,'D Fleet'!$B$5:$B$63,0)),0)*IFERROR(INDEX('D Fleet'!$K$5:$K$36,INT(($B112/H$5))+1)+(($B112/H$5)-INT(($B112/H$5)))*(INDEX('D Fleet'!$K$5:$K$36,INT(($B112/H$5))+2)-INDEX('D Fleet'!$K$5:$K$36,INT(($B112/H$5))+1)),0)</f>
        <v/>
      </c>
      <c r="I112" s="350">
        <f>IFERROR(INDEX('D Fleet'!$E$5:$E$63,MATCH(I$3-$B112,'D Fleet'!$B$5:$B$63,0)),0)*IFERROR(INDEX('D Fleet'!$K$5:$K$36,INT(($B112/I$5))+1)+(($B112/I$5)-INT(($B112/I$5)))*(INDEX('D Fleet'!$K$5:$K$36,INT(($B112/I$5))+2)-INDEX('D Fleet'!$K$5:$K$36,INT(($B112/I$5))+1)),0)</f>
        <v/>
      </c>
      <c r="J112" s="350">
        <f>IFERROR(INDEX('D Fleet'!$E$5:$E$63,MATCH(J$3-$B112,'D Fleet'!$B$5:$B$63,0)),0)*IFERROR(INDEX('D Fleet'!$K$5:$K$36,INT(($B112/J$5))+1)+(($B112/J$5)-INT(($B112/J$5)))*(INDEX('D Fleet'!$K$5:$K$36,INT(($B112/J$5))+2)-INDEX('D Fleet'!$K$5:$K$36,INT(($B112/J$5))+1)),0)</f>
        <v/>
      </c>
      <c r="K112" s="350">
        <f>IFERROR(INDEX('D Fleet'!$E$5:$E$63,MATCH(K$3-$B112,'D Fleet'!$B$5:$B$63,0)),0)*IFERROR(INDEX('D Fleet'!$K$5:$K$36,INT(($B112/K$5))+1)+(($B112/K$5)-INT(($B112/K$5)))*(INDEX('D Fleet'!$K$5:$K$36,INT(($B112/K$5))+2)-INDEX('D Fleet'!$K$5:$K$36,INT(($B112/K$5))+1)),0)</f>
        <v/>
      </c>
      <c r="L112" s="350">
        <f>IFERROR(INDEX('D Fleet'!$E$5:$E$63,MATCH(L$3-$B112,'D Fleet'!$B$5:$B$63,0)),0)*IFERROR(INDEX('D Fleet'!$K$5:$K$36,INT(($B112/L$5))+1)+(($B112/L$5)-INT(($B112/L$5)))*(INDEX('D Fleet'!$K$5:$K$36,INT(($B112/L$5))+2)-INDEX('D Fleet'!$K$5:$K$36,INT(($B112/L$5))+1)),0)</f>
        <v/>
      </c>
      <c r="M112" s="350">
        <f>IFERROR(INDEX('D Fleet'!$E$5:$E$63,MATCH(M$3-$B112,'D Fleet'!$B$5:$B$63,0)),0)*IFERROR(INDEX('D Fleet'!$K$5:$K$36,INT(($B112/M$5))+1)+(($B112/M$5)-INT(($B112/M$5)))*(INDEX('D Fleet'!$K$5:$K$36,INT(($B112/M$5))+2)-INDEX('D Fleet'!$K$5:$K$36,INT(($B112/M$5))+1)),0)</f>
        <v/>
      </c>
      <c r="N112" s="350">
        <f>IFERROR(INDEX('D Fleet'!$E$5:$E$63,MATCH(N$3-$B112,'D Fleet'!$B$5:$B$63,0)),0)*IFERROR(INDEX('D Fleet'!$K$5:$K$36,INT(($B112/N$5))+1)+(($B112/N$5)-INT(($B112/N$5)))*(INDEX('D Fleet'!$K$5:$K$36,INT(($B112/N$5))+2)-INDEX('D Fleet'!$K$5:$K$36,INT(($B112/N$5))+1)),0)</f>
        <v/>
      </c>
      <c r="P112" s="350">
        <f>E112*$D112*'E1 Fleet'!$D$99</f>
        <v/>
      </c>
      <c r="Q112" s="350">
        <f>F112*$D112*'E1 Fleet'!$D$99</f>
        <v/>
      </c>
      <c r="R112" s="350">
        <f>G112*$D112*'E1 Fleet'!$D$99</f>
        <v/>
      </c>
      <c r="S112" s="350">
        <f>H112*$D112*'E1 Fleet'!$D$99</f>
        <v/>
      </c>
      <c r="T112" s="350">
        <f>I112*$D112*'E1 Fleet'!$D$99</f>
        <v/>
      </c>
      <c r="U112" s="350">
        <f>J112*$D112*'E1 Fleet'!$D$99</f>
        <v/>
      </c>
      <c r="V112" s="350">
        <f>K112*$D112*'E1 Fleet'!$D$99</f>
        <v/>
      </c>
      <c r="W112" s="350">
        <f>L112*$D112*'E1 Fleet'!$D$99</f>
        <v/>
      </c>
      <c r="X112" s="350">
        <f>M112*$D112*'E1 Fleet'!$D$99</f>
        <v/>
      </c>
      <c r="Y112" s="350">
        <f>N112*$D112*'E1 Fleet'!$D$99</f>
        <v/>
      </c>
    </row>
    <row r="113">
      <c r="A113" t="inlineStr">
        <is>
          <t>Pickup</t>
        </is>
      </c>
      <c r="B113" s="456" t="n">
        <v>14</v>
      </c>
      <c r="C113" s="456" t="n">
        <v>3</v>
      </c>
      <c r="D113" s="348">
        <f>IF($B113=0,'E1 Fleet'!$D$93,1)*EXP(-'E1 Fleet'!$D$94*MAX($B113-6,0))</f>
        <v/>
      </c>
      <c r="E113" s="350">
        <f>IFERROR(INDEX('D Fleet'!$E$5:$E$63,MATCH(E$3-$B113,'D Fleet'!$B$5:$B$63,0)),0)*IFERROR(INDEX('D Fleet'!$K$5:$K$36,INT(($B113/E$5))+1)+(($B113/E$5)-INT(($B113/E$5)))*(INDEX('D Fleet'!$K$5:$K$36,INT(($B113/E$5))+2)-INDEX('D Fleet'!$K$5:$K$36,INT(($B113/E$5))+1)),0)</f>
        <v/>
      </c>
      <c r="F113" s="350">
        <f>IFERROR(INDEX('D Fleet'!$E$5:$E$63,MATCH(F$3-$B113,'D Fleet'!$B$5:$B$63,0)),0)*IFERROR(INDEX('D Fleet'!$K$5:$K$36,INT(($B113/F$5))+1)+(($B113/F$5)-INT(($B113/F$5)))*(INDEX('D Fleet'!$K$5:$K$36,INT(($B113/F$5))+2)-INDEX('D Fleet'!$K$5:$K$36,INT(($B113/F$5))+1)),0)</f>
        <v/>
      </c>
      <c r="G113" s="350">
        <f>IFERROR(INDEX('D Fleet'!$E$5:$E$63,MATCH(G$3-$B113,'D Fleet'!$B$5:$B$63,0)),0)*IFERROR(INDEX('D Fleet'!$K$5:$K$36,INT(($B113/G$5))+1)+(($B113/G$5)-INT(($B113/G$5)))*(INDEX('D Fleet'!$K$5:$K$36,INT(($B113/G$5))+2)-INDEX('D Fleet'!$K$5:$K$36,INT(($B113/G$5))+1)),0)</f>
        <v/>
      </c>
      <c r="H113" s="350">
        <f>IFERROR(INDEX('D Fleet'!$E$5:$E$63,MATCH(H$3-$B113,'D Fleet'!$B$5:$B$63,0)),0)*IFERROR(INDEX('D Fleet'!$K$5:$K$36,INT(($B113/H$5))+1)+(($B113/H$5)-INT(($B113/H$5)))*(INDEX('D Fleet'!$K$5:$K$36,INT(($B113/H$5))+2)-INDEX('D Fleet'!$K$5:$K$36,INT(($B113/H$5))+1)),0)</f>
        <v/>
      </c>
      <c r="I113" s="350">
        <f>IFERROR(INDEX('D Fleet'!$E$5:$E$63,MATCH(I$3-$B113,'D Fleet'!$B$5:$B$63,0)),0)*IFERROR(INDEX('D Fleet'!$K$5:$K$36,INT(($B113/I$5))+1)+(($B113/I$5)-INT(($B113/I$5)))*(INDEX('D Fleet'!$K$5:$K$36,INT(($B113/I$5))+2)-INDEX('D Fleet'!$K$5:$K$36,INT(($B113/I$5))+1)),0)</f>
        <v/>
      </c>
      <c r="J113" s="350">
        <f>IFERROR(INDEX('D Fleet'!$E$5:$E$63,MATCH(J$3-$B113,'D Fleet'!$B$5:$B$63,0)),0)*IFERROR(INDEX('D Fleet'!$K$5:$K$36,INT(($B113/J$5))+1)+(($B113/J$5)-INT(($B113/J$5)))*(INDEX('D Fleet'!$K$5:$K$36,INT(($B113/J$5))+2)-INDEX('D Fleet'!$K$5:$K$36,INT(($B113/J$5))+1)),0)</f>
        <v/>
      </c>
      <c r="K113" s="350">
        <f>IFERROR(INDEX('D Fleet'!$E$5:$E$63,MATCH(K$3-$B113,'D Fleet'!$B$5:$B$63,0)),0)*IFERROR(INDEX('D Fleet'!$K$5:$K$36,INT(($B113/K$5))+1)+(($B113/K$5)-INT(($B113/K$5)))*(INDEX('D Fleet'!$K$5:$K$36,INT(($B113/K$5))+2)-INDEX('D Fleet'!$K$5:$K$36,INT(($B113/K$5))+1)),0)</f>
        <v/>
      </c>
      <c r="L113" s="350">
        <f>IFERROR(INDEX('D Fleet'!$E$5:$E$63,MATCH(L$3-$B113,'D Fleet'!$B$5:$B$63,0)),0)*IFERROR(INDEX('D Fleet'!$K$5:$K$36,INT(($B113/L$5))+1)+(($B113/L$5)-INT(($B113/L$5)))*(INDEX('D Fleet'!$K$5:$K$36,INT(($B113/L$5))+2)-INDEX('D Fleet'!$K$5:$K$36,INT(($B113/L$5))+1)),0)</f>
        <v/>
      </c>
      <c r="M113" s="350">
        <f>IFERROR(INDEX('D Fleet'!$E$5:$E$63,MATCH(M$3-$B113,'D Fleet'!$B$5:$B$63,0)),0)*IFERROR(INDEX('D Fleet'!$K$5:$K$36,INT(($B113/M$5))+1)+(($B113/M$5)-INT(($B113/M$5)))*(INDEX('D Fleet'!$K$5:$K$36,INT(($B113/M$5))+2)-INDEX('D Fleet'!$K$5:$K$36,INT(($B113/M$5))+1)),0)</f>
        <v/>
      </c>
      <c r="N113" s="350">
        <f>IFERROR(INDEX('D Fleet'!$E$5:$E$63,MATCH(N$3-$B113,'D Fleet'!$B$5:$B$63,0)),0)*IFERROR(INDEX('D Fleet'!$K$5:$K$36,INT(($B113/N$5))+1)+(($B113/N$5)-INT(($B113/N$5)))*(INDEX('D Fleet'!$K$5:$K$36,INT(($B113/N$5))+2)-INDEX('D Fleet'!$K$5:$K$36,INT(($B113/N$5))+1)),0)</f>
        <v/>
      </c>
      <c r="P113" s="350">
        <f>E113*$D113*'E1 Fleet'!$D$99</f>
        <v/>
      </c>
      <c r="Q113" s="350">
        <f>F113*$D113*'E1 Fleet'!$D$99</f>
        <v/>
      </c>
      <c r="R113" s="350">
        <f>G113*$D113*'E1 Fleet'!$D$99</f>
        <v/>
      </c>
      <c r="S113" s="350">
        <f>H113*$D113*'E1 Fleet'!$D$99</f>
        <v/>
      </c>
      <c r="T113" s="350">
        <f>I113*$D113*'E1 Fleet'!$D$99</f>
        <v/>
      </c>
      <c r="U113" s="350">
        <f>J113*$D113*'E1 Fleet'!$D$99</f>
        <v/>
      </c>
      <c r="V113" s="350">
        <f>K113*$D113*'E1 Fleet'!$D$99</f>
        <v/>
      </c>
      <c r="W113" s="350">
        <f>L113*$D113*'E1 Fleet'!$D$99</f>
        <v/>
      </c>
      <c r="X113" s="350">
        <f>M113*$D113*'E1 Fleet'!$D$99</f>
        <v/>
      </c>
      <c r="Y113" s="350">
        <f>N113*$D113*'E1 Fleet'!$D$99</f>
        <v/>
      </c>
    </row>
    <row r="114">
      <c r="A114" t="inlineStr">
        <is>
          <t>Pickup</t>
        </is>
      </c>
      <c r="B114" s="456" t="n">
        <v>15</v>
      </c>
      <c r="C114" s="456" t="n">
        <v>3</v>
      </c>
      <c r="D114" s="348">
        <f>IF($B114=0,'E1 Fleet'!$D$93,1)*EXP(-'E1 Fleet'!$D$94*MAX($B114-6,0))</f>
        <v/>
      </c>
      <c r="E114" s="350">
        <f>IFERROR(INDEX('D Fleet'!$E$5:$E$63,MATCH(E$3-$B114,'D Fleet'!$B$5:$B$63,0)),0)*IFERROR(INDEX('D Fleet'!$K$5:$K$36,INT(($B114/E$5))+1)+(($B114/E$5)-INT(($B114/E$5)))*(INDEX('D Fleet'!$K$5:$K$36,INT(($B114/E$5))+2)-INDEX('D Fleet'!$K$5:$K$36,INT(($B114/E$5))+1)),0)</f>
        <v/>
      </c>
      <c r="F114" s="350">
        <f>IFERROR(INDEX('D Fleet'!$E$5:$E$63,MATCH(F$3-$B114,'D Fleet'!$B$5:$B$63,0)),0)*IFERROR(INDEX('D Fleet'!$K$5:$K$36,INT(($B114/F$5))+1)+(($B114/F$5)-INT(($B114/F$5)))*(INDEX('D Fleet'!$K$5:$K$36,INT(($B114/F$5))+2)-INDEX('D Fleet'!$K$5:$K$36,INT(($B114/F$5))+1)),0)</f>
        <v/>
      </c>
      <c r="G114" s="350">
        <f>IFERROR(INDEX('D Fleet'!$E$5:$E$63,MATCH(G$3-$B114,'D Fleet'!$B$5:$B$63,0)),0)*IFERROR(INDEX('D Fleet'!$K$5:$K$36,INT(($B114/G$5))+1)+(($B114/G$5)-INT(($B114/G$5)))*(INDEX('D Fleet'!$K$5:$K$36,INT(($B114/G$5))+2)-INDEX('D Fleet'!$K$5:$K$36,INT(($B114/G$5))+1)),0)</f>
        <v/>
      </c>
      <c r="H114" s="350">
        <f>IFERROR(INDEX('D Fleet'!$E$5:$E$63,MATCH(H$3-$B114,'D Fleet'!$B$5:$B$63,0)),0)*IFERROR(INDEX('D Fleet'!$K$5:$K$36,INT(($B114/H$5))+1)+(($B114/H$5)-INT(($B114/H$5)))*(INDEX('D Fleet'!$K$5:$K$36,INT(($B114/H$5))+2)-INDEX('D Fleet'!$K$5:$K$36,INT(($B114/H$5))+1)),0)</f>
        <v/>
      </c>
      <c r="I114" s="350">
        <f>IFERROR(INDEX('D Fleet'!$E$5:$E$63,MATCH(I$3-$B114,'D Fleet'!$B$5:$B$63,0)),0)*IFERROR(INDEX('D Fleet'!$K$5:$K$36,INT(($B114/I$5))+1)+(($B114/I$5)-INT(($B114/I$5)))*(INDEX('D Fleet'!$K$5:$K$36,INT(($B114/I$5))+2)-INDEX('D Fleet'!$K$5:$K$36,INT(($B114/I$5))+1)),0)</f>
        <v/>
      </c>
      <c r="J114" s="350">
        <f>IFERROR(INDEX('D Fleet'!$E$5:$E$63,MATCH(J$3-$B114,'D Fleet'!$B$5:$B$63,0)),0)*IFERROR(INDEX('D Fleet'!$K$5:$K$36,INT(($B114/J$5))+1)+(($B114/J$5)-INT(($B114/J$5)))*(INDEX('D Fleet'!$K$5:$K$36,INT(($B114/J$5))+2)-INDEX('D Fleet'!$K$5:$K$36,INT(($B114/J$5))+1)),0)</f>
        <v/>
      </c>
      <c r="K114" s="350">
        <f>IFERROR(INDEX('D Fleet'!$E$5:$E$63,MATCH(K$3-$B114,'D Fleet'!$B$5:$B$63,0)),0)*IFERROR(INDEX('D Fleet'!$K$5:$K$36,INT(($B114/K$5))+1)+(($B114/K$5)-INT(($B114/K$5)))*(INDEX('D Fleet'!$K$5:$K$36,INT(($B114/K$5))+2)-INDEX('D Fleet'!$K$5:$K$36,INT(($B114/K$5))+1)),0)</f>
        <v/>
      </c>
      <c r="L114" s="350">
        <f>IFERROR(INDEX('D Fleet'!$E$5:$E$63,MATCH(L$3-$B114,'D Fleet'!$B$5:$B$63,0)),0)*IFERROR(INDEX('D Fleet'!$K$5:$K$36,INT(($B114/L$5))+1)+(($B114/L$5)-INT(($B114/L$5)))*(INDEX('D Fleet'!$K$5:$K$36,INT(($B114/L$5))+2)-INDEX('D Fleet'!$K$5:$K$36,INT(($B114/L$5))+1)),0)</f>
        <v/>
      </c>
      <c r="M114" s="350">
        <f>IFERROR(INDEX('D Fleet'!$E$5:$E$63,MATCH(M$3-$B114,'D Fleet'!$B$5:$B$63,0)),0)*IFERROR(INDEX('D Fleet'!$K$5:$K$36,INT(($B114/M$5))+1)+(($B114/M$5)-INT(($B114/M$5)))*(INDEX('D Fleet'!$K$5:$K$36,INT(($B114/M$5))+2)-INDEX('D Fleet'!$K$5:$K$36,INT(($B114/M$5))+1)),0)</f>
        <v/>
      </c>
      <c r="N114" s="350">
        <f>IFERROR(INDEX('D Fleet'!$E$5:$E$63,MATCH(N$3-$B114,'D Fleet'!$B$5:$B$63,0)),0)*IFERROR(INDEX('D Fleet'!$K$5:$K$36,INT(($B114/N$5))+1)+(($B114/N$5)-INT(($B114/N$5)))*(INDEX('D Fleet'!$K$5:$K$36,INT(($B114/N$5))+2)-INDEX('D Fleet'!$K$5:$K$36,INT(($B114/N$5))+1)),0)</f>
        <v/>
      </c>
      <c r="P114" s="350">
        <f>E114*$D114*'E1 Fleet'!$D$99</f>
        <v/>
      </c>
      <c r="Q114" s="350">
        <f>F114*$D114*'E1 Fleet'!$D$99</f>
        <v/>
      </c>
      <c r="R114" s="350">
        <f>G114*$D114*'E1 Fleet'!$D$99</f>
        <v/>
      </c>
      <c r="S114" s="350">
        <f>H114*$D114*'E1 Fleet'!$D$99</f>
        <v/>
      </c>
      <c r="T114" s="350">
        <f>I114*$D114*'E1 Fleet'!$D$99</f>
        <v/>
      </c>
      <c r="U114" s="350">
        <f>J114*$D114*'E1 Fleet'!$D$99</f>
        <v/>
      </c>
      <c r="V114" s="350">
        <f>K114*$D114*'E1 Fleet'!$D$99</f>
        <v/>
      </c>
      <c r="W114" s="350">
        <f>L114*$D114*'E1 Fleet'!$D$99</f>
        <v/>
      </c>
      <c r="X114" s="350">
        <f>M114*$D114*'E1 Fleet'!$D$99</f>
        <v/>
      </c>
      <c r="Y114" s="350">
        <f>N114*$D114*'E1 Fleet'!$D$99</f>
        <v/>
      </c>
    </row>
    <row r="115">
      <c r="A115" t="inlineStr">
        <is>
          <t>Pickup</t>
        </is>
      </c>
      <c r="B115" s="456" t="n">
        <v>16</v>
      </c>
      <c r="C115" s="456" t="n">
        <v>3</v>
      </c>
      <c r="D115" s="348">
        <f>IF($B115=0,'E1 Fleet'!$D$93,1)*EXP(-'E1 Fleet'!$D$94*MAX($B115-6,0))</f>
        <v/>
      </c>
      <c r="E115" s="350">
        <f>IFERROR(INDEX('D Fleet'!$E$5:$E$63,MATCH(E$3-$B115,'D Fleet'!$B$5:$B$63,0)),0)*IFERROR(INDEX('D Fleet'!$K$5:$K$36,INT(($B115/E$5))+1)+(($B115/E$5)-INT(($B115/E$5)))*(INDEX('D Fleet'!$K$5:$K$36,INT(($B115/E$5))+2)-INDEX('D Fleet'!$K$5:$K$36,INT(($B115/E$5))+1)),0)</f>
        <v/>
      </c>
      <c r="F115" s="350">
        <f>IFERROR(INDEX('D Fleet'!$E$5:$E$63,MATCH(F$3-$B115,'D Fleet'!$B$5:$B$63,0)),0)*IFERROR(INDEX('D Fleet'!$K$5:$K$36,INT(($B115/F$5))+1)+(($B115/F$5)-INT(($B115/F$5)))*(INDEX('D Fleet'!$K$5:$K$36,INT(($B115/F$5))+2)-INDEX('D Fleet'!$K$5:$K$36,INT(($B115/F$5))+1)),0)</f>
        <v/>
      </c>
      <c r="G115" s="350">
        <f>IFERROR(INDEX('D Fleet'!$E$5:$E$63,MATCH(G$3-$B115,'D Fleet'!$B$5:$B$63,0)),0)*IFERROR(INDEX('D Fleet'!$K$5:$K$36,INT(($B115/G$5))+1)+(($B115/G$5)-INT(($B115/G$5)))*(INDEX('D Fleet'!$K$5:$K$36,INT(($B115/G$5))+2)-INDEX('D Fleet'!$K$5:$K$36,INT(($B115/G$5))+1)),0)</f>
        <v/>
      </c>
      <c r="H115" s="350">
        <f>IFERROR(INDEX('D Fleet'!$E$5:$E$63,MATCH(H$3-$B115,'D Fleet'!$B$5:$B$63,0)),0)*IFERROR(INDEX('D Fleet'!$K$5:$K$36,INT(($B115/H$5))+1)+(($B115/H$5)-INT(($B115/H$5)))*(INDEX('D Fleet'!$K$5:$K$36,INT(($B115/H$5))+2)-INDEX('D Fleet'!$K$5:$K$36,INT(($B115/H$5))+1)),0)</f>
        <v/>
      </c>
      <c r="I115" s="350">
        <f>IFERROR(INDEX('D Fleet'!$E$5:$E$63,MATCH(I$3-$B115,'D Fleet'!$B$5:$B$63,0)),0)*IFERROR(INDEX('D Fleet'!$K$5:$K$36,INT(($B115/I$5))+1)+(($B115/I$5)-INT(($B115/I$5)))*(INDEX('D Fleet'!$K$5:$K$36,INT(($B115/I$5))+2)-INDEX('D Fleet'!$K$5:$K$36,INT(($B115/I$5))+1)),0)</f>
        <v/>
      </c>
      <c r="J115" s="350">
        <f>IFERROR(INDEX('D Fleet'!$E$5:$E$63,MATCH(J$3-$B115,'D Fleet'!$B$5:$B$63,0)),0)*IFERROR(INDEX('D Fleet'!$K$5:$K$36,INT(($B115/J$5))+1)+(($B115/J$5)-INT(($B115/J$5)))*(INDEX('D Fleet'!$K$5:$K$36,INT(($B115/J$5))+2)-INDEX('D Fleet'!$K$5:$K$36,INT(($B115/J$5))+1)),0)</f>
        <v/>
      </c>
      <c r="K115" s="350">
        <f>IFERROR(INDEX('D Fleet'!$E$5:$E$63,MATCH(K$3-$B115,'D Fleet'!$B$5:$B$63,0)),0)*IFERROR(INDEX('D Fleet'!$K$5:$K$36,INT(($B115/K$5))+1)+(($B115/K$5)-INT(($B115/K$5)))*(INDEX('D Fleet'!$K$5:$K$36,INT(($B115/K$5))+2)-INDEX('D Fleet'!$K$5:$K$36,INT(($B115/K$5))+1)),0)</f>
        <v/>
      </c>
      <c r="L115" s="350">
        <f>IFERROR(INDEX('D Fleet'!$E$5:$E$63,MATCH(L$3-$B115,'D Fleet'!$B$5:$B$63,0)),0)*IFERROR(INDEX('D Fleet'!$K$5:$K$36,INT(($B115/L$5))+1)+(($B115/L$5)-INT(($B115/L$5)))*(INDEX('D Fleet'!$K$5:$K$36,INT(($B115/L$5))+2)-INDEX('D Fleet'!$K$5:$K$36,INT(($B115/L$5))+1)),0)</f>
        <v/>
      </c>
      <c r="M115" s="350">
        <f>IFERROR(INDEX('D Fleet'!$E$5:$E$63,MATCH(M$3-$B115,'D Fleet'!$B$5:$B$63,0)),0)*IFERROR(INDEX('D Fleet'!$K$5:$K$36,INT(($B115/M$5))+1)+(($B115/M$5)-INT(($B115/M$5)))*(INDEX('D Fleet'!$K$5:$K$36,INT(($B115/M$5))+2)-INDEX('D Fleet'!$K$5:$K$36,INT(($B115/M$5))+1)),0)</f>
        <v/>
      </c>
      <c r="N115" s="350">
        <f>IFERROR(INDEX('D Fleet'!$E$5:$E$63,MATCH(N$3-$B115,'D Fleet'!$B$5:$B$63,0)),0)*IFERROR(INDEX('D Fleet'!$K$5:$K$36,INT(($B115/N$5))+1)+(($B115/N$5)-INT(($B115/N$5)))*(INDEX('D Fleet'!$K$5:$K$36,INT(($B115/N$5))+2)-INDEX('D Fleet'!$K$5:$K$36,INT(($B115/N$5))+1)),0)</f>
        <v/>
      </c>
      <c r="P115" s="350">
        <f>E115*$D115*'E1 Fleet'!$D$99</f>
        <v/>
      </c>
      <c r="Q115" s="350">
        <f>F115*$D115*'E1 Fleet'!$D$99</f>
        <v/>
      </c>
      <c r="R115" s="350">
        <f>G115*$D115*'E1 Fleet'!$D$99</f>
        <v/>
      </c>
      <c r="S115" s="350">
        <f>H115*$D115*'E1 Fleet'!$D$99</f>
        <v/>
      </c>
      <c r="T115" s="350">
        <f>I115*$D115*'E1 Fleet'!$D$99</f>
        <v/>
      </c>
      <c r="U115" s="350">
        <f>J115*$D115*'E1 Fleet'!$D$99</f>
        <v/>
      </c>
      <c r="V115" s="350">
        <f>K115*$D115*'E1 Fleet'!$D$99</f>
        <v/>
      </c>
      <c r="W115" s="350">
        <f>L115*$D115*'E1 Fleet'!$D$99</f>
        <v/>
      </c>
      <c r="X115" s="350">
        <f>M115*$D115*'E1 Fleet'!$D$99</f>
        <v/>
      </c>
      <c r="Y115" s="350">
        <f>N115*$D115*'E1 Fleet'!$D$99</f>
        <v/>
      </c>
    </row>
    <row r="116">
      <c r="A116" t="inlineStr">
        <is>
          <t>Pickup</t>
        </is>
      </c>
      <c r="B116" s="456" t="n">
        <v>17</v>
      </c>
      <c r="C116" s="456" t="n">
        <v>3</v>
      </c>
      <c r="D116" s="348">
        <f>IF($B116=0,'E1 Fleet'!$D$93,1)*EXP(-'E1 Fleet'!$D$94*MAX($B116-6,0))</f>
        <v/>
      </c>
      <c r="E116" s="350">
        <f>IFERROR(INDEX('D Fleet'!$E$5:$E$63,MATCH(E$3-$B116,'D Fleet'!$B$5:$B$63,0)),0)*IFERROR(INDEX('D Fleet'!$K$5:$K$36,INT(($B116/E$5))+1)+(($B116/E$5)-INT(($B116/E$5)))*(INDEX('D Fleet'!$K$5:$K$36,INT(($B116/E$5))+2)-INDEX('D Fleet'!$K$5:$K$36,INT(($B116/E$5))+1)),0)</f>
        <v/>
      </c>
      <c r="F116" s="350">
        <f>IFERROR(INDEX('D Fleet'!$E$5:$E$63,MATCH(F$3-$B116,'D Fleet'!$B$5:$B$63,0)),0)*IFERROR(INDEX('D Fleet'!$K$5:$K$36,INT(($B116/F$5))+1)+(($B116/F$5)-INT(($B116/F$5)))*(INDEX('D Fleet'!$K$5:$K$36,INT(($B116/F$5))+2)-INDEX('D Fleet'!$K$5:$K$36,INT(($B116/F$5))+1)),0)</f>
        <v/>
      </c>
      <c r="G116" s="350">
        <f>IFERROR(INDEX('D Fleet'!$E$5:$E$63,MATCH(G$3-$B116,'D Fleet'!$B$5:$B$63,0)),0)*IFERROR(INDEX('D Fleet'!$K$5:$K$36,INT(($B116/G$5))+1)+(($B116/G$5)-INT(($B116/G$5)))*(INDEX('D Fleet'!$K$5:$K$36,INT(($B116/G$5))+2)-INDEX('D Fleet'!$K$5:$K$36,INT(($B116/G$5))+1)),0)</f>
        <v/>
      </c>
      <c r="H116" s="350">
        <f>IFERROR(INDEX('D Fleet'!$E$5:$E$63,MATCH(H$3-$B116,'D Fleet'!$B$5:$B$63,0)),0)*IFERROR(INDEX('D Fleet'!$K$5:$K$36,INT(($B116/H$5))+1)+(($B116/H$5)-INT(($B116/H$5)))*(INDEX('D Fleet'!$K$5:$K$36,INT(($B116/H$5))+2)-INDEX('D Fleet'!$K$5:$K$36,INT(($B116/H$5))+1)),0)</f>
        <v/>
      </c>
      <c r="I116" s="350">
        <f>IFERROR(INDEX('D Fleet'!$E$5:$E$63,MATCH(I$3-$B116,'D Fleet'!$B$5:$B$63,0)),0)*IFERROR(INDEX('D Fleet'!$K$5:$K$36,INT(($B116/I$5))+1)+(($B116/I$5)-INT(($B116/I$5)))*(INDEX('D Fleet'!$K$5:$K$36,INT(($B116/I$5))+2)-INDEX('D Fleet'!$K$5:$K$36,INT(($B116/I$5))+1)),0)</f>
        <v/>
      </c>
      <c r="J116" s="350">
        <f>IFERROR(INDEX('D Fleet'!$E$5:$E$63,MATCH(J$3-$B116,'D Fleet'!$B$5:$B$63,0)),0)*IFERROR(INDEX('D Fleet'!$K$5:$K$36,INT(($B116/J$5))+1)+(($B116/J$5)-INT(($B116/J$5)))*(INDEX('D Fleet'!$K$5:$K$36,INT(($B116/J$5))+2)-INDEX('D Fleet'!$K$5:$K$36,INT(($B116/J$5))+1)),0)</f>
        <v/>
      </c>
      <c r="K116" s="350">
        <f>IFERROR(INDEX('D Fleet'!$E$5:$E$63,MATCH(K$3-$B116,'D Fleet'!$B$5:$B$63,0)),0)*IFERROR(INDEX('D Fleet'!$K$5:$K$36,INT(($B116/K$5))+1)+(($B116/K$5)-INT(($B116/K$5)))*(INDEX('D Fleet'!$K$5:$K$36,INT(($B116/K$5))+2)-INDEX('D Fleet'!$K$5:$K$36,INT(($B116/K$5))+1)),0)</f>
        <v/>
      </c>
      <c r="L116" s="350">
        <f>IFERROR(INDEX('D Fleet'!$E$5:$E$63,MATCH(L$3-$B116,'D Fleet'!$B$5:$B$63,0)),0)*IFERROR(INDEX('D Fleet'!$K$5:$K$36,INT(($B116/L$5))+1)+(($B116/L$5)-INT(($B116/L$5)))*(INDEX('D Fleet'!$K$5:$K$36,INT(($B116/L$5))+2)-INDEX('D Fleet'!$K$5:$K$36,INT(($B116/L$5))+1)),0)</f>
        <v/>
      </c>
      <c r="M116" s="350">
        <f>IFERROR(INDEX('D Fleet'!$E$5:$E$63,MATCH(M$3-$B116,'D Fleet'!$B$5:$B$63,0)),0)*IFERROR(INDEX('D Fleet'!$K$5:$K$36,INT(($B116/M$5))+1)+(($B116/M$5)-INT(($B116/M$5)))*(INDEX('D Fleet'!$K$5:$K$36,INT(($B116/M$5))+2)-INDEX('D Fleet'!$K$5:$K$36,INT(($B116/M$5))+1)),0)</f>
        <v/>
      </c>
      <c r="N116" s="350">
        <f>IFERROR(INDEX('D Fleet'!$E$5:$E$63,MATCH(N$3-$B116,'D Fleet'!$B$5:$B$63,0)),0)*IFERROR(INDEX('D Fleet'!$K$5:$K$36,INT(($B116/N$5))+1)+(($B116/N$5)-INT(($B116/N$5)))*(INDEX('D Fleet'!$K$5:$K$36,INT(($B116/N$5))+2)-INDEX('D Fleet'!$K$5:$K$36,INT(($B116/N$5))+1)),0)</f>
        <v/>
      </c>
      <c r="P116" s="350">
        <f>E116*$D116*'E1 Fleet'!$D$99</f>
        <v/>
      </c>
      <c r="Q116" s="350">
        <f>F116*$D116*'E1 Fleet'!$D$99</f>
        <v/>
      </c>
      <c r="R116" s="350">
        <f>G116*$D116*'E1 Fleet'!$D$99</f>
        <v/>
      </c>
      <c r="S116" s="350">
        <f>H116*$D116*'E1 Fleet'!$D$99</f>
        <v/>
      </c>
      <c r="T116" s="350">
        <f>I116*$D116*'E1 Fleet'!$D$99</f>
        <v/>
      </c>
      <c r="U116" s="350">
        <f>J116*$D116*'E1 Fleet'!$D$99</f>
        <v/>
      </c>
      <c r="V116" s="350">
        <f>K116*$D116*'E1 Fleet'!$D$99</f>
        <v/>
      </c>
      <c r="W116" s="350">
        <f>L116*$D116*'E1 Fleet'!$D$99</f>
        <v/>
      </c>
      <c r="X116" s="350">
        <f>M116*$D116*'E1 Fleet'!$D$99</f>
        <v/>
      </c>
      <c r="Y116" s="350">
        <f>N116*$D116*'E1 Fleet'!$D$99</f>
        <v/>
      </c>
    </row>
    <row r="117">
      <c r="A117" t="inlineStr">
        <is>
          <t>Pickup</t>
        </is>
      </c>
      <c r="B117" s="456" t="n">
        <v>18</v>
      </c>
      <c r="C117" s="456" t="n">
        <v>3</v>
      </c>
      <c r="D117" s="348">
        <f>IF($B117=0,'E1 Fleet'!$D$93,1)*EXP(-'E1 Fleet'!$D$94*MAX($B117-6,0))</f>
        <v/>
      </c>
      <c r="E117" s="350">
        <f>IFERROR(INDEX('D Fleet'!$E$5:$E$63,MATCH(E$3-$B117,'D Fleet'!$B$5:$B$63,0)),0)*IFERROR(INDEX('D Fleet'!$K$5:$K$36,INT(($B117/E$5))+1)+(($B117/E$5)-INT(($B117/E$5)))*(INDEX('D Fleet'!$K$5:$K$36,INT(($B117/E$5))+2)-INDEX('D Fleet'!$K$5:$K$36,INT(($B117/E$5))+1)),0)</f>
        <v/>
      </c>
      <c r="F117" s="350">
        <f>IFERROR(INDEX('D Fleet'!$E$5:$E$63,MATCH(F$3-$B117,'D Fleet'!$B$5:$B$63,0)),0)*IFERROR(INDEX('D Fleet'!$K$5:$K$36,INT(($B117/F$5))+1)+(($B117/F$5)-INT(($B117/F$5)))*(INDEX('D Fleet'!$K$5:$K$36,INT(($B117/F$5))+2)-INDEX('D Fleet'!$K$5:$K$36,INT(($B117/F$5))+1)),0)</f>
        <v/>
      </c>
      <c r="G117" s="350">
        <f>IFERROR(INDEX('D Fleet'!$E$5:$E$63,MATCH(G$3-$B117,'D Fleet'!$B$5:$B$63,0)),0)*IFERROR(INDEX('D Fleet'!$K$5:$K$36,INT(($B117/G$5))+1)+(($B117/G$5)-INT(($B117/G$5)))*(INDEX('D Fleet'!$K$5:$K$36,INT(($B117/G$5))+2)-INDEX('D Fleet'!$K$5:$K$36,INT(($B117/G$5))+1)),0)</f>
        <v/>
      </c>
      <c r="H117" s="350">
        <f>IFERROR(INDEX('D Fleet'!$E$5:$E$63,MATCH(H$3-$B117,'D Fleet'!$B$5:$B$63,0)),0)*IFERROR(INDEX('D Fleet'!$K$5:$K$36,INT(($B117/H$5))+1)+(($B117/H$5)-INT(($B117/H$5)))*(INDEX('D Fleet'!$K$5:$K$36,INT(($B117/H$5))+2)-INDEX('D Fleet'!$K$5:$K$36,INT(($B117/H$5))+1)),0)</f>
        <v/>
      </c>
      <c r="I117" s="350">
        <f>IFERROR(INDEX('D Fleet'!$E$5:$E$63,MATCH(I$3-$B117,'D Fleet'!$B$5:$B$63,0)),0)*IFERROR(INDEX('D Fleet'!$K$5:$K$36,INT(($B117/I$5))+1)+(($B117/I$5)-INT(($B117/I$5)))*(INDEX('D Fleet'!$K$5:$K$36,INT(($B117/I$5))+2)-INDEX('D Fleet'!$K$5:$K$36,INT(($B117/I$5))+1)),0)</f>
        <v/>
      </c>
      <c r="J117" s="350">
        <f>IFERROR(INDEX('D Fleet'!$E$5:$E$63,MATCH(J$3-$B117,'D Fleet'!$B$5:$B$63,0)),0)*IFERROR(INDEX('D Fleet'!$K$5:$K$36,INT(($B117/J$5))+1)+(($B117/J$5)-INT(($B117/J$5)))*(INDEX('D Fleet'!$K$5:$K$36,INT(($B117/J$5))+2)-INDEX('D Fleet'!$K$5:$K$36,INT(($B117/J$5))+1)),0)</f>
        <v/>
      </c>
      <c r="K117" s="350">
        <f>IFERROR(INDEX('D Fleet'!$E$5:$E$63,MATCH(K$3-$B117,'D Fleet'!$B$5:$B$63,0)),0)*IFERROR(INDEX('D Fleet'!$K$5:$K$36,INT(($B117/K$5))+1)+(($B117/K$5)-INT(($B117/K$5)))*(INDEX('D Fleet'!$K$5:$K$36,INT(($B117/K$5))+2)-INDEX('D Fleet'!$K$5:$K$36,INT(($B117/K$5))+1)),0)</f>
        <v/>
      </c>
      <c r="L117" s="350">
        <f>IFERROR(INDEX('D Fleet'!$E$5:$E$63,MATCH(L$3-$B117,'D Fleet'!$B$5:$B$63,0)),0)*IFERROR(INDEX('D Fleet'!$K$5:$K$36,INT(($B117/L$5))+1)+(($B117/L$5)-INT(($B117/L$5)))*(INDEX('D Fleet'!$K$5:$K$36,INT(($B117/L$5))+2)-INDEX('D Fleet'!$K$5:$K$36,INT(($B117/L$5))+1)),0)</f>
        <v/>
      </c>
      <c r="M117" s="350">
        <f>IFERROR(INDEX('D Fleet'!$E$5:$E$63,MATCH(M$3-$B117,'D Fleet'!$B$5:$B$63,0)),0)*IFERROR(INDEX('D Fleet'!$K$5:$K$36,INT(($B117/M$5))+1)+(($B117/M$5)-INT(($B117/M$5)))*(INDEX('D Fleet'!$K$5:$K$36,INT(($B117/M$5))+2)-INDEX('D Fleet'!$K$5:$K$36,INT(($B117/M$5))+1)),0)</f>
        <v/>
      </c>
      <c r="N117" s="350">
        <f>IFERROR(INDEX('D Fleet'!$E$5:$E$63,MATCH(N$3-$B117,'D Fleet'!$B$5:$B$63,0)),0)*IFERROR(INDEX('D Fleet'!$K$5:$K$36,INT(($B117/N$5))+1)+(($B117/N$5)-INT(($B117/N$5)))*(INDEX('D Fleet'!$K$5:$K$36,INT(($B117/N$5))+2)-INDEX('D Fleet'!$K$5:$K$36,INT(($B117/N$5))+1)),0)</f>
        <v/>
      </c>
      <c r="P117" s="350">
        <f>E117*$D117*'E1 Fleet'!$D$99</f>
        <v/>
      </c>
      <c r="Q117" s="350">
        <f>F117*$D117*'E1 Fleet'!$D$99</f>
        <v/>
      </c>
      <c r="R117" s="350">
        <f>G117*$D117*'E1 Fleet'!$D$99</f>
        <v/>
      </c>
      <c r="S117" s="350">
        <f>H117*$D117*'E1 Fleet'!$D$99</f>
        <v/>
      </c>
      <c r="T117" s="350">
        <f>I117*$D117*'E1 Fleet'!$D$99</f>
        <v/>
      </c>
      <c r="U117" s="350">
        <f>J117*$D117*'E1 Fleet'!$D$99</f>
        <v/>
      </c>
      <c r="V117" s="350">
        <f>K117*$D117*'E1 Fleet'!$D$99</f>
        <v/>
      </c>
      <c r="W117" s="350">
        <f>L117*$D117*'E1 Fleet'!$D$99</f>
        <v/>
      </c>
      <c r="X117" s="350">
        <f>M117*$D117*'E1 Fleet'!$D$99</f>
        <v/>
      </c>
      <c r="Y117" s="350">
        <f>N117*$D117*'E1 Fleet'!$D$99</f>
        <v/>
      </c>
    </row>
    <row r="118">
      <c r="A118" t="inlineStr">
        <is>
          <t>Pickup</t>
        </is>
      </c>
      <c r="B118" s="456" t="n">
        <v>19</v>
      </c>
      <c r="C118" s="456" t="n">
        <v>3</v>
      </c>
      <c r="D118" s="348">
        <f>IF($B118=0,'E1 Fleet'!$D$93,1)*EXP(-'E1 Fleet'!$D$94*MAX($B118-6,0))</f>
        <v/>
      </c>
      <c r="E118" s="350">
        <f>IFERROR(INDEX('D Fleet'!$E$5:$E$63,MATCH(E$3-$B118,'D Fleet'!$B$5:$B$63,0)),0)*IFERROR(INDEX('D Fleet'!$K$5:$K$36,INT(($B118/E$5))+1)+(($B118/E$5)-INT(($B118/E$5)))*(INDEX('D Fleet'!$K$5:$K$36,INT(($B118/E$5))+2)-INDEX('D Fleet'!$K$5:$K$36,INT(($B118/E$5))+1)),0)</f>
        <v/>
      </c>
      <c r="F118" s="350">
        <f>IFERROR(INDEX('D Fleet'!$E$5:$E$63,MATCH(F$3-$B118,'D Fleet'!$B$5:$B$63,0)),0)*IFERROR(INDEX('D Fleet'!$K$5:$K$36,INT(($B118/F$5))+1)+(($B118/F$5)-INT(($B118/F$5)))*(INDEX('D Fleet'!$K$5:$K$36,INT(($B118/F$5))+2)-INDEX('D Fleet'!$K$5:$K$36,INT(($B118/F$5))+1)),0)</f>
        <v/>
      </c>
      <c r="G118" s="350">
        <f>IFERROR(INDEX('D Fleet'!$E$5:$E$63,MATCH(G$3-$B118,'D Fleet'!$B$5:$B$63,0)),0)*IFERROR(INDEX('D Fleet'!$K$5:$K$36,INT(($B118/G$5))+1)+(($B118/G$5)-INT(($B118/G$5)))*(INDEX('D Fleet'!$K$5:$K$36,INT(($B118/G$5))+2)-INDEX('D Fleet'!$K$5:$K$36,INT(($B118/G$5))+1)),0)</f>
        <v/>
      </c>
      <c r="H118" s="350">
        <f>IFERROR(INDEX('D Fleet'!$E$5:$E$63,MATCH(H$3-$B118,'D Fleet'!$B$5:$B$63,0)),0)*IFERROR(INDEX('D Fleet'!$K$5:$K$36,INT(($B118/H$5))+1)+(($B118/H$5)-INT(($B118/H$5)))*(INDEX('D Fleet'!$K$5:$K$36,INT(($B118/H$5))+2)-INDEX('D Fleet'!$K$5:$K$36,INT(($B118/H$5))+1)),0)</f>
        <v/>
      </c>
      <c r="I118" s="350">
        <f>IFERROR(INDEX('D Fleet'!$E$5:$E$63,MATCH(I$3-$B118,'D Fleet'!$B$5:$B$63,0)),0)*IFERROR(INDEX('D Fleet'!$K$5:$K$36,INT(($B118/I$5))+1)+(($B118/I$5)-INT(($B118/I$5)))*(INDEX('D Fleet'!$K$5:$K$36,INT(($B118/I$5))+2)-INDEX('D Fleet'!$K$5:$K$36,INT(($B118/I$5))+1)),0)</f>
        <v/>
      </c>
      <c r="J118" s="350">
        <f>IFERROR(INDEX('D Fleet'!$E$5:$E$63,MATCH(J$3-$B118,'D Fleet'!$B$5:$B$63,0)),0)*IFERROR(INDEX('D Fleet'!$K$5:$K$36,INT(($B118/J$5))+1)+(($B118/J$5)-INT(($B118/J$5)))*(INDEX('D Fleet'!$K$5:$K$36,INT(($B118/J$5))+2)-INDEX('D Fleet'!$K$5:$K$36,INT(($B118/J$5))+1)),0)</f>
        <v/>
      </c>
      <c r="K118" s="350">
        <f>IFERROR(INDEX('D Fleet'!$E$5:$E$63,MATCH(K$3-$B118,'D Fleet'!$B$5:$B$63,0)),0)*IFERROR(INDEX('D Fleet'!$K$5:$K$36,INT(($B118/K$5))+1)+(($B118/K$5)-INT(($B118/K$5)))*(INDEX('D Fleet'!$K$5:$K$36,INT(($B118/K$5))+2)-INDEX('D Fleet'!$K$5:$K$36,INT(($B118/K$5))+1)),0)</f>
        <v/>
      </c>
      <c r="L118" s="350">
        <f>IFERROR(INDEX('D Fleet'!$E$5:$E$63,MATCH(L$3-$B118,'D Fleet'!$B$5:$B$63,0)),0)*IFERROR(INDEX('D Fleet'!$K$5:$K$36,INT(($B118/L$5))+1)+(($B118/L$5)-INT(($B118/L$5)))*(INDEX('D Fleet'!$K$5:$K$36,INT(($B118/L$5))+2)-INDEX('D Fleet'!$K$5:$K$36,INT(($B118/L$5))+1)),0)</f>
        <v/>
      </c>
      <c r="M118" s="350">
        <f>IFERROR(INDEX('D Fleet'!$E$5:$E$63,MATCH(M$3-$B118,'D Fleet'!$B$5:$B$63,0)),0)*IFERROR(INDEX('D Fleet'!$K$5:$K$36,INT(($B118/M$5))+1)+(($B118/M$5)-INT(($B118/M$5)))*(INDEX('D Fleet'!$K$5:$K$36,INT(($B118/M$5))+2)-INDEX('D Fleet'!$K$5:$K$36,INT(($B118/M$5))+1)),0)</f>
        <v/>
      </c>
      <c r="N118" s="350">
        <f>IFERROR(INDEX('D Fleet'!$E$5:$E$63,MATCH(N$3-$B118,'D Fleet'!$B$5:$B$63,0)),0)*IFERROR(INDEX('D Fleet'!$K$5:$K$36,INT(($B118/N$5))+1)+(($B118/N$5)-INT(($B118/N$5)))*(INDEX('D Fleet'!$K$5:$K$36,INT(($B118/N$5))+2)-INDEX('D Fleet'!$K$5:$K$36,INT(($B118/N$5))+1)),0)</f>
        <v/>
      </c>
      <c r="P118" s="350">
        <f>E118*$D118*'E1 Fleet'!$D$99</f>
        <v/>
      </c>
      <c r="Q118" s="350">
        <f>F118*$D118*'E1 Fleet'!$D$99</f>
        <v/>
      </c>
      <c r="R118" s="350">
        <f>G118*$D118*'E1 Fleet'!$D$99</f>
        <v/>
      </c>
      <c r="S118" s="350">
        <f>H118*$D118*'E1 Fleet'!$D$99</f>
        <v/>
      </c>
      <c r="T118" s="350">
        <f>I118*$D118*'E1 Fleet'!$D$99</f>
        <v/>
      </c>
      <c r="U118" s="350">
        <f>J118*$D118*'E1 Fleet'!$D$99</f>
        <v/>
      </c>
      <c r="V118" s="350">
        <f>K118*$D118*'E1 Fleet'!$D$99</f>
        <v/>
      </c>
      <c r="W118" s="350">
        <f>L118*$D118*'E1 Fleet'!$D$99</f>
        <v/>
      </c>
      <c r="X118" s="350">
        <f>M118*$D118*'E1 Fleet'!$D$99</f>
        <v/>
      </c>
      <c r="Y118" s="350">
        <f>N118*$D118*'E1 Fleet'!$D$99</f>
        <v/>
      </c>
    </row>
    <row r="119">
      <c r="A119" t="inlineStr">
        <is>
          <t>Pickup</t>
        </is>
      </c>
      <c r="B119" s="456" t="n">
        <v>20</v>
      </c>
      <c r="C119" s="456" t="n">
        <v>3</v>
      </c>
      <c r="D119" s="348">
        <f>IF($B119=0,'E1 Fleet'!$D$93,1)*EXP(-'E1 Fleet'!$D$94*MAX($B119-6,0))</f>
        <v/>
      </c>
      <c r="E119" s="350">
        <f>IFERROR(INDEX('D Fleet'!$E$5:$E$63,MATCH(E$3-$B119,'D Fleet'!$B$5:$B$63,0)),0)*IFERROR(INDEX('D Fleet'!$K$5:$K$36,INT(($B119/E$5))+1)+(($B119/E$5)-INT(($B119/E$5)))*(INDEX('D Fleet'!$K$5:$K$36,INT(($B119/E$5))+2)-INDEX('D Fleet'!$K$5:$K$36,INT(($B119/E$5))+1)),0)</f>
        <v/>
      </c>
      <c r="F119" s="350">
        <f>IFERROR(INDEX('D Fleet'!$E$5:$E$63,MATCH(F$3-$B119,'D Fleet'!$B$5:$B$63,0)),0)*IFERROR(INDEX('D Fleet'!$K$5:$K$36,INT(($B119/F$5))+1)+(($B119/F$5)-INT(($B119/F$5)))*(INDEX('D Fleet'!$K$5:$K$36,INT(($B119/F$5))+2)-INDEX('D Fleet'!$K$5:$K$36,INT(($B119/F$5))+1)),0)</f>
        <v/>
      </c>
      <c r="G119" s="350">
        <f>IFERROR(INDEX('D Fleet'!$E$5:$E$63,MATCH(G$3-$B119,'D Fleet'!$B$5:$B$63,0)),0)*IFERROR(INDEX('D Fleet'!$K$5:$K$36,INT(($B119/G$5))+1)+(($B119/G$5)-INT(($B119/G$5)))*(INDEX('D Fleet'!$K$5:$K$36,INT(($B119/G$5))+2)-INDEX('D Fleet'!$K$5:$K$36,INT(($B119/G$5))+1)),0)</f>
        <v/>
      </c>
      <c r="H119" s="350">
        <f>IFERROR(INDEX('D Fleet'!$E$5:$E$63,MATCH(H$3-$B119,'D Fleet'!$B$5:$B$63,0)),0)*IFERROR(INDEX('D Fleet'!$K$5:$K$36,INT(($B119/H$5))+1)+(($B119/H$5)-INT(($B119/H$5)))*(INDEX('D Fleet'!$K$5:$K$36,INT(($B119/H$5))+2)-INDEX('D Fleet'!$K$5:$K$36,INT(($B119/H$5))+1)),0)</f>
        <v/>
      </c>
      <c r="I119" s="350">
        <f>IFERROR(INDEX('D Fleet'!$E$5:$E$63,MATCH(I$3-$B119,'D Fleet'!$B$5:$B$63,0)),0)*IFERROR(INDEX('D Fleet'!$K$5:$K$36,INT(($B119/I$5))+1)+(($B119/I$5)-INT(($B119/I$5)))*(INDEX('D Fleet'!$K$5:$K$36,INT(($B119/I$5))+2)-INDEX('D Fleet'!$K$5:$K$36,INT(($B119/I$5))+1)),0)</f>
        <v/>
      </c>
      <c r="J119" s="350">
        <f>IFERROR(INDEX('D Fleet'!$E$5:$E$63,MATCH(J$3-$B119,'D Fleet'!$B$5:$B$63,0)),0)*IFERROR(INDEX('D Fleet'!$K$5:$K$36,INT(($B119/J$5))+1)+(($B119/J$5)-INT(($B119/J$5)))*(INDEX('D Fleet'!$K$5:$K$36,INT(($B119/J$5))+2)-INDEX('D Fleet'!$K$5:$K$36,INT(($B119/J$5))+1)),0)</f>
        <v/>
      </c>
      <c r="K119" s="350">
        <f>IFERROR(INDEX('D Fleet'!$E$5:$E$63,MATCH(K$3-$B119,'D Fleet'!$B$5:$B$63,0)),0)*IFERROR(INDEX('D Fleet'!$K$5:$K$36,INT(($B119/K$5))+1)+(($B119/K$5)-INT(($B119/K$5)))*(INDEX('D Fleet'!$K$5:$K$36,INT(($B119/K$5))+2)-INDEX('D Fleet'!$K$5:$K$36,INT(($B119/K$5))+1)),0)</f>
        <v/>
      </c>
      <c r="L119" s="350">
        <f>IFERROR(INDEX('D Fleet'!$E$5:$E$63,MATCH(L$3-$B119,'D Fleet'!$B$5:$B$63,0)),0)*IFERROR(INDEX('D Fleet'!$K$5:$K$36,INT(($B119/L$5))+1)+(($B119/L$5)-INT(($B119/L$5)))*(INDEX('D Fleet'!$K$5:$K$36,INT(($B119/L$5))+2)-INDEX('D Fleet'!$K$5:$K$36,INT(($B119/L$5))+1)),0)</f>
        <v/>
      </c>
      <c r="M119" s="350">
        <f>IFERROR(INDEX('D Fleet'!$E$5:$E$63,MATCH(M$3-$B119,'D Fleet'!$B$5:$B$63,0)),0)*IFERROR(INDEX('D Fleet'!$K$5:$K$36,INT(($B119/M$5))+1)+(($B119/M$5)-INT(($B119/M$5)))*(INDEX('D Fleet'!$K$5:$K$36,INT(($B119/M$5))+2)-INDEX('D Fleet'!$K$5:$K$36,INT(($B119/M$5))+1)),0)</f>
        <v/>
      </c>
      <c r="N119" s="350">
        <f>IFERROR(INDEX('D Fleet'!$E$5:$E$63,MATCH(N$3-$B119,'D Fleet'!$B$5:$B$63,0)),0)*IFERROR(INDEX('D Fleet'!$K$5:$K$36,INT(($B119/N$5))+1)+(($B119/N$5)-INT(($B119/N$5)))*(INDEX('D Fleet'!$K$5:$K$36,INT(($B119/N$5))+2)-INDEX('D Fleet'!$K$5:$K$36,INT(($B119/N$5))+1)),0)</f>
        <v/>
      </c>
      <c r="P119" s="350">
        <f>E119*$D119*'E1 Fleet'!$D$99</f>
        <v/>
      </c>
      <c r="Q119" s="350">
        <f>F119*$D119*'E1 Fleet'!$D$99</f>
        <v/>
      </c>
      <c r="R119" s="350">
        <f>G119*$D119*'E1 Fleet'!$D$99</f>
        <v/>
      </c>
      <c r="S119" s="350">
        <f>H119*$D119*'E1 Fleet'!$D$99</f>
        <v/>
      </c>
      <c r="T119" s="350">
        <f>I119*$D119*'E1 Fleet'!$D$99</f>
        <v/>
      </c>
      <c r="U119" s="350">
        <f>J119*$D119*'E1 Fleet'!$D$99</f>
        <v/>
      </c>
      <c r="V119" s="350">
        <f>K119*$D119*'E1 Fleet'!$D$99</f>
        <v/>
      </c>
      <c r="W119" s="350">
        <f>L119*$D119*'E1 Fleet'!$D$99</f>
        <v/>
      </c>
      <c r="X119" s="350">
        <f>M119*$D119*'E1 Fleet'!$D$99</f>
        <v/>
      </c>
      <c r="Y119" s="350">
        <f>N119*$D119*'E1 Fleet'!$D$99</f>
        <v/>
      </c>
    </row>
    <row r="120">
      <c r="A120" t="inlineStr">
        <is>
          <t>Pickup</t>
        </is>
      </c>
      <c r="B120" s="456" t="n">
        <v>21</v>
      </c>
      <c r="C120" s="456" t="n">
        <v>3</v>
      </c>
      <c r="D120" s="348">
        <f>IF($B120=0,'E1 Fleet'!$D$93,1)*EXP(-'E1 Fleet'!$D$94*MAX($B120-6,0))</f>
        <v/>
      </c>
      <c r="E120" s="350">
        <f>IFERROR(INDEX('D Fleet'!$E$5:$E$63,MATCH(E$3-$B120,'D Fleet'!$B$5:$B$63,0)),0)*IFERROR(INDEX('D Fleet'!$K$5:$K$36,INT(($B120/E$5))+1)+(($B120/E$5)-INT(($B120/E$5)))*(INDEX('D Fleet'!$K$5:$K$36,INT(($B120/E$5))+2)-INDEX('D Fleet'!$K$5:$K$36,INT(($B120/E$5))+1)),0)</f>
        <v/>
      </c>
      <c r="F120" s="350">
        <f>IFERROR(INDEX('D Fleet'!$E$5:$E$63,MATCH(F$3-$B120,'D Fleet'!$B$5:$B$63,0)),0)*IFERROR(INDEX('D Fleet'!$K$5:$K$36,INT(($B120/F$5))+1)+(($B120/F$5)-INT(($B120/F$5)))*(INDEX('D Fleet'!$K$5:$K$36,INT(($B120/F$5))+2)-INDEX('D Fleet'!$K$5:$K$36,INT(($B120/F$5))+1)),0)</f>
        <v/>
      </c>
      <c r="G120" s="350">
        <f>IFERROR(INDEX('D Fleet'!$E$5:$E$63,MATCH(G$3-$B120,'D Fleet'!$B$5:$B$63,0)),0)*IFERROR(INDEX('D Fleet'!$K$5:$K$36,INT(($B120/G$5))+1)+(($B120/G$5)-INT(($B120/G$5)))*(INDEX('D Fleet'!$K$5:$K$36,INT(($B120/G$5))+2)-INDEX('D Fleet'!$K$5:$K$36,INT(($B120/G$5))+1)),0)</f>
        <v/>
      </c>
      <c r="H120" s="350">
        <f>IFERROR(INDEX('D Fleet'!$E$5:$E$63,MATCH(H$3-$B120,'D Fleet'!$B$5:$B$63,0)),0)*IFERROR(INDEX('D Fleet'!$K$5:$K$36,INT(($B120/H$5))+1)+(($B120/H$5)-INT(($B120/H$5)))*(INDEX('D Fleet'!$K$5:$K$36,INT(($B120/H$5))+2)-INDEX('D Fleet'!$K$5:$K$36,INT(($B120/H$5))+1)),0)</f>
        <v/>
      </c>
      <c r="I120" s="350">
        <f>IFERROR(INDEX('D Fleet'!$E$5:$E$63,MATCH(I$3-$B120,'D Fleet'!$B$5:$B$63,0)),0)*IFERROR(INDEX('D Fleet'!$K$5:$K$36,INT(($B120/I$5))+1)+(($B120/I$5)-INT(($B120/I$5)))*(INDEX('D Fleet'!$K$5:$K$36,INT(($B120/I$5))+2)-INDEX('D Fleet'!$K$5:$K$36,INT(($B120/I$5))+1)),0)</f>
        <v/>
      </c>
      <c r="J120" s="350">
        <f>IFERROR(INDEX('D Fleet'!$E$5:$E$63,MATCH(J$3-$B120,'D Fleet'!$B$5:$B$63,0)),0)*IFERROR(INDEX('D Fleet'!$K$5:$K$36,INT(($B120/J$5))+1)+(($B120/J$5)-INT(($B120/J$5)))*(INDEX('D Fleet'!$K$5:$K$36,INT(($B120/J$5))+2)-INDEX('D Fleet'!$K$5:$K$36,INT(($B120/J$5))+1)),0)</f>
        <v/>
      </c>
      <c r="K120" s="350">
        <f>IFERROR(INDEX('D Fleet'!$E$5:$E$63,MATCH(K$3-$B120,'D Fleet'!$B$5:$B$63,0)),0)*IFERROR(INDEX('D Fleet'!$K$5:$K$36,INT(($B120/K$5))+1)+(($B120/K$5)-INT(($B120/K$5)))*(INDEX('D Fleet'!$K$5:$K$36,INT(($B120/K$5))+2)-INDEX('D Fleet'!$K$5:$K$36,INT(($B120/K$5))+1)),0)</f>
        <v/>
      </c>
      <c r="L120" s="350">
        <f>IFERROR(INDEX('D Fleet'!$E$5:$E$63,MATCH(L$3-$B120,'D Fleet'!$B$5:$B$63,0)),0)*IFERROR(INDEX('D Fleet'!$K$5:$K$36,INT(($B120/L$5))+1)+(($B120/L$5)-INT(($B120/L$5)))*(INDEX('D Fleet'!$K$5:$K$36,INT(($B120/L$5))+2)-INDEX('D Fleet'!$K$5:$K$36,INT(($B120/L$5))+1)),0)</f>
        <v/>
      </c>
      <c r="M120" s="350">
        <f>IFERROR(INDEX('D Fleet'!$E$5:$E$63,MATCH(M$3-$B120,'D Fleet'!$B$5:$B$63,0)),0)*IFERROR(INDEX('D Fleet'!$K$5:$K$36,INT(($B120/M$5))+1)+(($B120/M$5)-INT(($B120/M$5)))*(INDEX('D Fleet'!$K$5:$K$36,INT(($B120/M$5))+2)-INDEX('D Fleet'!$K$5:$K$36,INT(($B120/M$5))+1)),0)</f>
        <v/>
      </c>
      <c r="N120" s="350">
        <f>IFERROR(INDEX('D Fleet'!$E$5:$E$63,MATCH(N$3-$B120,'D Fleet'!$B$5:$B$63,0)),0)*IFERROR(INDEX('D Fleet'!$K$5:$K$36,INT(($B120/N$5))+1)+(($B120/N$5)-INT(($B120/N$5)))*(INDEX('D Fleet'!$K$5:$K$36,INT(($B120/N$5))+2)-INDEX('D Fleet'!$K$5:$K$36,INT(($B120/N$5))+1)),0)</f>
        <v/>
      </c>
      <c r="P120" s="350">
        <f>E120*$D120*'E1 Fleet'!$D$99</f>
        <v/>
      </c>
      <c r="Q120" s="350">
        <f>F120*$D120*'E1 Fleet'!$D$99</f>
        <v/>
      </c>
      <c r="R120" s="350">
        <f>G120*$D120*'E1 Fleet'!$D$99</f>
        <v/>
      </c>
      <c r="S120" s="350">
        <f>H120*$D120*'E1 Fleet'!$D$99</f>
        <v/>
      </c>
      <c r="T120" s="350">
        <f>I120*$D120*'E1 Fleet'!$D$99</f>
        <v/>
      </c>
      <c r="U120" s="350">
        <f>J120*$D120*'E1 Fleet'!$D$99</f>
        <v/>
      </c>
      <c r="V120" s="350">
        <f>K120*$D120*'E1 Fleet'!$D$99</f>
        <v/>
      </c>
      <c r="W120" s="350">
        <f>L120*$D120*'E1 Fleet'!$D$99</f>
        <v/>
      </c>
      <c r="X120" s="350">
        <f>M120*$D120*'E1 Fleet'!$D$99</f>
        <v/>
      </c>
      <c r="Y120" s="350">
        <f>N120*$D120*'E1 Fleet'!$D$99</f>
        <v/>
      </c>
    </row>
    <row r="121">
      <c r="A121" t="inlineStr">
        <is>
          <t>Pickup</t>
        </is>
      </c>
      <c r="B121" s="456" t="n">
        <v>22</v>
      </c>
      <c r="C121" s="456" t="n">
        <v>3</v>
      </c>
      <c r="D121" s="348">
        <f>IF($B121=0,'E1 Fleet'!$D$93,1)*EXP(-'E1 Fleet'!$D$94*MAX($B121-6,0))</f>
        <v/>
      </c>
      <c r="E121" s="350">
        <f>IFERROR(INDEX('D Fleet'!$E$5:$E$63,MATCH(E$3-$B121,'D Fleet'!$B$5:$B$63,0)),0)*IFERROR(INDEX('D Fleet'!$K$5:$K$36,INT(($B121/E$5))+1)+(($B121/E$5)-INT(($B121/E$5)))*(INDEX('D Fleet'!$K$5:$K$36,INT(($B121/E$5))+2)-INDEX('D Fleet'!$K$5:$K$36,INT(($B121/E$5))+1)),0)</f>
        <v/>
      </c>
      <c r="F121" s="350">
        <f>IFERROR(INDEX('D Fleet'!$E$5:$E$63,MATCH(F$3-$B121,'D Fleet'!$B$5:$B$63,0)),0)*IFERROR(INDEX('D Fleet'!$K$5:$K$36,INT(($B121/F$5))+1)+(($B121/F$5)-INT(($B121/F$5)))*(INDEX('D Fleet'!$K$5:$K$36,INT(($B121/F$5))+2)-INDEX('D Fleet'!$K$5:$K$36,INT(($B121/F$5))+1)),0)</f>
        <v/>
      </c>
      <c r="G121" s="350">
        <f>IFERROR(INDEX('D Fleet'!$E$5:$E$63,MATCH(G$3-$B121,'D Fleet'!$B$5:$B$63,0)),0)*IFERROR(INDEX('D Fleet'!$K$5:$K$36,INT(($B121/G$5))+1)+(($B121/G$5)-INT(($B121/G$5)))*(INDEX('D Fleet'!$K$5:$K$36,INT(($B121/G$5))+2)-INDEX('D Fleet'!$K$5:$K$36,INT(($B121/G$5))+1)),0)</f>
        <v/>
      </c>
      <c r="H121" s="350">
        <f>IFERROR(INDEX('D Fleet'!$E$5:$E$63,MATCH(H$3-$B121,'D Fleet'!$B$5:$B$63,0)),0)*IFERROR(INDEX('D Fleet'!$K$5:$K$36,INT(($B121/H$5))+1)+(($B121/H$5)-INT(($B121/H$5)))*(INDEX('D Fleet'!$K$5:$K$36,INT(($B121/H$5))+2)-INDEX('D Fleet'!$K$5:$K$36,INT(($B121/H$5))+1)),0)</f>
        <v/>
      </c>
      <c r="I121" s="350">
        <f>IFERROR(INDEX('D Fleet'!$E$5:$E$63,MATCH(I$3-$B121,'D Fleet'!$B$5:$B$63,0)),0)*IFERROR(INDEX('D Fleet'!$K$5:$K$36,INT(($B121/I$5))+1)+(($B121/I$5)-INT(($B121/I$5)))*(INDEX('D Fleet'!$K$5:$K$36,INT(($B121/I$5))+2)-INDEX('D Fleet'!$K$5:$K$36,INT(($B121/I$5))+1)),0)</f>
        <v/>
      </c>
      <c r="J121" s="350">
        <f>IFERROR(INDEX('D Fleet'!$E$5:$E$63,MATCH(J$3-$B121,'D Fleet'!$B$5:$B$63,0)),0)*IFERROR(INDEX('D Fleet'!$K$5:$K$36,INT(($B121/J$5))+1)+(($B121/J$5)-INT(($B121/J$5)))*(INDEX('D Fleet'!$K$5:$K$36,INT(($B121/J$5))+2)-INDEX('D Fleet'!$K$5:$K$36,INT(($B121/J$5))+1)),0)</f>
        <v/>
      </c>
      <c r="K121" s="350">
        <f>IFERROR(INDEX('D Fleet'!$E$5:$E$63,MATCH(K$3-$B121,'D Fleet'!$B$5:$B$63,0)),0)*IFERROR(INDEX('D Fleet'!$K$5:$K$36,INT(($B121/K$5))+1)+(($B121/K$5)-INT(($B121/K$5)))*(INDEX('D Fleet'!$K$5:$K$36,INT(($B121/K$5))+2)-INDEX('D Fleet'!$K$5:$K$36,INT(($B121/K$5))+1)),0)</f>
        <v/>
      </c>
      <c r="L121" s="350">
        <f>IFERROR(INDEX('D Fleet'!$E$5:$E$63,MATCH(L$3-$B121,'D Fleet'!$B$5:$B$63,0)),0)*IFERROR(INDEX('D Fleet'!$K$5:$K$36,INT(($B121/L$5))+1)+(($B121/L$5)-INT(($B121/L$5)))*(INDEX('D Fleet'!$K$5:$K$36,INT(($B121/L$5))+2)-INDEX('D Fleet'!$K$5:$K$36,INT(($B121/L$5))+1)),0)</f>
        <v/>
      </c>
      <c r="M121" s="350">
        <f>IFERROR(INDEX('D Fleet'!$E$5:$E$63,MATCH(M$3-$B121,'D Fleet'!$B$5:$B$63,0)),0)*IFERROR(INDEX('D Fleet'!$K$5:$K$36,INT(($B121/M$5))+1)+(($B121/M$5)-INT(($B121/M$5)))*(INDEX('D Fleet'!$K$5:$K$36,INT(($B121/M$5))+2)-INDEX('D Fleet'!$K$5:$K$36,INT(($B121/M$5))+1)),0)</f>
        <v/>
      </c>
      <c r="N121" s="350">
        <f>IFERROR(INDEX('D Fleet'!$E$5:$E$63,MATCH(N$3-$B121,'D Fleet'!$B$5:$B$63,0)),0)*IFERROR(INDEX('D Fleet'!$K$5:$K$36,INT(($B121/N$5))+1)+(($B121/N$5)-INT(($B121/N$5)))*(INDEX('D Fleet'!$K$5:$K$36,INT(($B121/N$5))+2)-INDEX('D Fleet'!$K$5:$K$36,INT(($B121/N$5))+1)),0)</f>
        <v/>
      </c>
      <c r="P121" s="350">
        <f>E121*$D121*'E1 Fleet'!$D$99</f>
        <v/>
      </c>
      <c r="Q121" s="350">
        <f>F121*$D121*'E1 Fleet'!$D$99</f>
        <v/>
      </c>
      <c r="R121" s="350">
        <f>G121*$D121*'E1 Fleet'!$D$99</f>
        <v/>
      </c>
      <c r="S121" s="350">
        <f>H121*$D121*'E1 Fleet'!$D$99</f>
        <v/>
      </c>
      <c r="T121" s="350">
        <f>I121*$D121*'E1 Fleet'!$D$99</f>
        <v/>
      </c>
      <c r="U121" s="350">
        <f>J121*$D121*'E1 Fleet'!$D$99</f>
        <v/>
      </c>
      <c r="V121" s="350">
        <f>K121*$D121*'E1 Fleet'!$D$99</f>
        <v/>
      </c>
      <c r="W121" s="350">
        <f>L121*$D121*'E1 Fleet'!$D$99</f>
        <v/>
      </c>
      <c r="X121" s="350">
        <f>M121*$D121*'E1 Fleet'!$D$99</f>
        <v/>
      </c>
      <c r="Y121" s="350">
        <f>N121*$D121*'E1 Fleet'!$D$99</f>
        <v/>
      </c>
    </row>
    <row r="122">
      <c r="A122" t="inlineStr">
        <is>
          <t>Pickup</t>
        </is>
      </c>
      <c r="B122" s="456" t="n">
        <v>23</v>
      </c>
      <c r="C122" s="456" t="n">
        <v>3</v>
      </c>
      <c r="D122" s="348">
        <f>IF($B122=0,'E1 Fleet'!$D$93,1)*EXP(-'E1 Fleet'!$D$94*MAX($B122-6,0))</f>
        <v/>
      </c>
      <c r="E122" s="350">
        <f>IFERROR(INDEX('D Fleet'!$E$5:$E$63,MATCH(E$3-$B122,'D Fleet'!$B$5:$B$63,0)),0)*IFERROR(INDEX('D Fleet'!$K$5:$K$36,INT(($B122/E$5))+1)+(($B122/E$5)-INT(($B122/E$5)))*(INDEX('D Fleet'!$K$5:$K$36,INT(($B122/E$5))+2)-INDEX('D Fleet'!$K$5:$K$36,INT(($B122/E$5))+1)),0)</f>
        <v/>
      </c>
      <c r="F122" s="350">
        <f>IFERROR(INDEX('D Fleet'!$E$5:$E$63,MATCH(F$3-$B122,'D Fleet'!$B$5:$B$63,0)),0)*IFERROR(INDEX('D Fleet'!$K$5:$K$36,INT(($B122/F$5))+1)+(($B122/F$5)-INT(($B122/F$5)))*(INDEX('D Fleet'!$K$5:$K$36,INT(($B122/F$5))+2)-INDEX('D Fleet'!$K$5:$K$36,INT(($B122/F$5))+1)),0)</f>
        <v/>
      </c>
      <c r="G122" s="350">
        <f>IFERROR(INDEX('D Fleet'!$E$5:$E$63,MATCH(G$3-$B122,'D Fleet'!$B$5:$B$63,0)),0)*IFERROR(INDEX('D Fleet'!$K$5:$K$36,INT(($B122/G$5))+1)+(($B122/G$5)-INT(($B122/G$5)))*(INDEX('D Fleet'!$K$5:$K$36,INT(($B122/G$5))+2)-INDEX('D Fleet'!$K$5:$K$36,INT(($B122/G$5))+1)),0)</f>
        <v/>
      </c>
      <c r="H122" s="350">
        <f>IFERROR(INDEX('D Fleet'!$E$5:$E$63,MATCH(H$3-$B122,'D Fleet'!$B$5:$B$63,0)),0)*IFERROR(INDEX('D Fleet'!$K$5:$K$36,INT(($B122/H$5))+1)+(($B122/H$5)-INT(($B122/H$5)))*(INDEX('D Fleet'!$K$5:$K$36,INT(($B122/H$5))+2)-INDEX('D Fleet'!$K$5:$K$36,INT(($B122/H$5))+1)),0)</f>
        <v/>
      </c>
      <c r="I122" s="350">
        <f>IFERROR(INDEX('D Fleet'!$E$5:$E$63,MATCH(I$3-$B122,'D Fleet'!$B$5:$B$63,0)),0)*IFERROR(INDEX('D Fleet'!$K$5:$K$36,INT(($B122/I$5))+1)+(($B122/I$5)-INT(($B122/I$5)))*(INDEX('D Fleet'!$K$5:$K$36,INT(($B122/I$5))+2)-INDEX('D Fleet'!$K$5:$K$36,INT(($B122/I$5))+1)),0)</f>
        <v/>
      </c>
      <c r="J122" s="350">
        <f>IFERROR(INDEX('D Fleet'!$E$5:$E$63,MATCH(J$3-$B122,'D Fleet'!$B$5:$B$63,0)),0)*IFERROR(INDEX('D Fleet'!$K$5:$K$36,INT(($B122/J$5))+1)+(($B122/J$5)-INT(($B122/J$5)))*(INDEX('D Fleet'!$K$5:$K$36,INT(($B122/J$5))+2)-INDEX('D Fleet'!$K$5:$K$36,INT(($B122/J$5))+1)),0)</f>
        <v/>
      </c>
      <c r="K122" s="350">
        <f>IFERROR(INDEX('D Fleet'!$E$5:$E$63,MATCH(K$3-$B122,'D Fleet'!$B$5:$B$63,0)),0)*IFERROR(INDEX('D Fleet'!$K$5:$K$36,INT(($B122/K$5))+1)+(($B122/K$5)-INT(($B122/K$5)))*(INDEX('D Fleet'!$K$5:$K$36,INT(($B122/K$5))+2)-INDEX('D Fleet'!$K$5:$K$36,INT(($B122/K$5))+1)),0)</f>
        <v/>
      </c>
      <c r="L122" s="350">
        <f>IFERROR(INDEX('D Fleet'!$E$5:$E$63,MATCH(L$3-$B122,'D Fleet'!$B$5:$B$63,0)),0)*IFERROR(INDEX('D Fleet'!$K$5:$K$36,INT(($B122/L$5))+1)+(($B122/L$5)-INT(($B122/L$5)))*(INDEX('D Fleet'!$K$5:$K$36,INT(($B122/L$5))+2)-INDEX('D Fleet'!$K$5:$K$36,INT(($B122/L$5))+1)),0)</f>
        <v/>
      </c>
      <c r="M122" s="350">
        <f>IFERROR(INDEX('D Fleet'!$E$5:$E$63,MATCH(M$3-$B122,'D Fleet'!$B$5:$B$63,0)),0)*IFERROR(INDEX('D Fleet'!$K$5:$K$36,INT(($B122/M$5))+1)+(($B122/M$5)-INT(($B122/M$5)))*(INDEX('D Fleet'!$K$5:$K$36,INT(($B122/M$5))+2)-INDEX('D Fleet'!$K$5:$K$36,INT(($B122/M$5))+1)),0)</f>
        <v/>
      </c>
      <c r="N122" s="350">
        <f>IFERROR(INDEX('D Fleet'!$E$5:$E$63,MATCH(N$3-$B122,'D Fleet'!$B$5:$B$63,0)),0)*IFERROR(INDEX('D Fleet'!$K$5:$K$36,INT(($B122/N$5))+1)+(($B122/N$5)-INT(($B122/N$5)))*(INDEX('D Fleet'!$K$5:$K$36,INT(($B122/N$5))+2)-INDEX('D Fleet'!$K$5:$K$36,INT(($B122/N$5))+1)),0)</f>
        <v/>
      </c>
      <c r="P122" s="350">
        <f>E122*$D122*'E1 Fleet'!$D$99</f>
        <v/>
      </c>
      <c r="Q122" s="350">
        <f>F122*$D122*'E1 Fleet'!$D$99</f>
        <v/>
      </c>
      <c r="R122" s="350">
        <f>G122*$D122*'E1 Fleet'!$D$99</f>
        <v/>
      </c>
      <c r="S122" s="350">
        <f>H122*$D122*'E1 Fleet'!$D$99</f>
        <v/>
      </c>
      <c r="T122" s="350">
        <f>I122*$D122*'E1 Fleet'!$D$99</f>
        <v/>
      </c>
      <c r="U122" s="350">
        <f>J122*$D122*'E1 Fleet'!$D$99</f>
        <v/>
      </c>
      <c r="V122" s="350">
        <f>K122*$D122*'E1 Fleet'!$D$99</f>
        <v/>
      </c>
      <c r="W122" s="350">
        <f>L122*$D122*'E1 Fleet'!$D$99</f>
        <v/>
      </c>
      <c r="X122" s="350">
        <f>M122*$D122*'E1 Fleet'!$D$99</f>
        <v/>
      </c>
      <c r="Y122" s="350">
        <f>N122*$D122*'E1 Fleet'!$D$99</f>
        <v/>
      </c>
    </row>
    <row r="123">
      <c r="A123" t="inlineStr">
        <is>
          <t>Pickup</t>
        </is>
      </c>
      <c r="B123" s="456" t="n">
        <v>24</v>
      </c>
      <c r="C123" s="456" t="n">
        <v>3</v>
      </c>
      <c r="D123" s="348">
        <f>IF($B123=0,'E1 Fleet'!$D$93,1)*EXP(-'E1 Fleet'!$D$94*MAX($B123-6,0))</f>
        <v/>
      </c>
      <c r="E123" s="350">
        <f>IFERROR(INDEX('D Fleet'!$E$5:$E$63,MATCH(E$3-$B123,'D Fleet'!$B$5:$B$63,0)),0)*IFERROR(INDEX('D Fleet'!$K$5:$K$36,INT(($B123/E$5))+1)+(($B123/E$5)-INT(($B123/E$5)))*(INDEX('D Fleet'!$K$5:$K$36,INT(($B123/E$5))+2)-INDEX('D Fleet'!$K$5:$K$36,INT(($B123/E$5))+1)),0)</f>
        <v/>
      </c>
      <c r="F123" s="350">
        <f>IFERROR(INDEX('D Fleet'!$E$5:$E$63,MATCH(F$3-$B123,'D Fleet'!$B$5:$B$63,0)),0)*IFERROR(INDEX('D Fleet'!$K$5:$K$36,INT(($B123/F$5))+1)+(($B123/F$5)-INT(($B123/F$5)))*(INDEX('D Fleet'!$K$5:$K$36,INT(($B123/F$5))+2)-INDEX('D Fleet'!$K$5:$K$36,INT(($B123/F$5))+1)),0)</f>
        <v/>
      </c>
      <c r="G123" s="350">
        <f>IFERROR(INDEX('D Fleet'!$E$5:$E$63,MATCH(G$3-$B123,'D Fleet'!$B$5:$B$63,0)),0)*IFERROR(INDEX('D Fleet'!$K$5:$K$36,INT(($B123/G$5))+1)+(($B123/G$5)-INT(($B123/G$5)))*(INDEX('D Fleet'!$K$5:$K$36,INT(($B123/G$5))+2)-INDEX('D Fleet'!$K$5:$K$36,INT(($B123/G$5))+1)),0)</f>
        <v/>
      </c>
      <c r="H123" s="350">
        <f>IFERROR(INDEX('D Fleet'!$E$5:$E$63,MATCH(H$3-$B123,'D Fleet'!$B$5:$B$63,0)),0)*IFERROR(INDEX('D Fleet'!$K$5:$K$36,INT(($B123/H$5))+1)+(($B123/H$5)-INT(($B123/H$5)))*(INDEX('D Fleet'!$K$5:$K$36,INT(($B123/H$5))+2)-INDEX('D Fleet'!$K$5:$K$36,INT(($B123/H$5))+1)),0)</f>
        <v/>
      </c>
      <c r="I123" s="350">
        <f>IFERROR(INDEX('D Fleet'!$E$5:$E$63,MATCH(I$3-$B123,'D Fleet'!$B$5:$B$63,0)),0)*IFERROR(INDEX('D Fleet'!$K$5:$K$36,INT(($B123/I$5))+1)+(($B123/I$5)-INT(($B123/I$5)))*(INDEX('D Fleet'!$K$5:$K$36,INT(($B123/I$5))+2)-INDEX('D Fleet'!$K$5:$K$36,INT(($B123/I$5))+1)),0)</f>
        <v/>
      </c>
      <c r="J123" s="350">
        <f>IFERROR(INDEX('D Fleet'!$E$5:$E$63,MATCH(J$3-$B123,'D Fleet'!$B$5:$B$63,0)),0)*IFERROR(INDEX('D Fleet'!$K$5:$K$36,INT(($B123/J$5))+1)+(($B123/J$5)-INT(($B123/J$5)))*(INDEX('D Fleet'!$K$5:$K$36,INT(($B123/J$5))+2)-INDEX('D Fleet'!$K$5:$K$36,INT(($B123/J$5))+1)),0)</f>
        <v/>
      </c>
      <c r="K123" s="350">
        <f>IFERROR(INDEX('D Fleet'!$E$5:$E$63,MATCH(K$3-$B123,'D Fleet'!$B$5:$B$63,0)),0)*IFERROR(INDEX('D Fleet'!$K$5:$K$36,INT(($B123/K$5))+1)+(($B123/K$5)-INT(($B123/K$5)))*(INDEX('D Fleet'!$K$5:$K$36,INT(($B123/K$5))+2)-INDEX('D Fleet'!$K$5:$K$36,INT(($B123/K$5))+1)),0)</f>
        <v/>
      </c>
      <c r="L123" s="350">
        <f>IFERROR(INDEX('D Fleet'!$E$5:$E$63,MATCH(L$3-$B123,'D Fleet'!$B$5:$B$63,0)),0)*IFERROR(INDEX('D Fleet'!$K$5:$K$36,INT(($B123/L$5))+1)+(($B123/L$5)-INT(($B123/L$5)))*(INDEX('D Fleet'!$K$5:$K$36,INT(($B123/L$5))+2)-INDEX('D Fleet'!$K$5:$K$36,INT(($B123/L$5))+1)),0)</f>
        <v/>
      </c>
      <c r="M123" s="350">
        <f>IFERROR(INDEX('D Fleet'!$E$5:$E$63,MATCH(M$3-$B123,'D Fleet'!$B$5:$B$63,0)),0)*IFERROR(INDEX('D Fleet'!$K$5:$K$36,INT(($B123/M$5))+1)+(($B123/M$5)-INT(($B123/M$5)))*(INDEX('D Fleet'!$K$5:$K$36,INT(($B123/M$5))+2)-INDEX('D Fleet'!$K$5:$K$36,INT(($B123/M$5))+1)),0)</f>
        <v/>
      </c>
      <c r="N123" s="350">
        <f>IFERROR(INDEX('D Fleet'!$E$5:$E$63,MATCH(N$3-$B123,'D Fleet'!$B$5:$B$63,0)),0)*IFERROR(INDEX('D Fleet'!$K$5:$K$36,INT(($B123/N$5))+1)+(($B123/N$5)-INT(($B123/N$5)))*(INDEX('D Fleet'!$K$5:$K$36,INT(($B123/N$5))+2)-INDEX('D Fleet'!$K$5:$K$36,INT(($B123/N$5))+1)),0)</f>
        <v/>
      </c>
      <c r="P123" s="350">
        <f>E123*$D123*'E1 Fleet'!$D$99</f>
        <v/>
      </c>
      <c r="Q123" s="350">
        <f>F123*$D123*'E1 Fleet'!$D$99</f>
        <v/>
      </c>
      <c r="R123" s="350">
        <f>G123*$D123*'E1 Fleet'!$D$99</f>
        <v/>
      </c>
      <c r="S123" s="350">
        <f>H123*$D123*'E1 Fleet'!$D$99</f>
        <v/>
      </c>
      <c r="T123" s="350">
        <f>I123*$D123*'E1 Fleet'!$D$99</f>
        <v/>
      </c>
      <c r="U123" s="350">
        <f>J123*$D123*'E1 Fleet'!$D$99</f>
        <v/>
      </c>
      <c r="V123" s="350">
        <f>K123*$D123*'E1 Fleet'!$D$99</f>
        <v/>
      </c>
      <c r="W123" s="350">
        <f>L123*$D123*'E1 Fleet'!$D$99</f>
        <v/>
      </c>
      <c r="X123" s="350">
        <f>M123*$D123*'E1 Fleet'!$D$99</f>
        <v/>
      </c>
      <c r="Y123" s="350">
        <f>N123*$D123*'E1 Fleet'!$D$99</f>
        <v/>
      </c>
    </row>
    <row r="124">
      <c r="A124" t="inlineStr">
        <is>
          <t>Pickup</t>
        </is>
      </c>
      <c r="B124" s="456" t="n">
        <v>25</v>
      </c>
      <c r="C124" s="456" t="n">
        <v>3</v>
      </c>
      <c r="D124" s="348">
        <f>IF($B124=0,'E1 Fleet'!$D$93,1)*EXP(-'E1 Fleet'!$D$94*MAX($B124-6,0))</f>
        <v/>
      </c>
      <c r="E124" s="350">
        <f>IFERROR(INDEX('D Fleet'!$E$5:$E$63,MATCH(E$3-$B124,'D Fleet'!$B$5:$B$63,0)),0)*IFERROR(INDEX('D Fleet'!$K$5:$K$36,INT(($B124/E$5))+1)+(($B124/E$5)-INT(($B124/E$5)))*(INDEX('D Fleet'!$K$5:$K$36,INT(($B124/E$5))+2)-INDEX('D Fleet'!$K$5:$K$36,INT(($B124/E$5))+1)),0)</f>
        <v/>
      </c>
      <c r="F124" s="350">
        <f>IFERROR(INDEX('D Fleet'!$E$5:$E$63,MATCH(F$3-$B124,'D Fleet'!$B$5:$B$63,0)),0)*IFERROR(INDEX('D Fleet'!$K$5:$K$36,INT(($B124/F$5))+1)+(($B124/F$5)-INT(($B124/F$5)))*(INDEX('D Fleet'!$K$5:$K$36,INT(($B124/F$5))+2)-INDEX('D Fleet'!$K$5:$K$36,INT(($B124/F$5))+1)),0)</f>
        <v/>
      </c>
      <c r="G124" s="350">
        <f>IFERROR(INDEX('D Fleet'!$E$5:$E$63,MATCH(G$3-$B124,'D Fleet'!$B$5:$B$63,0)),0)*IFERROR(INDEX('D Fleet'!$K$5:$K$36,INT(($B124/G$5))+1)+(($B124/G$5)-INT(($B124/G$5)))*(INDEX('D Fleet'!$K$5:$K$36,INT(($B124/G$5))+2)-INDEX('D Fleet'!$K$5:$K$36,INT(($B124/G$5))+1)),0)</f>
        <v/>
      </c>
      <c r="H124" s="350">
        <f>IFERROR(INDEX('D Fleet'!$E$5:$E$63,MATCH(H$3-$B124,'D Fleet'!$B$5:$B$63,0)),0)*IFERROR(INDEX('D Fleet'!$K$5:$K$36,INT(($B124/H$5))+1)+(($B124/H$5)-INT(($B124/H$5)))*(INDEX('D Fleet'!$K$5:$K$36,INT(($B124/H$5))+2)-INDEX('D Fleet'!$K$5:$K$36,INT(($B124/H$5))+1)),0)</f>
        <v/>
      </c>
      <c r="I124" s="350">
        <f>IFERROR(INDEX('D Fleet'!$E$5:$E$63,MATCH(I$3-$B124,'D Fleet'!$B$5:$B$63,0)),0)*IFERROR(INDEX('D Fleet'!$K$5:$K$36,INT(($B124/I$5))+1)+(($B124/I$5)-INT(($B124/I$5)))*(INDEX('D Fleet'!$K$5:$K$36,INT(($B124/I$5))+2)-INDEX('D Fleet'!$K$5:$K$36,INT(($B124/I$5))+1)),0)</f>
        <v/>
      </c>
      <c r="J124" s="350">
        <f>IFERROR(INDEX('D Fleet'!$E$5:$E$63,MATCH(J$3-$B124,'D Fleet'!$B$5:$B$63,0)),0)*IFERROR(INDEX('D Fleet'!$K$5:$K$36,INT(($B124/J$5))+1)+(($B124/J$5)-INT(($B124/J$5)))*(INDEX('D Fleet'!$K$5:$K$36,INT(($B124/J$5))+2)-INDEX('D Fleet'!$K$5:$K$36,INT(($B124/J$5))+1)),0)</f>
        <v/>
      </c>
      <c r="K124" s="350">
        <f>IFERROR(INDEX('D Fleet'!$E$5:$E$63,MATCH(K$3-$B124,'D Fleet'!$B$5:$B$63,0)),0)*IFERROR(INDEX('D Fleet'!$K$5:$K$36,INT(($B124/K$5))+1)+(($B124/K$5)-INT(($B124/K$5)))*(INDEX('D Fleet'!$K$5:$K$36,INT(($B124/K$5))+2)-INDEX('D Fleet'!$K$5:$K$36,INT(($B124/K$5))+1)),0)</f>
        <v/>
      </c>
      <c r="L124" s="350">
        <f>IFERROR(INDEX('D Fleet'!$E$5:$E$63,MATCH(L$3-$B124,'D Fleet'!$B$5:$B$63,0)),0)*IFERROR(INDEX('D Fleet'!$K$5:$K$36,INT(($B124/L$5))+1)+(($B124/L$5)-INT(($B124/L$5)))*(INDEX('D Fleet'!$K$5:$K$36,INT(($B124/L$5))+2)-INDEX('D Fleet'!$K$5:$K$36,INT(($B124/L$5))+1)),0)</f>
        <v/>
      </c>
      <c r="M124" s="350">
        <f>IFERROR(INDEX('D Fleet'!$E$5:$E$63,MATCH(M$3-$B124,'D Fleet'!$B$5:$B$63,0)),0)*IFERROR(INDEX('D Fleet'!$K$5:$K$36,INT(($B124/M$5))+1)+(($B124/M$5)-INT(($B124/M$5)))*(INDEX('D Fleet'!$K$5:$K$36,INT(($B124/M$5))+2)-INDEX('D Fleet'!$K$5:$K$36,INT(($B124/M$5))+1)),0)</f>
        <v/>
      </c>
      <c r="N124" s="350">
        <f>IFERROR(INDEX('D Fleet'!$E$5:$E$63,MATCH(N$3-$B124,'D Fleet'!$B$5:$B$63,0)),0)*IFERROR(INDEX('D Fleet'!$K$5:$K$36,INT(($B124/N$5))+1)+(($B124/N$5)-INT(($B124/N$5)))*(INDEX('D Fleet'!$K$5:$K$36,INT(($B124/N$5))+2)-INDEX('D Fleet'!$K$5:$K$36,INT(($B124/N$5))+1)),0)</f>
        <v/>
      </c>
      <c r="P124" s="350">
        <f>E124*$D124*'E1 Fleet'!$D$99</f>
        <v/>
      </c>
      <c r="Q124" s="350">
        <f>F124*$D124*'E1 Fleet'!$D$99</f>
        <v/>
      </c>
      <c r="R124" s="350">
        <f>G124*$D124*'E1 Fleet'!$D$99</f>
        <v/>
      </c>
      <c r="S124" s="350">
        <f>H124*$D124*'E1 Fleet'!$D$99</f>
        <v/>
      </c>
      <c r="T124" s="350">
        <f>I124*$D124*'E1 Fleet'!$D$99</f>
        <v/>
      </c>
      <c r="U124" s="350">
        <f>J124*$D124*'E1 Fleet'!$D$99</f>
        <v/>
      </c>
      <c r="V124" s="350">
        <f>K124*$D124*'E1 Fleet'!$D$99</f>
        <v/>
      </c>
      <c r="W124" s="350">
        <f>L124*$D124*'E1 Fleet'!$D$99</f>
        <v/>
      </c>
      <c r="X124" s="350">
        <f>M124*$D124*'E1 Fleet'!$D$99</f>
        <v/>
      </c>
      <c r="Y124" s="350">
        <f>N124*$D124*'E1 Fleet'!$D$99</f>
        <v/>
      </c>
    </row>
    <row r="125">
      <c r="A125" t="inlineStr">
        <is>
          <t>Pickup</t>
        </is>
      </c>
      <c r="B125" s="456" t="n">
        <v>26</v>
      </c>
      <c r="C125" s="456" t="n">
        <v>3</v>
      </c>
      <c r="D125" s="348">
        <f>IF($B125=0,'E1 Fleet'!$D$93,1)*EXP(-'E1 Fleet'!$D$94*MAX($B125-6,0))</f>
        <v/>
      </c>
      <c r="E125" s="350">
        <f>IFERROR(INDEX('D Fleet'!$E$5:$E$63,MATCH(E$3-$B125,'D Fleet'!$B$5:$B$63,0)),0)*IFERROR(INDEX('D Fleet'!$K$5:$K$36,INT(($B125/E$5))+1)+(($B125/E$5)-INT(($B125/E$5)))*(INDEX('D Fleet'!$K$5:$K$36,INT(($B125/E$5))+2)-INDEX('D Fleet'!$K$5:$K$36,INT(($B125/E$5))+1)),0)</f>
        <v/>
      </c>
      <c r="F125" s="350">
        <f>IFERROR(INDEX('D Fleet'!$E$5:$E$63,MATCH(F$3-$B125,'D Fleet'!$B$5:$B$63,0)),0)*IFERROR(INDEX('D Fleet'!$K$5:$K$36,INT(($B125/F$5))+1)+(($B125/F$5)-INT(($B125/F$5)))*(INDEX('D Fleet'!$K$5:$K$36,INT(($B125/F$5))+2)-INDEX('D Fleet'!$K$5:$K$36,INT(($B125/F$5))+1)),0)</f>
        <v/>
      </c>
      <c r="G125" s="350">
        <f>IFERROR(INDEX('D Fleet'!$E$5:$E$63,MATCH(G$3-$B125,'D Fleet'!$B$5:$B$63,0)),0)*IFERROR(INDEX('D Fleet'!$K$5:$K$36,INT(($B125/G$5))+1)+(($B125/G$5)-INT(($B125/G$5)))*(INDEX('D Fleet'!$K$5:$K$36,INT(($B125/G$5))+2)-INDEX('D Fleet'!$K$5:$K$36,INT(($B125/G$5))+1)),0)</f>
        <v/>
      </c>
      <c r="H125" s="350">
        <f>IFERROR(INDEX('D Fleet'!$E$5:$E$63,MATCH(H$3-$B125,'D Fleet'!$B$5:$B$63,0)),0)*IFERROR(INDEX('D Fleet'!$K$5:$K$36,INT(($B125/H$5))+1)+(($B125/H$5)-INT(($B125/H$5)))*(INDEX('D Fleet'!$K$5:$K$36,INT(($B125/H$5))+2)-INDEX('D Fleet'!$K$5:$K$36,INT(($B125/H$5))+1)),0)</f>
        <v/>
      </c>
      <c r="I125" s="350">
        <f>IFERROR(INDEX('D Fleet'!$E$5:$E$63,MATCH(I$3-$B125,'D Fleet'!$B$5:$B$63,0)),0)*IFERROR(INDEX('D Fleet'!$K$5:$K$36,INT(($B125/I$5))+1)+(($B125/I$5)-INT(($B125/I$5)))*(INDEX('D Fleet'!$K$5:$K$36,INT(($B125/I$5))+2)-INDEX('D Fleet'!$K$5:$K$36,INT(($B125/I$5))+1)),0)</f>
        <v/>
      </c>
      <c r="J125" s="350">
        <f>IFERROR(INDEX('D Fleet'!$E$5:$E$63,MATCH(J$3-$B125,'D Fleet'!$B$5:$B$63,0)),0)*IFERROR(INDEX('D Fleet'!$K$5:$K$36,INT(($B125/J$5))+1)+(($B125/J$5)-INT(($B125/J$5)))*(INDEX('D Fleet'!$K$5:$K$36,INT(($B125/J$5))+2)-INDEX('D Fleet'!$K$5:$K$36,INT(($B125/J$5))+1)),0)</f>
        <v/>
      </c>
      <c r="K125" s="350">
        <f>IFERROR(INDEX('D Fleet'!$E$5:$E$63,MATCH(K$3-$B125,'D Fleet'!$B$5:$B$63,0)),0)*IFERROR(INDEX('D Fleet'!$K$5:$K$36,INT(($B125/K$5))+1)+(($B125/K$5)-INT(($B125/K$5)))*(INDEX('D Fleet'!$K$5:$K$36,INT(($B125/K$5))+2)-INDEX('D Fleet'!$K$5:$K$36,INT(($B125/K$5))+1)),0)</f>
        <v/>
      </c>
      <c r="L125" s="350">
        <f>IFERROR(INDEX('D Fleet'!$E$5:$E$63,MATCH(L$3-$B125,'D Fleet'!$B$5:$B$63,0)),0)*IFERROR(INDEX('D Fleet'!$K$5:$K$36,INT(($B125/L$5))+1)+(($B125/L$5)-INT(($B125/L$5)))*(INDEX('D Fleet'!$K$5:$K$36,INT(($B125/L$5))+2)-INDEX('D Fleet'!$K$5:$K$36,INT(($B125/L$5))+1)),0)</f>
        <v/>
      </c>
      <c r="M125" s="350">
        <f>IFERROR(INDEX('D Fleet'!$E$5:$E$63,MATCH(M$3-$B125,'D Fleet'!$B$5:$B$63,0)),0)*IFERROR(INDEX('D Fleet'!$K$5:$K$36,INT(($B125/M$5))+1)+(($B125/M$5)-INT(($B125/M$5)))*(INDEX('D Fleet'!$K$5:$K$36,INT(($B125/M$5))+2)-INDEX('D Fleet'!$K$5:$K$36,INT(($B125/M$5))+1)),0)</f>
        <v/>
      </c>
      <c r="N125" s="350">
        <f>IFERROR(INDEX('D Fleet'!$E$5:$E$63,MATCH(N$3-$B125,'D Fleet'!$B$5:$B$63,0)),0)*IFERROR(INDEX('D Fleet'!$K$5:$K$36,INT(($B125/N$5))+1)+(($B125/N$5)-INT(($B125/N$5)))*(INDEX('D Fleet'!$K$5:$K$36,INT(($B125/N$5))+2)-INDEX('D Fleet'!$K$5:$K$36,INT(($B125/N$5))+1)),0)</f>
        <v/>
      </c>
      <c r="P125" s="350">
        <f>E125*$D125*'E1 Fleet'!$D$99</f>
        <v/>
      </c>
      <c r="Q125" s="350">
        <f>F125*$D125*'E1 Fleet'!$D$99</f>
        <v/>
      </c>
      <c r="R125" s="350">
        <f>G125*$D125*'E1 Fleet'!$D$99</f>
        <v/>
      </c>
      <c r="S125" s="350">
        <f>H125*$D125*'E1 Fleet'!$D$99</f>
        <v/>
      </c>
      <c r="T125" s="350">
        <f>I125*$D125*'E1 Fleet'!$D$99</f>
        <v/>
      </c>
      <c r="U125" s="350">
        <f>J125*$D125*'E1 Fleet'!$D$99</f>
        <v/>
      </c>
      <c r="V125" s="350">
        <f>K125*$D125*'E1 Fleet'!$D$99</f>
        <v/>
      </c>
      <c r="W125" s="350">
        <f>L125*$D125*'E1 Fleet'!$D$99</f>
        <v/>
      </c>
      <c r="X125" s="350">
        <f>M125*$D125*'E1 Fleet'!$D$99</f>
        <v/>
      </c>
      <c r="Y125" s="350">
        <f>N125*$D125*'E1 Fleet'!$D$99</f>
        <v/>
      </c>
    </row>
    <row r="126">
      <c r="A126" t="inlineStr">
        <is>
          <t>Pickup</t>
        </is>
      </c>
      <c r="B126" s="456" t="n">
        <v>27</v>
      </c>
      <c r="C126" s="456" t="n">
        <v>3</v>
      </c>
      <c r="D126" s="348">
        <f>IF($B126=0,'E1 Fleet'!$D$93,1)*EXP(-'E1 Fleet'!$D$94*MAX($B126-6,0))</f>
        <v/>
      </c>
      <c r="E126" s="350">
        <f>IFERROR(INDEX('D Fleet'!$E$5:$E$63,MATCH(E$3-$B126,'D Fleet'!$B$5:$B$63,0)),0)*IFERROR(INDEX('D Fleet'!$K$5:$K$36,INT(($B126/E$5))+1)+(($B126/E$5)-INT(($B126/E$5)))*(INDEX('D Fleet'!$K$5:$K$36,INT(($B126/E$5))+2)-INDEX('D Fleet'!$K$5:$K$36,INT(($B126/E$5))+1)),0)</f>
        <v/>
      </c>
      <c r="F126" s="350">
        <f>IFERROR(INDEX('D Fleet'!$E$5:$E$63,MATCH(F$3-$B126,'D Fleet'!$B$5:$B$63,0)),0)*IFERROR(INDEX('D Fleet'!$K$5:$K$36,INT(($B126/F$5))+1)+(($B126/F$5)-INT(($B126/F$5)))*(INDEX('D Fleet'!$K$5:$K$36,INT(($B126/F$5))+2)-INDEX('D Fleet'!$K$5:$K$36,INT(($B126/F$5))+1)),0)</f>
        <v/>
      </c>
      <c r="G126" s="350">
        <f>IFERROR(INDEX('D Fleet'!$E$5:$E$63,MATCH(G$3-$B126,'D Fleet'!$B$5:$B$63,0)),0)*IFERROR(INDEX('D Fleet'!$K$5:$K$36,INT(($B126/G$5))+1)+(($B126/G$5)-INT(($B126/G$5)))*(INDEX('D Fleet'!$K$5:$K$36,INT(($B126/G$5))+2)-INDEX('D Fleet'!$K$5:$K$36,INT(($B126/G$5))+1)),0)</f>
        <v/>
      </c>
      <c r="H126" s="350">
        <f>IFERROR(INDEX('D Fleet'!$E$5:$E$63,MATCH(H$3-$B126,'D Fleet'!$B$5:$B$63,0)),0)*IFERROR(INDEX('D Fleet'!$K$5:$K$36,INT(($B126/H$5))+1)+(($B126/H$5)-INT(($B126/H$5)))*(INDEX('D Fleet'!$K$5:$K$36,INT(($B126/H$5))+2)-INDEX('D Fleet'!$K$5:$K$36,INT(($B126/H$5))+1)),0)</f>
        <v/>
      </c>
      <c r="I126" s="350">
        <f>IFERROR(INDEX('D Fleet'!$E$5:$E$63,MATCH(I$3-$B126,'D Fleet'!$B$5:$B$63,0)),0)*IFERROR(INDEX('D Fleet'!$K$5:$K$36,INT(($B126/I$5))+1)+(($B126/I$5)-INT(($B126/I$5)))*(INDEX('D Fleet'!$K$5:$K$36,INT(($B126/I$5))+2)-INDEX('D Fleet'!$K$5:$K$36,INT(($B126/I$5))+1)),0)</f>
        <v/>
      </c>
      <c r="J126" s="350">
        <f>IFERROR(INDEX('D Fleet'!$E$5:$E$63,MATCH(J$3-$B126,'D Fleet'!$B$5:$B$63,0)),0)*IFERROR(INDEX('D Fleet'!$K$5:$K$36,INT(($B126/J$5))+1)+(($B126/J$5)-INT(($B126/J$5)))*(INDEX('D Fleet'!$K$5:$K$36,INT(($B126/J$5))+2)-INDEX('D Fleet'!$K$5:$K$36,INT(($B126/J$5))+1)),0)</f>
        <v/>
      </c>
      <c r="K126" s="350">
        <f>IFERROR(INDEX('D Fleet'!$E$5:$E$63,MATCH(K$3-$B126,'D Fleet'!$B$5:$B$63,0)),0)*IFERROR(INDEX('D Fleet'!$K$5:$K$36,INT(($B126/K$5))+1)+(($B126/K$5)-INT(($B126/K$5)))*(INDEX('D Fleet'!$K$5:$K$36,INT(($B126/K$5))+2)-INDEX('D Fleet'!$K$5:$K$36,INT(($B126/K$5))+1)),0)</f>
        <v/>
      </c>
      <c r="L126" s="350">
        <f>IFERROR(INDEX('D Fleet'!$E$5:$E$63,MATCH(L$3-$B126,'D Fleet'!$B$5:$B$63,0)),0)*IFERROR(INDEX('D Fleet'!$K$5:$K$36,INT(($B126/L$5))+1)+(($B126/L$5)-INT(($B126/L$5)))*(INDEX('D Fleet'!$K$5:$K$36,INT(($B126/L$5))+2)-INDEX('D Fleet'!$K$5:$K$36,INT(($B126/L$5))+1)),0)</f>
        <v/>
      </c>
      <c r="M126" s="350">
        <f>IFERROR(INDEX('D Fleet'!$E$5:$E$63,MATCH(M$3-$B126,'D Fleet'!$B$5:$B$63,0)),0)*IFERROR(INDEX('D Fleet'!$K$5:$K$36,INT(($B126/M$5))+1)+(($B126/M$5)-INT(($B126/M$5)))*(INDEX('D Fleet'!$K$5:$K$36,INT(($B126/M$5))+2)-INDEX('D Fleet'!$K$5:$K$36,INT(($B126/M$5))+1)),0)</f>
        <v/>
      </c>
      <c r="N126" s="350">
        <f>IFERROR(INDEX('D Fleet'!$E$5:$E$63,MATCH(N$3-$B126,'D Fleet'!$B$5:$B$63,0)),0)*IFERROR(INDEX('D Fleet'!$K$5:$K$36,INT(($B126/N$5))+1)+(($B126/N$5)-INT(($B126/N$5)))*(INDEX('D Fleet'!$K$5:$K$36,INT(($B126/N$5))+2)-INDEX('D Fleet'!$K$5:$K$36,INT(($B126/N$5))+1)),0)</f>
        <v/>
      </c>
      <c r="P126" s="350">
        <f>E126*$D126*'E1 Fleet'!$D$99</f>
        <v/>
      </c>
      <c r="Q126" s="350">
        <f>F126*$D126*'E1 Fleet'!$D$99</f>
        <v/>
      </c>
      <c r="R126" s="350">
        <f>G126*$D126*'E1 Fleet'!$D$99</f>
        <v/>
      </c>
      <c r="S126" s="350">
        <f>H126*$D126*'E1 Fleet'!$D$99</f>
        <v/>
      </c>
      <c r="T126" s="350">
        <f>I126*$D126*'E1 Fleet'!$D$99</f>
        <v/>
      </c>
      <c r="U126" s="350">
        <f>J126*$D126*'E1 Fleet'!$D$99</f>
        <v/>
      </c>
      <c r="V126" s="350">
        <f>K126*$D126*'E1 Fleet'!$D$99</f>
        <v/>
      </c>
      <c r="W126" s="350">
        <f>L126*$D126*'E1 Fleet'!$D$99</f>
        <v/>
      </c>
      <c r="X126" s="350">
        <f>M126*$D126*'E1 Fleet'!$D$99</f>
        <v/>
      </c>
      <c r="Y126" s="350">
        <f>N126*$D126*'E1 Fleet'!$D$99</f>
        <v/>
      </c>
    </row>
    <row r="127">
      <c r="A127" t="inlineStr">
        <is>
          <t>Pickup</t>
        </is>
      </c>
      <c r="B127" s="456" t="n">
        <v>28</v>
      </c>
      <c r="C127" s="456" t="n">
        <v>3</v>
      </c>
      <c r="D127" s="348">
        <f>IF($B127=0,'E1 Fleet'!$D$93,1)*EXP(-'E1 Fleet'!$D$94*MAX($B127-6,0))</f>
        <v/>
      </c>
      <c r="E127" s="350">
        <f>IFERROR(INDEX('D Fleet'!$E$5:$E$63,MATCH(E$3-$B127,'D Fleet'!$B$5:$B$63,0)),0)*IFERROR(INDEX('D Fleet'!$K$5:$K$36,INT(($B127/E$5))+1)+(($B127/E$5)-INT(($B127/E$5)))*(INDEX('D Fleet'!$K$5:$K$36,INT(($B127/E$5))+2)-INDEX('D Fleet'!$K$5:$K$36,INT(($B127/E$5))+1)),0)</f>
        <v/>
      </c>
      <c r="F127" s="350">
        <f>IFERROR(INDEX('D Fleet'!$E$5:$E$63,MATCH(F$3-$B127,'D Fleet'!$B$5:$B$63,0)),0)*IFERROR(INDEX('D Fleet'!$K$5:$K$36,INT(($B127/F$5))+1)+(($B127/F$5)-INT(($B127/F$5)))*(INDEX('D Fleet'!$K$5:$K$36,INT(($B127/F$5))+2)-INDEX('D Fleet'!$K$5:$K$36,INT(($B127/F$5))+1)),0)</f>
        <v/>
      </c>
      <c r="G127" s="350">
        <f>IFERROR(INDEX('D Fleet'!$E$5:$E$63,MATCH(G$3-$B127,'D Fleet'!$B$5:$B$63,0)),0)*IFERROR(INDEX('D Fleet'!$K$5:$K$36,INT(($B127/G$5))+1)+(($B127/G$5)-INT(($B127/G$5)))*(INDEX('D Fleet'!$K$5:$K$36,INT(($B127/G$5))+2)-INDEX('D Fleet'!$K$5:$K$36,INT(($B127/G$5))+1)),0)</f>
        <v/>
      </c>
      <c r="H127" s="350">
        <f>IFERROR(INDEX('D Fleet'!$E$5:$E$63,MATCH(H$3-$B127,'D Fleet'!$B$5:$B$63,0)),0)*IFERROR(INDEX('D Fleet'!$K$5:$K$36,INT(($B127/H$5))+1)+(($B127/H$5)-INT(($B127/H$5)))*(INDEX('D Fleet'!$K$5:$K$36,INT(($B127/H$5))+2)-INDEX('D Fleet'!$K$5:$K$36,INT(($B127/H$5))+1)),0)</f>
        <v/>
      </c>
      <c r="I127" s="350">
        <f>IFERROR(INDEX('D Fleet'!$E$5:$E$63,MATCH(I$3-$B127,'D Fleet'!$B$5:$B$63,0)),0)*IFERROR(INDEX('D Fleet'!$K$5:$K$36,INT(($B127/I$5))+1)+(($B127/I$5)-INT(($B127/I$5)))*(INDEX('D Fleet'!$K$5:$K$36,INT(($B127/I$5))+2)-INDEX('D Fleet'!$K$5:$K$36,INT(($B127/I$5))+1)),0)</f>
        <v/>
      </c>
      <c r="J127" s="350">
        <f>IFERROR(INDEX('D Fleet'!$E$5:$E$63,MATCH(J$3-$B127,'D Fleet'!$B$5:$B$63,0)),0)*IFERROR(INDEX('D Fleet'!$K$5:$K$36,INT(($B127/J$5))+1)+(($B127/J$5)-INT(($B127/J$5)))*(INDEX('D Fleet'!$K$5:$K$36,INT(($B127/J$5))+2)-INDEX('D Fleet'!$K$5:$K$36,INT(($B127/J$5))+1)),0)</f>
        <v/>
      </c>
      <c r="K127" s="350">
        <f>IFERROR(INDEX('D Fleet'!$E$5:$E$63,MATCH(K$3-$B127,'D Fleet'!$B$5:$B$63,0)),0)*IFERROR(INDEX('D Fleet'!$K$5:$K$36,INT(($B127/K$5))+1)+(($B127/K$5)-INT(($B127/K$5)))*(INDEX('D Fleet'!$K$5:$K$36,INT(($B127/K$5))+2)-INDEX('D Fleet'!$K$5:$K$36,INT(($B127/K$5))+1)),0)</f>
        <v/>
      </c>
      <c r="L127" s="350">
        <f>IFERROR(INDEX('D Fleet'!$E$5:$E$63,MATCH(L$3-$B127,'D Fleet'!$B$5:$B$63,0)),0)*IFERROR(INDEX('D Fleet'!$K$5:$K$36,INT(($B127/L$5))+1)+(($B127/L$5)-INT(($B127/L$5)))*(INDEX('D Fleet'!$K$5:$K$36,INT(($B127/L$5))+2)-INDEX('D Fleet'!$K$5:$K$36,INT(($B127/L$5))+1)),0)</f>
        <v/>
      </c>
      <c r="M127" s="350">
        <f>IFERROR(INDEX('D Fleet'!$E$5:$E$63,MATCH(M$3-$B127,'D Fleet'!$B$5:$B$63,0)),0)*IFERROR(INDEX('D Fleet'!$K$5:$K$36,INT(($B127/M$5))+1)+(($B127/M$5)-INT(($B127/M$5)))*(INDEX('D Fleet'!$K$5:$K$36,INT(($B127/M$5))+2)-INDEX('D Fleet'!$K$5:$K$36,INT(($B127/M$5))+1)),0)</f>
        <v/>
      </c>
      <c r="N127" s="350">
        <f>IFERROR(INDEX('D Fleet'!$E$5:$E$63,MATCH(N$3-$B127,'D Fleet'!$B$5:$B$63,0)),0)*IFERROR(INDEX('D Fleet'!$K$5:$K$36,INT(($B127/N$5))+1)+(($B127/N$5)-INT(($B127/N$5)))*(INDEX('D Fleet'!$K$5:$K$36,INT(($B127/N$5))+2)-INDEX('D Fleet'!$K$5:$K$36,INT(($B127/N$5))+1)),0)</f>
        <v/>
      </c>
      <c r="P127" s="350">
        <f>E127*$D127*'E1 Fleet'!$D$99</f>
        <v/>
      </c>
      <c r="Q127" s="350">
        <f>F127*$D127*'E1 Fleet'!$D$99</f>
        <v/>
      </c>
      <c r="R127" s="350">
        <f>G127*$D127*'E1 Fleet'!$D$99</f>
        <v/>
      </c>
      <c r="S127" s="350">
        <f>H127*$D127*'E1 Fleet'!$D$99</f>
        <v/>
      </c>
      <c r="T127" s="350">
        <f>I127*$D127*'E1 Fleet'!$D$99</f>
        <v/>
      </c>
      <c r="U127" s="350">
        <f>J127*$D127*'E1 Fleet'!$D$99</f>
        <v/>
      </c>
      <c r="V127" s="350">
        <f>K127*$D127*'E1 Fleet'!$D$99</f>
        <v/>
      </c>
      <c r="W127" s="350">
        <f>L127*$D127*'E1 Fleet'!$D$99</f>
        <v/>
      </c>
      <c r="X127" s="350">
        <f>M127*$D127*'E1 Fleet'!$D$99</f>
        <v/>
      </c>
      <c r="Y127" s="350">
        <f>N127*$D127*'E1 Fleet'!$D$99</f>
        <v/>
      </c>
    </row>
    <row r="128">
      <c r="A128" t="inlineStr">
        <is>
          <t>Pickup</t>
        </is>
      </c>
      <c r="B128" s="456" t="n">
        <v>29</v>
      </c>
      <c r="C128" s="456" t="n">
        <v>3</v>
      </c>
      <c r="D128" s="348">
        <f>IF($B128=0,'E1 Fleet'!$D$93,1)*EXP(-'E1 Fleet'!$D$94*MAX($B128-6,0))</f>
        <v/>
      </c>
      <c r="E128" s="350">
        <f>IFERROR(INDEX('D Fleet'!$E$5:$E$63,MATCH(E$3-$B128,'D Fleet'!$B$5:$B$63,0)),0)*IFERROR(INDEX('D Fleet'!$K$5:$K$36,INT(($B128/E$5))+1)+(($B128/E$5)-INT(($B128/E$5)))*(INDEX('D Fleet'!$K$5:$K$36,INT(($B128/E$5))+2)-INDEX('D Fleet'!$K$5:$K$36,INT(($B128/E$5))+1)),0)</f>
        <v/>
      </c>
      <c r="F128" s="350">
        <f>IFERROR(INDEX('D Fleet'!$E$5:$E$63,MATCH(F$3-$B128,'D Fleet'!$B$5:$B$63,0)),0)*IFERROR(INDEX('D Fleet'!$K$5:$K$36,INT(($B128/F$5))+1)+(($B128/F$5)-INT(($B128/F$5)))*(INDEX('D Fleet'!$K$5:$K$36,INT(($B128/F$5))+2)-INDEX('D Fleet'!$K$5:$K$36,INT(($B128/F$5))+1)),0)</f>
        <v/>
      </c>
      <c r="G128" s="350">
        <f>IFERROR(INDEX('D Fleet'!$E$5:$E$63,MATCH(G$3-$B128,'D Fleet'!$B$5:$B$63,0)),0)*IFERROR(INDEX('D Fleet'!$K$5:$K$36,INT(($B128/G$5))+1)+(($B128/G$5)-INT(($B128/G$5)))*(INDEX('D Fleet'!$K$5:$K$36,INT(($B128/G$5))+2)-INDEX('D Fleet'!$K$5:$K$36,INT(($B128/G$5))+1)),0)</f>
        <v/>
      </c>
      <c r="H128" s="350">
        <f>IFERROR(INDEX('D Fleet'!$E$5:$E$63,MATCH(H$3-$B128,'D Fleet'!$B$5:$B$63,0)),0)*IFERROR(INDEX('D Fleet'!$K$5:$K$36,INT(($B128/H$5))+1)+(($B128/H$5)-INT(($B128/H$5)))*(INDEX('D Fleet'!$K$5:$K$36,INT(($B128/H$5))+2)-INDEX('D Fleet'!$K$5:$K$36,INT(($B128/H$5))+1)),0)</f>
        <v/>
      </c>
      <c r="I128" s="350">
        <f>IFERROR(INDEX('D Fleet'!$E$5:$E$63,MATCH(I$3-$B128,'D Fleet'!$B$5:$B$63,0)),0)*IFERROR(INDEX('D Fleet'!$K$5:$K$36,INT(($B128/I$5))+1)+(($B128/I$5)-INT(($B128/I$5)))*(INDEX('D Fleet'!$K$5:$K$36,INT(($B128/I$5))+2)-INDEX('D Fleet'!$K$5:$K$36,INT(($B128/I$5))+1)),0)</f>
        <v/>
      </c>
      <c r="J128" s="350">
        <f>IFERROR(INDEX('D Fleet'!$E$5:$E$63,MATCH(J$3-$B128,'D Fleet'!$B$5:$B$63,0)),0)*IFERROR(INDEX('D Fleet'!$K$5:$K$36,INT(($B128/J$5))+1)+(($B128/J$5)-INT(($B128/J$5)))*(INDEX('D Fleet'!$K$5:$K$36,INT(($B128/J$5))+2)-INDEX('D Fleet'!$K$5:$K$36,INT(($B128/J$5))+1)),0)</f>
        <v/>
      </c>
      <c r="K128" s="350">
        <f>IFERROR(INDEX('D Fleet'!$E$5:$E$63,MATCH(K$3-$B128,'D Fleet'!$B$5:$B$63,0)),0)*IFERROR(INDEX('D Fleet'!$K$5:$K$36,INT(($B128/K$5))+1)+(($B128/K$5)-INT(($B128/K$5)))*(INDEX('D Fleet'!$K$5:$K$36,INT(($B128/K$5))+2)-INDEX('D Fleet'!$K$5:$K$36,INT(($B128/K$5))+1)),0)</f>
        <v/>
      </c>
      <c r="L128" s="350">
        <f>IFERROR(INDEX('D Fleet'!$E$5:$E$63,MATCH(L$3-$B128,'D Fleet'!$B$5:$B$63,0)),0)*IFERROR(INDEX('D Fleet'!$K$5:$K$36,INT(($B128/L$5))+1)+(($B128/L$5)-INT(($B128/L$5)))*(INDEX('D Fleet'!$K$5:$K$36,INT(($B128/L$5))+2)-INDEX('D Fleet'!$K$5:$K$36,INT(($B128/L$5))+1)),0)</f>
        <v/>
      </c>
      <c r="M128" s="350">
        <f>IFERROR(INDEX('D Fleet'!$E$5:$E$63,MATCH(M$3-$B128,'D Fleet'!$B$5:$B$63,0)),0)*IFERROR(INDEX('D Fleet'!$K$5:$K$36,INT(($B128/M$5))+1)+(($B128/M$5)-INT(($B128/M$5)))*(INDEX('D Fleet'!$K$5:$K$36,INT(($B128/M$5))+2)-INDEX('D Fleet'!$K$5:$K$36,INT(($B128/M$5))+1)),0)</f>
        <v/>
      </c>
      <c r="N128" s="350">
        <f>IFERROR(INDEX('D Fleet'!$E$5:$E$63,MATCH(N$3-$B128,'D Fleet'!$B$5:$B$63,0)),0)*IFERROR(INDEX('D Fleet'!$K$5:$K$36,INT(($B128/N$5))+1)+(($B128/N$5)-INT(($B128/N$5)))*(INDEX('D Fleet'!$K$5:$K$36,INT(($B128/N$5))+2)-INDEX('D Fleet'!$K$5:$K$36,INT(($B128/N$5))+1)),0)</f>
        <v/>
      </c>
      <c r="P128" s="350">
        <f>E128*$D128*'E1 Fleet'!$D$99</f>
        <v/>
      </c>
      <c r="Q128" s="350">
        <f>F128*$D128*'E1 Fleet'!$D$99</f>
        <v/>
      </c>
      <c r="R128" s="350">
        <f>G128*$D128*'E1 Fleet'!$D$99</f>
        <v/>
      </c>
      <c r="S128" s="350">
        <f>H128*$D128*'E1 Fleet'!$D$99</f>
        <v/>
      </c>
      <c r="T128" s="350">
        <f>I128*$D128*'E1 Fleet'!$D$99</f>
        <v/>
      </c>
      <c r="U128" s="350">
        <f>J128*$D128*'E1 Fleet'!$D$99</f>
        <v/>
      </c>
      <c r="V128" s="350">
        <f>K128*$D128*'E1 Fleet'!$D$99</f>
        <v/>
      </c>
      <c r="W128" s="350">
        <f>L128*$D128*'E1 Fleet'!$D$99</f>
        <v/>
      </c>
      <c r="X128" s="350">
        <f>M128*$D128*'E1 Fleet'!$D$99</f>
        <v/>
      </c>
      <c r="Y128" s="350">
        <f>N128*$D128*'E1 Fleet'!$D$99</f>
        <v/>
      </c>
    </row>
    <row r="129">
      <c r="A129" t="inlineStr">
        <is>
          <t>Pickup</t>
        </is>
      </c>
      <c r="B129" s="456" t="n">
        <v>30</v>
      </c>
      <c r="C129" s="456" t="n">
        <v>3</v>
      </c>
      <c r="D129" s="348">
        <f>IF($B129=0,'E1 Fleet'!$D$93,1)*EXP(-'E1 Fleet'!$D$94*MAX($B129-6,0))</f>
        <v/>
      </c>
      <c r="E129" s="350">
        <f>IFERROR(INDEX('D Fleet'!$E$5:$E$63,MATCH(E$3-$B129,'D Fleet'!$B$5:$B$63,0)),0)*IFERROR(INDEX('D Fleet'!$K$5:$K$36,INT(($B129/E$5))+1)+(($B129/E$5)-INT(($B129/E$5)))*(INDEX('D Fleet'!$K$5:$K$36,INT(($B129/E$5))+2)-INDEX('D Fleet'!$K$5:$K$36,INT(($B129/E$5))+1)),0)</f>
        <v/>
      </c>
      <c r="F129" s="350">
        <f>IFERROR(INDEX('D Fleet'!$E$5:$E$63,MATCH(F$3-$B129,'D Fleet'!$B$5:$B$63,0)),0)*IFERROR(INDEX('D Fleet'!$K$5:$K$36,INT(($B129/F$5))+1)+(($B129/F$5)-INT(($B129/F$5)))*(INDEX('D Fleet'!$K$5:$K$36,INT(($B129/F$5))+2)-INDEX('D Fleet'!$K$5:$K$36,INT(($B129/F$5))+1)),0)</f>
        <v/>
      </c>
      <c r="G129" s="350">
        <f>IFERROR(INDEX('D Fleet'!$E$5:$E$63,MATCH(G$3-$B129,'D Fleet'!$B$5:$B$63,0)),0)*IFERROR(INDEX('D Fleet'!$K$5:$K$36,INT(($B129/G$5))+1)+(($B129/G$5)-INT(($B129/G$5)))*(INDEX('D Fleet'!$K$5:$K$36,INT(($B129/G$5))+2)-INDEX('D Fleet'!$K$5:$K$36,INT(($B129/G$5))+1)),0)</f>
        <v/>
      </c>
      <c r="H129" s="350">
        <f>IFERROR(INDEX('D Fleet'!$E$5:$E$63,MATCH(H$3-$B129,'D Fleet'!$B$5:$B$63,0)),0)*IFERROR(INDEX('D Fleet'!$K$5:$K$36,INT(($B129/H$5))+1)+(($B129/H$5)-INT(($B129/H$5)))*(INDEX('D Fleet'!$K$5:$K$36,INT(($B129/H$5))+2)-INDEX('D Fleet'!$K$5:$K$36,INT(($B129/H$5))+1)),0)</f>
        <v/>
      </c>
      <c r="I129" s="350">
        <f>IFERROR(INDEX('D Fleet'!$E$5:$E$63,MATCH(I$3-$B129,'D Fleet'!$B$5:$B$63,0)),0)*IFERROR(INDEX('D Fleet'!$K$5:$K$36,INT(($B129/I$5))+1)+(($B129/I$5)-INT(($B129/I$5)))*(INDEX('D Fleet'!$K$5:$K$36,INT(($B129/I$5))+2)-INDEX('D Fleet'!$K$5:$K$36,INT(($B129/I$5))+1)),0)</f>
        <v/>
      </c>
      <c r="J129" s="350">
        <f>IFERROR(INDEX('D Fleet'!$E$5:$E$63,MATCH(J$3-$B129,'D Fleet'!$B$5:$B$63,0)),0)*IFERROR(INDEX('D Fleet'!$K$5:$K$36,INT(($B129/J$5))+1)+(($B129/J$5)-INT(($B129/J$5)))*(INDEX('D Fleet'!$K$5:$K$36,INT(($B129/J$5))+2)-INDEX('D Fleet'!$K$5:$K$36,INT(($B129/J$5))+1)),0)</f>
        <v/>
      </c>
      <c r="K129" s="350">
        <f>IFERROR(INDEX('D Fleet'!$E$5:$E$63,MATCH(K$3-$B129,'D Fleet'!$B$5:$B$63,0)),0)*IFERROR(INDEX('D Fleet'!$K$5:$K$36,INT(($B129/K$5))+1)+(($B129/K$5)-INT(($B129/K$5)))*(INDEX('D Fleet'!$K$5:$K$36,INT(($B129/K$5))+2)-INDEX('D Fleet'!$K$5:$K$36,INT(($B129/K$5))+1)),0)</f>
        <v/>
      </c>
      <c r="L129" s="350">
        <f>IFERROR(INDEX('D Fleet'!$E$5:$E$63,MATCH(L$3-$B129,'D Fleet'!$B$5:$B$63,0)),0)*IFERROR(INDEX('D Fleet'!$K$5:$K$36,INT(($B129/L$5))+1)+(($B129/L$5)-INT(($B129/L$5)))*(INDEX('D Fleet'!$K$5:$K$36,INT(($B129/L$5))+2)-INDEX('D Fleet'!$K$5:$K$36,INT(($B129/L$5))+1)),0)</f>
        <v/>
      </c>
      <c r="M129" s="350">
        <f>IFERROR(INDEX('D Fleet'!$E$5:$E$63,MATCH(M$3-$B129,'D Fleet'!$B$5:$B$63,0)),0)*IFERROR(INDEX('D Fleet'!$K$5:$K$36,INT(($B129/M$5))+1)+(($B129/M$5)-INT(($B129/M$5)))*(INDEX('D Fleet'!$K$5:$K$36,INT(($B129/M$5))+2)-INDEX('D Fleet'!$K$5:$K$36,INT(($B129/M$5))+1)),0)</f>
        <v/>
      </c>
      <c r="N129" s="350">
        <f>IFERROR(INDEX('D Fleet'!$E$5:$E$63,MATCH(N$3-$B129,'D Fleet'!$B$5:$B$63,0)),0)*IFERROR(INDEX('D Fleet'!$K$5:$K$36,INT(($B129/N$5))+1)+(($B129/N$5)-INT(($B129/N$5)))*(INDEX('D Fleet'!$K$5:$K$36,INT(($B129/N$5))+2)-INDEX('D Fleet'!$K$5:$K$36,INT(($B129/N$5))+1)),0)</f>
        <v/>
      </c>
      <c r="P129" s="350">
        <f>E129*$D129*'E1 Fleet'!$D$99</f>
        <v/>
      </c>
      <c r="Q129" s="350">
        <f>F129*$D129*'E1 Fleet'!$D$99</f>
        <v/>
      </c>
      <c r="R129" s="350">
        <f>G129*$D129*'E1 Fleet'!$D$99</f>
        <v/>
      </c>
      <c r="S129" s="350">
        <f>H129*$D129*'E1 Fleet'!$D$99</f>
        <v/>
      </c>
      <c r="T129" s="350">
        <f>I129*$D129*'E1 Fleet'!$D$99</f>
        <v/>
      </c>
      <c r="U129" s="350">
        <f>J129*$D129*'E1 Fleet'!$D$99</f>
        <v/>
      </c>
      <c r="V129" s="350">
        <f>K129*$D129*'E1 Fleet'!$D$99</f>
        <v/>
      </c>
      <c r="W129" s="350">
        <f>L129*$D129*'E1 Fleet'!$D$99</f>
        <v/>
      </c>
      <c r="X129" s="350">
        <f>M129*$D129*'E1 Fleet'!$D$99</f>
        <v/>
      </c>
      <c r="Y129" s="350">
        <f>N129*$D129*'E1 Fleet'!$D$99</f>
        <v/>
      </c>
    </row>
    <row r="130">
      <c r="A130" t="inlineStr">
        <is>
          <t>Pickup</t>
        </is>
      </c>
      <c r="B130" s="456" t="n">
        <v>31</v>
      </c>
      <c r="C130" s="456" t="n">
        <v>3</v>
      </c>
      <c r="D130" s="348">
        <f>IF($B130=0,'E1 Fleet'!$D$93,1)*EXP(-'E1 Fleet'!$D$94*MAX($B130-6,0))</f>
        <v/>
      </c>
      <c r="E130" s="350">
        <f>IFERROR(INDEX('D Fleet'!$E$5:$E$63,MATCH(E$3-$B130,'D Fleet'!$B$5:$B$63,0)),0)*IFERROR(INDEX('D Fleet'!$K$5:$K$36,INT(($B130/E$5))+1)+(($B130/E$5)-INT(($B130/E$5)))*(INDEX('D Fleet'!$K$5:$K$36,INT(($B130/E$5))+2)-INDEX('D Fleet'!$K$5:$K$36,INT(($B130/E$5))+1)),0)</f>
        <v/>
      </c>
      <c r="F130" s="350">
        <f>IFERROR(INDEX('D Fleet'!$E$5:$E$63,MATCH(F$3-$B130,'D Fleet'!$B$5:$B$63,0)),0)*IFERROR(INDEX('D Fleet'!$K$5:$K$36,INT(($B130/F$5))+1)+(($B130/F$5)-INT(($B130/F$5)))*(INDEX('D Fleet'!$K$5:$K$36,INT(($B130/F$5))+2)-INDEX('D Fleet'!$K$5:$K$36,INT(($B130/F$5))+1)),0)</f>
        <v/>
      </c>
      <c r="G130" s="350">
        <f>IFERROR(INDEX('D Fleet'!$E$5:$E$63,MATCH(G$3-$B130,'D Fleet'!$B$5:$B$63,0)),0)*IFERROR(INDEX('D Fleet'!$K$5:$K$36,INT(($B130/G$5))+1)+(($B130/G$5)-INT(($B130/G$5)))*(INDEX('D Fleet'!$K$5:$K$36,INT(($B130/G$5))+2)-INDEX('D Fleet'!$K$5:$K$36,INT(($B130/G$5))+1)),0)</f>
        <v/>
      </c>
      <c r="H130" s="350">
        <f>IFERROR(INDEX('D Fleet'!$E$5:$E$63,MATCH(H$3-$B130,'D Fleet'!$B$5:$B$63,0)),0)*IFERROR(INDEX('D Fleet'!$K$5:$K$36,INT(($B130/H$5))+1)+(($B130/H$5)-INT(($B130/H$5)))*(INDEX('D Fleet'!$K$5:$K$36,INT(($B130/H$5))+2)-INDEX('D Fleet'!$K$5:$K$36,INT(($B130/H$5))+1)),0)</f>
        <v/>
      </c>
      <c r="I130" s="350">
        <f>IFERROR(INDEX('D Fleet'!$E$5:$E$63,MATCH(I$3-$B130,'D Fleet'!$B$5:$B$63,0)),0)*IFERROR(INDEX('D Fleet'!$K$5:$K$36,INT(($B130/I$5))+1)+(($B130/I$5)-INT(($B130/I$5)))*(INDEX('D Fleet'!$K$5:$K$36,INT(($B130/I$5))+2)-INDEX('D Fleet'!$K$5:$K$36,INT(($B130/I$5))+1)),0)</f>
        <v/>
      </c>
      <c r="J130" s="350">
        <f>IFERROR(INDEX('D Fleet'!$E$5:$E$63,MATCH(J$3-$B130,'D Fleet'!$B$5:$B$63,0)),0)*IFERROR(INDEX('D Fleet'!$K$5:$K$36,INT(($B130/J$5))+1)+(($B130/J$5)-INT(($B130/J$5)))*(INDEX('D Fleet'!$K$5:$K$36,INT(($B130/J$5))+2)-INDEX('D Fleet'!$K$5:$K$36,INT(($B130/J$5))+1)),0)</f>
        <v/>
      </c>
      <c r="K130" s="350">
        <f>IFERROR(INDEX('D Fleet'!$E$5:$E$63,MATCH(K$3-$B130,'D Fleet'!$B$5:$B$63,0)),0)*IFERROR(INDEX('D Fleet'!$K$5:$K$36,INT(($B130/K$5))+1)+(($B130/K$5)-INT(($B130/K$5)))*(INDEX('D Fleet'!$K$5:$K$36,INT(($B130/K$5))+2)-INDEX('D Fleet'!$K$5:$K$36,INT(($B130/K$5))+1)),0)</f>
        <v/>
      </c>
      <c r="L130" s="350">
        <f>IFERROR(INDEX('D Fleet'!$E$5:$E$63,MATCH(L$3-$B130,'D Fleet'!$B$5:$B$63,0)),0)*IFERROR(INDEX('D Fleet'!$K$5:$K$36,INT(($B130/L$5))+1)+(($B130/L$5)-INT(($B130/L$5)))*(INDEX('D Fleet'!$K$5:$K$36,INT(($B130/L$5))+2)-INDEX('D Fleet'!$K$5:$K$36,INT(($B130/L$5))+1)),0)</f>
        <v/>
      </c>
      <c r="M130" s="350">
        <f>IFERROR(INDEX('D Fleet'!$E$5:$E$63,MATCH(M$3-$B130,'D Fleet'!$B$5:$B$63,0)),0)*IFERROR(INDEX('D Fleet'!$K$5:$K$36,INT(($B130/M$5))+1)+(($B130/M$5)-INT(($B130/M$5)))*(INDEX('D Fleet'!$K$5:$K$36,INT(($B130/M$5))+2)-INDEX('D Fleet'!$K$5:$K$36,INT(($B130/M$5))+1)),0)</f>
        <v/>
      </c>
      <c r="N130" s="350">
        <f>IFERROR(INDEX('D Fleet'!$E$5:$E$63,MATCH(N$3-$B130,'D Fleet'!$B$5:$B$63,0)),0)*IFERROR(INDEX('D Fleet'!$K$5:$K$36,INT(($B130/N$5))+1)+(($B130/N$5)-INT(($B130/N$5)))*(INDEX('D Fleet'!$K$5:$K$36,INT(($B130/N$5))+2)-INDEX('D Fleet'!$K$5:$K$36,INT(($B130/N$5))+1)),0)</f>
        <v/>
      </c>
      <c r="P130" s="350">
        <f>E130*$D130*'E1 Fleet'!$D$99</f>
        <v/>
      </c>
      <c r="Q130" s="350">
        <f>F130*$D130*'E1 Fleet'!$D$99</f>
        <v/>
      </c>
      <c r="R130" s="350">
        <f>G130*$D130*'E1 Fleet'!$D$99</f>
        <v/>
      </c>
      <c r="S130" s="350">
        <f>H130*$D130*'E1 Fleet'!$D$99</f>
        <v/>
      </c>
      <c r="T130" s="350">
        <f>I130*$D130*'E1 Fleet'!$D$99</f>
        <v/>
      </c>
      <c r="U130" s="350">
        <f>J130*$D130*'E1 Fleet'!$D$99</f>
        <v/>
      </c>
      <c r="V130" s="350">
        <f>K130*$D130*'E1 Fleet'!$D$99</f>
        <v/>
      </c>
      <c r="W130" s="350">
        <f>L130*$D130*'E1 Fleet'!$D$99</f>
        <v/>
      </c>
      <c r="X130" s="350">
        <f>M130*$D130*'E1 Fleet'!$D$99</f>
        <v/>
      </c>
      <c r="Y130" s="350">
        <f>N130*$D130*'E1 Fleet'!$D$99</f>
        <v/>
      </c>
    </row>
    <row r="131">
      <c r="A131" t="inlineStr">
        <is>
          <t>Pickup</t>
        </is>
      </c>
      <c r="B131" s="456" t="n">
        <v>32</v>
      </c>
      <c r="C131" s="456" t="n">
        <v>3</v>
      </c>
      <c r="D131" s="348">
        <f>IF($B131=0,'E1 Fleet'!$D$93,1)*EXP(-'E1 Fleet'!$D$94*MAX($B131-6,0))</f>
        <v/>
      </c>
      <c r="E131" s="350">
        <f>IFERROR(INDEX('D Fleet'!$E$5:$E$63,MATCH(E$3-$B131,'D Fleet'!$B$5:$B$63,0)),0)*IFERROR(INDEX('D Fleet'!$K$5:$K$36,INT(($B131/E$5))+1)+(($B131/E$5)-INT(($B131/E$5)))*(INDEX('D Fleet'!$K$5:$K$36,INT(($B131/E$5))+2)-INDEX('D Fleet'!$K$5:$K$36,INT(($B131/E$5))+1)),0)</f>
        <v/>
      </c>
      <c r="F131" s="350">
        <f>IFERROR(INDEX('D Fleet'!$E$5:$E$63,MATCH(F$3-$B131,'D Fleet'!$B$5:$B$63,0)),0)*IFERROR(INDEX('D Fleet'!$K$5:$K$36,INT(($B131/F$5))+1)+(($B131/F$5)-INT(($B131/F$5)))*(INDEX('D Fleet'!$K$5:$K$36,INT(($B131/F$5))+2)-INDEX('D Fleet'!$K$5:$K$36,INT(($B131/F$5))+1)),0)</f>
        <v/>
      </c>
      <c r="G131" s="350">
        <f>IFERROR(INDEX('D Fleet'!$E$5:$E$63,MATCH(G$3-$B131,'D Fleet'!$B$5:$B$63,0)),0)*IFERROR(INDEX('D Fleet'!$K$5:$K$36,INT(($B131/G$5))+1)+(($B131/G$5)-INT(($B131/G$5)))*(INDEX('D Fleet'!$K$5:$K$36,INT(($B131/G$5))+2)-INDEX('D Fleet'!$K$5:$K$36,INT(($B131/G$5))+1)),0)</f>
        <v/>
      </c>
      <c r="H131" s="350">
        <f>IFERROR(INDEX('D Fleet'!$E$5:$E$63,MATCH(H$3-$B131,'D Fleet'!$B$5:$B$63,0)),0)*IFERROR(INDEX('D Fleet'!$K$5:$K$36,INT(($B131/H$5))+1)+(($B131/H$5)-INT(($B131/H$5)))*(INDEX('D Fleet'!$K$5:$K$36,INT(($B131/H$5))+2)-INDEX('D Fleet'!$K$5:$K$36,INT(($B131/H$5))+1)),0)</f>
        <v/>
      </c>
      <c r="I131" s="350">
        <f>IFERROR(INDEX('D Fleet'!$E$5:$E$63,MATCH(I$3-$B131,'D Fleet'!$B$5:$B$63,0)),0)*IFERROR(INDEX('D Fleet'!$K$5:$K$36,INT(($B131/I$5))+1)+(($B131/I$5)-INT(($B131/I$5)))*(INDEX('D Fleet'!$K$5:$K$36,INT(($B131/I$5))+2)-INDEX('D Fleet'!$K$5:$K$36,INT(($B131/I$5))+1)),0)</f>
        <v/>
      </c>
      <c r="J131" s="350">
        <f>IFERROR(INDEX('D Fleet'!$E$5:$E$63,MATCH(J$3-$B131,'D Fleet'!$B$5:$B$63,0)),0)*IFERROR(INDEX('D Fleet'!$K$5:$K$36,INT(($B131/J$5))+1)+(($B131/J$5)-INT(($B131/J$5)))*(INDEX('D Fleet'!$K$5:$K$36,INT(($B131/J$5))+2)-INDEX('D Fleet'!$K$5:$K$36,INT(($B131/J$5))+1)),0)</f>
        <v/>
      </c>
      <c r="K131" s="350">
        <f>IFERROR(INDEX('D Fleet'!$E$5:$E$63,MATCH(K$3-$B131,'D Fleet'!$B$5:$B$63,0)),0)*IFERROR(INDEX('D Fleet'!$K$5:$K$36,INT(($B131/K$5))+1)+(($B131/K$5)-INT(($B131/K$5)))*(INDEX('D Fleet'!$K$5:$K$36,INT(($B131/K$5))+2)-INDEX('D Fleet'!$K$5:$K$36,INT(($B131/K$5))+1)),0)</f>
        <v/>
      </c>
      <c r="L131" s="350">
        <f>IFERROR(INDEX('D Fleet'!$E$5:$E$63,MATCH(L$3-$B131,'D Fleet'!$B$5:$B$63,0)),0)*IFERROR(INDEX('D Fleet'!$K$5:$K$36,INT(($B131/L$5))+1)+(($B131/L$5)-INT(($B131/L$5)))*(INDEX('D Fleet'!$K$5:$K$36,INT(($B131/L$5))+2)-INDEX('D Fleet'!$K$5:$K$36,INT(($B131/L$5))+1)),0)</f>
        <v/>
      </c>
      <c r="M131" s="350">
        <f>IFERROR(INDEX('D Fleet'!$E$5:$E$63,MATCH(M$3-$B131,'D Fleet'!$B$5:$B$63,0)),0)*IFERROR(INDEX('D Fleet'!$K$5:$K$36,INT(($B131/M$5))+1)+(($B131/M$5)-INT(($B131/M$5)))*(INDEX('D Fleet'!$K$5:$K$36,INT(($B131/M$5))+2)-INDEX('D Fleet'!$K$5:$K$36,INT(($B131/M$5))+1)),0)</f>
        <v/>
      </c>
      <c r="N131" s="350">
        <f>IFERROR(INDEX('D Fleet'!$E$5:$E$63,MATCH(N$3-$B131,'D Fleet'!$B$5:$B$63,0)),0)*IFERROR(INDEX('D Fleet'!$K$5:$K$36,INT(($B131/N$5))+1)+(($B131/N$5)-INT(($B131/N$5)))*(INDEX('D Fleet'!$K$5:$K$36,INT(($B131/N$5))+2)-INDEX('D Fleet'!$K$5:$K$36,INT(($B131/N$5))+1)),0)</f>
        <v/>
      </c>
      <c r="P131" s="350">
        <f>E131*$D131*'E1 Fleet'!$D$99</f>
        <v/>
      </c>
      <c r="Q131" s="350">
        <f>F131*$D131*'E1 Fleet'!$D$99</f>
        <v/>
      </c>
      <c r="R131" s="350">
        <f>G131*$D131*'E1 Fleet'!$D$99</f>
        <v/>
      </c>
      <c r="S131" s="350">
        <f>H131*$D131*'E1 Fleet'!$D$99</f>
        <v/>
      </c>
      <c r="T131" s="350">
        <f>I131*$D131*'E1 Fleet'!$D$99</f>
        <v/>
      </c>
      <c r="U131" s="350">
        <f>J131*$D131*'E1 Fleet'!$D$99</f>
        <v/>
      </c>
      <c r="V131" s="350">
        <f>K131*$D131*'E1 Fleet'!$D$99</f>
        <v/>
      </c>
      <c r="W131" s="350">
        <f>L131*$D131*'E1 Fleet'!$D$99</f>
        <v/>
      </c>
      <c r="X131" s="350">
        <f>M131*$D131*'E1 Fleet'!$D$99</f>
        <v/>
      </c>
      <c r="Y131" s="350">
        <f>N131*$D131*'E1 Fleet'!$D$99</f>
        <v/>
      </c>
    </row>
    <row r="132">
      <c r="A132" t="inlineStr">
        <is>
          <t>Pickup</t>
        </is>
      </c>
      <c r="B132" s="456" t="n">
        <v>33</v>
      </c>
      <c r="C132" s="456" t="n">
        <v>3</v>
      </c>
      <c r="D132" s="348">
        <f>IF($B132=0,'E1 Fleet'!$D$93,1)*EXP(-'E1 Fleet'!$D$94*MAX($B132-6,0))</f>
        <v/>
      </c>
      <c r="E132" s="350">
        <f>IFERROR(INDEX('D Fleet'!$E$5:$E$63,MATCH(E$3-$B132,'D Fleet'!$B$5:$B$63,0)),0)*IFERROR(INDEX('D Fleet'!$K$5:$K$36,INT(($B132/E$5))+1)+(($B132/E$5)-INT(($B132/E$5)))*(INDEX('D Fleet'!$K$5:$K$36,INT(($B132/E$5))+2)-INDEX('D Fleet'!$K$5:$K$36,INT(($B132/E$5))+1)),0)</f>
        <v/>
      </c>
      <c r="F132" s="350">
        <f>IFERROR(INDEX('D Fleet'!$E$5:$E$63,MATCH(F$3-$B132,'D Fleet'!$B$5:$B$63,0)),0)*IFERROR(INDEX('D Fleet'!$K$5:$K$36,INT(($B132/F$5))+1)+(($B132/F$5)-INT(($B132/F$5)))*(INDEX('D Fleet'!$K$5:$K$36,INT(($B132/F$5))+2)-INDEX('D Fleet'!$K$5:$K$36,INT(($B132/F$5))+1)),0)</f>
        <v/>
      </c>
      <c r="G132" s="350">
        <f>IFERROR(INDEX('D Fleet'!$E$5:$E$63,MATCH(G$3-$B132,'D Fleet'!$B$5:$B$63,0)),0)*IFERROR(INDEX('D Fleet'!$K$5:$K$36,INT(($B132/G$5))+1)+(($B132/G$5)-INT(($B132/G$5)))*(INDEX('D Fleet'!$K$5:$K$36,INT(($B132/G$5))+2)-INDEX('D Fleet'!$K$5:$K$36,INT(($B132/G$5))+1)),0)</f>
        <v/>
      </c>
      <c r="H132" s="350">
        <f>IFERROR(INDEX('D Fleet'!$E$5:$E$63,MATCH(H$3-$B132,'D Fleet'!$B$5:$B$63,0)),0)*IFERROR(INDEX('D Fleet'!$K$5:$K$36,INT(($B132/H$5))+1)+(($B132/H$5)-INT(($B132/H$5)))*(INDEX('D Fleet'!$K$5:$K$36,INT(($B132/H$5))+2)-INDEX('D Fleet'!$K$5:$K$36,INT(($B132/H$5))+1)),0)</f>
        <v/>
      </c>
      <c r="I132" s="350">
        <f>IFERROR(INDEX('D Fleet'!$E$5:$E$63,MATCH(I$3-$B132,'D Fleet'!$B$5:$B$63,0)),0)*IFERROR(INDEX('D Fleet'!$K$5:$K$36,INT(($B132/I$5))+1)+(($B132/I$5)-INT(($B132/I$5)))*(INDEX('D Fleet'!$K$5:$K$36,INT(($B132/I$5))+2)-INDEX('D Fleet'!$K$5:$K$36,INT(($B132/I$5))+1)),0)</f>
        <v/>
      </c>
      <c r="J132" s="350">
        <f>IFERROR(INDEX('D Fleet'!$E$5:$E$63,MATCH(J$3-$B132,'D Fleet'!$B$5:$B$63,0)),0)*IFERROR(INDEX('D Fleet'!$K$5:$K$36,INT(($B132/J$5))+1)+(($B132/J$5)-INT(($B132/J$5)))*(INDEX('D Fleet'!$K$5:$K$36,INT(($B132/J$5))+2)-INDEX('D Fleet'!$K$5:$K$36,INT(($B132/J$5))+1)),0)</f>
        <v/>
      </c>
      <c r="K132" s="350">
        <f>IFERROR(INDEX('D Fleet'!$E$5:$E$63,MATCH(K$3-$B132,'D Fleet'!$B$5:$B$63,0)),0)*IFERROR(INDEX('D Fleet'!$K$5:$K$36,INT(($B132/K$5))+1)+(($B132/K$5)-INT(($B132/K$5)))*(INDEX('D Fleet'!$K$5:$K$36,INT(($B132/K$5))+2)-INDEX('D Fleet'!$K$5:$K$36,INT(($B132/K$5))+1)),0)</f>
        <v/>
      </c>
      <c r="L132" s="350">
        <f>IFERROR(INDEX('D Fleet'!$E$5:$E$63,MATCH(L$3-$B132,'D Fleet'!$B$5:$B$63,0)),0)*IFERROR(INDEX('D Fleet'!$K$5:$K$36,INT(($B132/L$5))+1)+(($B132/L$5)-INT(($B132/L$5)))*(INDEX('D Fleet'!$K$5:$K$36,INT(($B132/L$5))+2)-INDEX('D Fleet'!$K$5:$K$36,INT(($B132/L$5))+1)),0)</f>
        <v/>
      </c>
      <c r="M132" s="350">
        <f>IFERROR(INDEX('D Fleet'!$E$5:$E$63,MATCH(M$3-$B132,'D Fleet'!$B$5:$B$63,0)),0)*IFERROR(INDEX('D Fleet'!$K$5:$K$36,INT(($B132/M$5))+1)+(($B132/M$5)-INT(($B132/M$5)))*(INDEX('D Fleet'!$K$5:$K$36,INT(($B132/M$5))+2)-INDEX('D Fleet'!$K$5:$K$36,INT(($B132/M$5))+1)),0)</f>
        <v/>
      </c>
      <c r="N132" s="350">
        <f>IFERROR(INDEX('D Fleet'!$E$5:$E$63,MATCH(N$3-$B132,'D Fleet'!$B$5:$B$63,0)),0)*IFERROR(INDEX('D Fleet'!$K$5:$K$36,INT(($B132/N$5))+1)+(($B132/N$5)-INT(($B132/N$5)))*(INDEX('D Fleet'!$K$5:$K$36,INT(($B132/N$5))+2)-INDEX('D Fleet'!$K$5:$K$36,INT(($B132/N$5))+1)),0)</f>
        <v/>
      </c>
      <c r="P132" s="350">
        <f>E132*$D132*'E1 Fleet'!$D$99</f>
        <v/>
      </c>
      <c r="Q132" s="350">
        <f>F132*$D132*'E1 Fleet'!$D$99</f>
        <v/>
      </c>
      <c r="R132" s="350">
        <f>G132*$D132*'E1 Fleet'!$D$99</f>
        <v/>
      </c>
      <c r="S132" s="350">
        <f>H132*$D132*'E1 Fleet'!$D$99</f>
        <v/>
      </c>
      <c r="T132" s="350">
        <f>I132*$D132*'E1 Fleet'!$D$99</f>
        <v/>
      </c>
      <c r="U132" s="350">
        <f>J132*$D132*'E1 Fleet'!$D$99</f>
        <v/>
      </c>
      <c r="V132" s="350">
        <f>K132*$D132*'E1 Fleet'!$D$99</f>
        <v/>
      </c>
      <c r="W132" s="350">
        <f>L132*$D132*'E1 Fleet'!$D$99</f>
        <v/>
      </c>
      <c r="X132" s="350">
        <f>M132*$D132*'E1 Fleet'!$D$99</f>
        <v/>
      </c>
      <c r="Y132" s="350">
        <f>N132*$D132*'E1 Fleet'!$D$99</f>
        <v/>
      </c>
    </row>
    <row r="133">
      <c r="A133" t="inlineStr">
        <is>
          <t>Pickup</t>
        </is>
      </c>
      <c r="B133" s="456" t="n">
        <v>34</v>
      </c>
      <c r="C133" s="456" t="n">
        <v>3</v>
      </c>
      <c r="D133" s="348">
        <f>IF($B133=0,'E1 Fleet'!$D$93,1)*EXP(-'E1 Fleet'!$D$94*MAX($B133-6,0))</f>
        <v/>
      </c>
      <c r="E133" s="350">
        <f>IFERROR(INDEX('D Fleet'!$E$5:$E$63,MATCH(E$3-$B133,'D Fleet'!$B$5:$B$63,0)),0)*IFERROR(INDEX('D Fleet'!$K$5:$K$36,INT(($B133/E$5))+1)+(($B133/E$5)-INT(($B133/E$5)))*(INDEX('D Fleet'!$K$5:$K$36,INT(($B133/E$5))+2)-INDEX('D Fleet'!$K$5:$K$36,INT(($B133/E$5))+1)),0)</f>
        <v/>
      </c>
      <c r="F133" s="350">
        <f>IFERROR(INDEX('D Fleet'!$E$5:$E$63,MATCH(F$3-$B133,'D Fleet'!$B$5:$B$63,0)),0)*IFERROR(INDEX('D Fleet'!$K$5:$K$36,INT(($B133/F$5))+1)+(($B133/F$5)-INT(($B133/F$5)))*(INDEX('D Fleet'!$K$5:$K$36,INT(($B133/F$5))+2)-INDEX('D Fleet'!$K$5:$K$36,INT(($B133/F$5))+1)),0)</f>
        <v/>
      </c>
      <c r="G133" s="350">
        <f>IFERROR(INDEX('D Fleet'!$E$5:$E$63,MATCH(G$3-$B133,'D Fleet'!$B$5:$B$63,0)),0)*IFERROR(INDEX('D Fleet'!$K$5:$K$36,INT(($B133/G$5))+1)+(($B133/G$5)-INT(($B133/G$5)))*(INDEX('D Fleet'!$K$5:$K$36,INT(($B133/G$5))+2)-INDEX('D Fleet'!$K$5:$K$36,INT(($B133/G$5))+1)),0)</f>
        <v/>
      </c>
      <c r="H133" s="350">
        <f>IFERROR(INDEX('D Fleet'!$E$5:$E$63,MATCH(H$3-$B133,'D Fleet'!$B$5:$B$63,0)),0)*IFERROR(INDEX('D Fleet'!$K$5:$K$36,INT(($B133/H$5))+1)+(($B133/H$5)-INT(($B133/H$5)))*(INDEX('D Fleet'!$K$5:$K$36,INT(($B133/H$5))+2)-INDEX('D Fleet'!$K$5:$K$36,INT(($B133/H$5))+1)),0)</f>
        <v/>
      </c>
      <c r="I133" s="350">
        <f>IFERROR(INDEX('D Fleet'!$E$5:$E$63,MATCH(I$3-$B133,'D Fleet'!$B$5:$B$63,0)),0)*IFERROR(INDEX('D Fleet'!$K$5:$K$36,INT(($B133/I$5))+1)+(($B133/I$5)-INT(($B133/I$5)))*(INDEX('D Fleet'!$K$5:$K$36,INT(($B133/I$5))+2)-INDEX('D Fleet'!$K$5:$K$36,INT(($B133/I$5))+1)),0)</f>
        <v/>
      </c>
      <c r="J133" s="350">
        <f>IFERROR(INDEX('D Fleet'!$E$5:$E$63,MATCH(J$3-$B133,'D Fleet'!$B$5:$B$63,0)),0)*IFERROR(INDEX('D Fleet'!$K$5:$K$36,INT(($B133/J$5))+1)+(($B133/J$5)-INT(($B133/J$5)))*(INDEX('D Fleet'!$K$5:$K$36,INT(($B133/J$5))+2)-INDEX('D Fleet'!$K$5:$K$36,INT(($B133/J$5))+1)),0)</f>
        <v/>
      </c>
      <c r="K133" s="350">
        <f>IFERROR(INDEX('D Fleet'!$E$5:$E$63,MATCH(K$3-$B133,'D Fleet'!$B$5:$B$63,0)),0)*IFERROR(INDEX('D Fleet'!$K$5:$K$36,INT(($B133/K$5))+1)+(($B133/K$5)-INT(($B133/K$5)))*(INDEX('D Fleet'!$K$5:$K$36,INT(($B133/K$5))+2)-INDEX('D Fleet'!$K$5:$K$36,INT(($B133/K$5))+1)),0)</f>
        <v/>
      </c>
      <c r="L133" s="350">
        <f>IFERROR(INDEX('D Fleet'!$E$5:$E$63,MATCH(L$3-$B133,'D Fleet'!$B$5:$B$63,0)),0)*IFERROR(INDEX('D Fleet'!$K$5:$K$36,INT(($B133/L$5))+1)+(($B133/L$5)-INT(($B133/L$5)))*(INDEX('D Fleet'!$K$5:$K$36,INT(($B133/L$5))+2)-INDEX('D Fleet'!$K$5:$K$36,INT(($B133/L$5))+1)),0)</f>
        <v/>
      </c>
      <c r="M133" s="350">
        <f>IFERROR(INDEX('D Fleet'!$E$5:$E$63,MATCH(M$3-$B133,'D Fleet'!$B$5:$B$63,0)),0)*IFERROR(INDEX('D Fleet'!$K$5:$K$36,INT(($B133/M$5))+1)+(($B133/M$5)-INT(($B133/M$5)))*(INDEX('D Fleet'!$K$5:$K$36,INT(($B133/M$5))+2)-INDEX('D Fleet'!$K$5:$K$36,INT(($B133/M$5))+1)),0)</f>
        <v/>
      </c>
      <c r="N133" s="350">
        <f>IFERROR(INDEX('D Fleet'!$E$5:$E$63,MATCH(N$3-$B133,'D Fleet'!$B$5:$B$63,0)),0)*IFERROR(INDEX('D Fleet'!$K$5:$K$36,INT(($B133/N$5))+1)+(($B133/N$5)-INT(($B133/N$5)))*(INDEX('D Fleet'!$K$5:$K$36,INT(($B133/N$5))+2)-INDEX('D Fleet'!$K$5:$K$36,INT(($B133/N$5))+1)),0)</f>
        <v/>
      </c>
      <c r="P133" s="350">
        <f>E133*$D133*'E1 Fleet'!$D$99</f>
        <v/>
      </c>
      <c r="Q133" s="350">
        <f>F133*$D133*'E1 Fleet'!$D$99</f>
        <v/>
      </c>
      <c r="R133" s="350">
        <f>G133*$D133*'E1 Fleet'!$D$99</f>
        <v/>
      </c>
      <c r="S133" s="350">
        <f>H133*$D133*'E1 Fleet'!$D$99</f>
        <v/>
      </c>
      <c r="T133" s="350">
        <f>I133*$D133*'E1 Fleet'!$D$99</f>
        <v/>
      </c>
      <c r="U133" s="350">
        <f>J133*$D133*'E1 Fleet'!$D$99</f>
        <v/>
      </c>
      <c r="V133" s="350">
        <f>K133*$D133*'E1 Fleet'!$D$99</f>
        <v/>
      </c>
      <c r="W133" s="350">
        <f>L133*$D133*'E1 Fleet'!$D$99</f>
        <v/>
      </c>
      <c r="X133" s="350">
        <f>M133*$D133*'E1 Fleet'!$D$99</f>
        <v/>
      </c>
      <c r="Y133" s="350">
        <f>N133*$D133*'E1 Fleet'!$D$99</f>
        <v/>
      </c>
    </row>
    <row r="134">
      <c r="A134" t="inlineStr">
        <is>
          <t>Pickup</t>
        </is>
      </c>
      <c r="B134" s="456" t="n">
        <v>35</v>
      </c>
      <c r="C134" s="456" t="n">
        <v>3</v>
      </c>
      <c r="D134" s="348">
        <f>IF($B134=0,'E1 Fleet'!$D$93,1)*EXP(-'E1 Fleet'!$D$94*MAX($B134-6,0))</f>
        <v/>
      </c>
      <c r="E134" s="350">
        <f>IFERROR(INDEX('D Fleet'!$E$5:$E$63,MATCH(E$3-$B134,'D Fleet'!$B$5:$B$63,0)),0)*IFERROR(INDEX('D Fleet'!$K$5:$K$36,INT(($B134/E$5))+1)+(($B134/E$5)-INT(($B134/E$5)))*(INDEX('D Fleet'!$K$5:$K$36,INT(($B134/E$5))+2)-INDEX('D Fleet'!$K$5:$K$36,INT(($B134/E$5))+1)),0)</f>
        <v/>
      </c>
      <c r="F134" s="350">
        <f>IFERROR(INDEX('D Fleet'!$E$5:$E$63,MATCH(F$3-$B134,'D Fleet'!$B$5:$B$63,0)),0)*IFERROR(INDEX('D Fleet'!$K$5:$K$36,INT(($B134/F$5))+1)+(($B134/F$5)-INT(($B134/F$5)))*(INDEX('D Fleet'!$K$5:$K$36,INT(($B134/F$5))+2)-INDEX('D Fleet'!$K$5:$K$36,INT(($B134/F$5))+1)),0)</f>
        <v/>
      </c>
      <c r="G134" s="350">
        <f>IFERROR(INDEX('D Fleet'!$E$5:$E$63,MATCH(G$3-$B134,'D Fleet'!$B$5:$B$63,0)),0)*IFERROR(INDEX('D Fleet'!$K$5:$K$36,INT(($B134/G$5))+1)+(($B134/G$5)-INT(($B134/G$5)))*(INDEX('D Fleet'!$K$5:$K$36,INT(($B134/G$5))+2)-INDEX('D Fleet'!$K$5:$K$36,INT(($B134/G$5))+1)),0)</f>
        <v/>
      </c>
      <c r="H134" s="350">
        <f>IFERROR(INDEX('D Fleet'!$E$5:$E$63,MATCH(H$3-$B134,'D Fleet'!$B$5:$B$63,0)),0)*IFERROR(INDEX('D Fleet'!$K$5:$K$36,INT(($B134/H$5))+1)+(($B134/H$5)-INT(($B134/H$5)))*(INDEX('D Fleet'!$K$5:$K$36,INT(($B134/H$5))+2)-INDEX('D Fleet'!$K$5:$K$36,INT(($B134/H$5))+1)),0)</f>
        <v/>
      </c>
      <c r="I134" s="350">
        <f>IFERROR(INDEX('D Fleet'!$E$5:$E$63,MATCH(I$3-$B134,'D Fleet'!$B$5:$B$63,0)),0)*IFERROR(INDEX('D Fleet'!$K$5:$K$36,INT(($B134/I$5))+1)+(($B134/I$5)-INT(($B134/I$5)))*(INDEX('D Fleet'!$K$5:$K$36,INT(($B134/I$5))+2)-INDEX('D Fleet'!$K$5:$K$36,INT(($B134/I$5))+1)),0)</f>
        <v/>
      </c>
      <c r="J134" s="350">
        <f>IFERROR(INDEX('D Fleet'!$E$5:$E$63,MATCH(J$3-$B134,'D Fleet'!$B$5:$B$63,0)),0)*IFERROR(INDEX('D Fleet'!$K$5:$K$36,INT(($B134/J$5))+1)+(($B134/J$5)-INT(($B134/J$5)))*(INDEX('D Fleet'!$K$5:$K$36,INT(($B134/J$5))+2)-INDEX('D Fleet'!$K$5:$K$36,INT(($B134/J$5))+1)),0)</f>
        <v/>
      </c>
      <c r="K134" s="350">
        <f>IFERROR(INDEX('D Fleet'!$E$5:$E$63,MATCH(K$3-$B134,'D Fleet'!$B$5:$B$63,0)),0)*IFERROR(INDEX('D Fleet'!$K$5:$K$36,INT(($B134/K$5))+1)+(($B134/K$5)-INT(($B134/K$5)))*(INDEX('D Fleet'!$K$5:$K$36,INT(($B134/K$5))+2)-INDEX('D Fleet'!$K$5:$K$36,INT(($B134/K$5))+1)),0)</f>
        <v/>
      </c>
      <c r="L134" s="350">
        <f>IFERROR(INDEX('D Fleet'!$E$5:$E$63,MATCH(L$3-$B134,'D Fleet'!$B$5:$B$63,0)),0)*IFERROR(INDEX('D Fleet'!$K$5:$K$36,INT(($B134/L$5))+1)+(($B134/L$5)-INT(($B134/L$5)))*(INDEX('D Fleet'!$K$5:$K$36,INT(($B134/L$5))+2)-INDEX('D Fleet'!$K$5:$K$36,INT(($B134/L$5))+1)),0)</f>
        <v/>
      </c>
      <c r="M134" s="350">
        <f>IFERROR(INDEX('D Fleet'!$E$5:$E$63,MATCH(M$3-$B134,'D Fleet'!$B$5:$B$63,0)),0)*IFERROR(INDEX('D Fleet'!$K$5:$K$36,INT(($B134/M$5))+1)+(($B134/M$5)-INT(($B134/M$5)))*(INDEX('D Fleet'!$K$5:$K$36,INT(($B134/M$5))+2)-INDEX('D Fleet'!$K$5:$K$36,INT(($B134/M$5))+1)),0)</f>
        <v/>
      </c>
      <c r="N134" s="350">
        <f>IFERROR(INDEX('D Fleet'!$E$5:$E$63,MATCH(N$3-$B134,'D Fleet'!$B$5:$B$63,0)),0)*IFERROR(INDEX('D Fleet'!$K$5:$K$36,INT(($B134/N$5))+1)+(($B134/N$5)-INT(($B134/N$5)))*(INDEX('D Fleet'!$K$5:$K$36,INT(($B134/N$5))+2)-INDEX('D Fleet'!$K$5:$K$36,INT(($B134/N$5))+1)),0)</f>
        <v/>
      </c>
      <c r="P134" s="350">
        <f>E134*$D134*'E1 Fleet'!$D$99</f>
        <v/>
      </c>
      <c r="Q134" s="350">
        <f>F134*$D134*'E1 Fleet'!$D$99</f>
        <v/>
      </c>
      <c r="R134" s="350">
        <f>G134*$D134*'E1 Fleet'!$D$99</f>
        <v/>
      </c>
      <c r="S134" s="350">
        <f>H134*$D134*'E1 Fleet'!$D$99</f>
        <v/>
      </c>
      <c r="T134" s="350">
        <f>I134*$D134*'E1 Fleet'!$D$99</f>
        <v/>
      </c>
      <c r="U134" s="350">
        <f>J134*$D134*'E1 Fleet'!$D$99</f>
        <v/>
      </c>
      <c r="V134" s="350">
        <f>K134*$D134*'E1 Fleet'!$D$99</f>
        <v/>
      </c>
      <c r="W134" s="350">
        <f>L134*$D134*'E1 Fleet'!$D$99</f>
        <v/>
      </c>
      <c r="X134" s="350">
        <f>M134*$D134*'E1 Fleet'!$D$99</f>
        <v/>
      </c>
      <c r="Y134" s="350">
        <f>N134*$D134*'E1 Fleet'!$D$99</f>
        <v/>
      </c>
    </row>
    <row r="135">
      <c r="A135" t="inlineStr">
        <is>
          <t>Pickup</t>
        </is>
      </c>
      <c r="B135" s="456" t="n">
        <v>36</v>
      </c>
      <c r="C135" s="456" t="n">
        <v>3</v>
      </c>
      <c r="D135" s="348">
        <f>IF($B135=0,'E1 Fleet'!$D$93,1)*EXP(-'E1 Fleet'!$D$94*MAX($B135-6,0))</f>
        <v/>
      </c>
      <c r="E135" s="350">
        <f>IFERROR(INDEX('D Fleet'!$E$5:$E$63,MATCH(E$3-$B135,'D Fleet'!$B$5:$B$63,0)),0)*IFERROR(INDEX('D Fleet'!$K$5:$K$36,INT(($B135/E$5))+1)+(($B135/E$5)-INT(($B135/E$5)))*(INDEX('D Fleet'!$K$5:$K$36,INT(($B135/E$5))+2)-INDEX('D Fleet'!$K$5:$K$36,INT(($B135/E$5))+1)),0)</f>
        <v/>
      </c>
      <c r="F135" s="350">
        <f>IFERROR(INDEX('D Fleet'!$E$5:$E$63,MATCH(F$3-$B135,'D Fleet'!$B$5:$B$63,0)),0)*IFERROR(INDEX('D Fleet'!$K$5:$K$36,INT(($B135/F$5))+1)+(($B135/F$5)-INT(($B135/F$5)))*(INDEX('D Fleet'!$K$5:$K$36,INT(($B135/F$5))+2)-INDEX('D Fleet'!$K$5:$K$36,INT(($B135/F$5))+1)),0)</f>
        <v/>
      </c>
      <c r="G135" s="350">
        <f>IFERROR(INDEX('D Fleet'!$E$5:$E$63,MATCH(G$3-$B135,'D Fleet'!$B$5:$B$63,0)),0)*IFERROR(INDEX('D Fleet'!$K$5:$K$36,INT(($B135/G$5))+1)+(($B135/G$5)-INT(($B135/G$5)))*(INDEX('D Fleet'!$K$5:$K$36,INT(($B135/G$5))+2)-INDEX('D Fleet'!$K$5:$K$36,INT(($B135/G$5))+1)),0)</f>
        <v/>
      </c>
      <c r="H135" s="350">
        <f>IFERROR(INDEX('D Fleet'!$E$5:$E$63,MATCH(H$3-$B135,'D Fleet'!$B$5:$B$63,0)),0)*IFERROR(INDEX('D Fleet'!$K$5:$K$36,INT(($B135/H$5))+1)+(($B135/H$5)-INT(($B135/H$5)))*(INDEX('D Fleet'!$K$5:$K$36,INT(($B135/H$5))+2)-INDEX('D Fleet'!$K$5:$K$36,INT(($B135/H$5))+1)),0)</f>
        <v/>
      </c>
      <c r="I135" s="350">
        <f>IFERROR(INDEX('D Fleet'!$E$5:$E$63,MATCH(I$3-$B135,'D Fleet'!$B$5:$B$63,0)),0)*IFERROR(INDEX('D Fleet'!$K$5:$K$36,INT(($B135/I$5))+1)+(($B135/I$5)-INT(($B135/I$5)))*(INDEX('D Fleet'!$K$5:$K$36,INT(($B135/I$5))+2)-INDEX('D Fleet'!$K$5:$K$36,INT(($B135/I$5))+1)),0)</f>
        <v/>
      </c>
      <c r="J135" s="350">
        <f>IFERROR(INDEX('D Fleet'!$E$5:$E$63,MATCH(J$3-$B135,'D Fleet'!$B$5:$B$63,0)),0)*IFERROR(INDEX('D Fleet'!$K$5:$K$36,INT(($B135/J$5))+1)+(($B135/J$5)-INT(($B135/J$5)))*(INDEX('D Fleet'!$K$5:$K$36,INT(($B135/J$5))+2)-INDEX('D Fleet'!$K$5:$K$36,INT(($B135/J$5))+1)),0)</f>
        <v/>
      </c>
      <c r="K135" s="350">
        <f>IFERROR(INDEX('D Fleet'!$E$5:$E$63,MATCH(K$3-$B135,'D Fleet'!$B$5:$B$63,0)),0)*IFERROR(INDEX('D Fleet'!$K$5:$K$36,INT(($B135/K$5))+1)+(($B135/K$5)-INT(($B135/K$5)))*(INDEX('D Fleet'!$K$5:$K$36,INT(($B135/K$5))+2)-INDEX('D Fleet'!$K$5:$K$36,INT(($B135/K$5))+1)),0)</f>
        <v/>
      </c>
      <c r="L135" s="350">
        <f>IFERROR(INDEX('D Fleet'!$E$5:$E$63,MATCH(L$3-$B135,'D Fleet'!$B$5:$B$63,0)),0)*IFERROR(INDEX('D Fleet'!$K$5:$K$36,INT(($B135/L$5))+1)+(($B135/L$5)-INT(($B135/L$5)))*(INDEX('D Fleet'!$K$5:$K$36,INT(($B135/L$5))+2)-INDEX('D Fleet'!$K$5:$K$36,INT(($B135/L$5))+1)),0)</f>
        <v/>
      </c>
      <c r="M135" s="350">
        <f>IFERROR(INDEX('D Fleet'!$E$5:$E$63,MATCH(M$3-$B135,'D Fleet'!$B$5:$B$63,0)),0)*IFERROR(INDEX('D Fleet'!$K$5:$K$36,INT(($B135/M$5))+1)+(($B135/M$5)-INT(($B135/M$5)))*(INDEX('D Fleet'!$K$5:$K$36,INT(($B135/M$5))+2)-INDEX('D Fleet'!$K$5:$K$36,INT(($B135/M$5))+1)),0)</f>
        <v/>
      </c>
      <c r="N135" s="350">
        <f>IFERROR(INDEX('D Fleet'!$E$5:$E$63,MATCH(N$3-$B135,'D Fleet'!$B$5:$B$63,0)),0)*IFERROR(INDEX('D Fleet'!$K$5:$K$36,INT(($B135/N$5))+1)+(($B135/N$5)-INT(($B135/N$5)))*(INDEX('D Fleet'!$K$5:$K$36,INT(($B135/N$5))+2)-INDEX('D Fleet'!$K$5:$K$36,INT(($B135/N$5))+1)),0)</f>
        <v/>
      </c>
      <c r="P135" s="350">
        <f>E135*$D135*'E1 Fleet'!$D$99</f>
        <v/>
      </c>
      <c r="Q135" s="350">
        <f>F135*$D135*'E1 Fleet'!$D$99</f>
        <v/>
      </c>
      <c r="R135" s="350">
        <f>G135*$D135*'E1 Fleet'!$D$99</f>
        <v/>
      </c>
      <c r="S135" s="350">
        <f>H135*$D135*'E1 Fleet'!$D$99</f>
        <v/>
      </c>
      <c r="T135" s="350">
        <f>I135*$D135*'E1 Fleet'!$D$99</f>
        <v/>
      </c>
      <c r="U135" s="350">
        <f>J135*$D135*'E1 Fleet'!$D$99</f>
        <v/>
      </c>
      <c r="V135" s="350">
        <f>K135*$D135*'E1 Fleet'!$D$99</f>
        <v/>
      </c>
      <c r="W135" s="350">
        <f>L135*$D135*'E1 Fleet'!$D$99</f>
        <v/>
      </c>
      <c r="X135" s="350">
        <f>M135*$D135*'E1 Fleet'!$D$99</f>
        <v/>
      </c>
      <c r="Y135" s="350">
        <f>N135*$D135*'E1 Fleet'!$D$99</f>
        <v/>
      </c>
    </row>
    <row r="136">
      <c r="A136" t="inlineStr">
        <is>
          <t>Pickup</t>
        </is>
      </c>
      <c r="B136" s="456" t="n">
        <v>37</v>
      </c>
      <c r="C136" s="456" t="n">
        <v>3</v>
      </c>
      <c r="D136" s="348">
        <f>IF($B136=0,'E1 Fleet'!$D$93,1)*EXP(-'E1 Fleet'!$D$94*MAX($B136-6,0))</f>
        <v/>
      </c>
      <c r="E136" s="350">
        <f>IFERROR(INDEX('D Fleet'!$E$5:$E$63,MATCH(E$3-$B136,'D Fleet'!$B$5:$B$63,0)),0)*IFERROR(INDEX('D Fleet'!$K$5:$K$36,INT(($B136/E$5))+1)+(($B136/E$5)-INT(($B136/E$5)))*(INDEX('D Fleet'!$K$5:$K$36,INT(($B136/E$5))+2)-INDEX('D Fleet'!$K$5:$K$36,INT(($B136/E$5))+1)),0)</f>
        <v/>
      </c>
      <c r="F136" s="350">
        <f>IFERROR(INDEX('D Fleet'!$E$5:$E$63,MATCH(F$3-$B136,'D Fleet'!$B$5:$B$63,0)),0)*IFERROR(INDEX('D Fleet'!$K$5:$K$36,INT(($B136/F$5))+1)+(($B136/F$5)-INT(($B136/F$5)))*(INDEX('D Fleet'!$K$5:$K$36,INT(($B136/F$5))+2)-INDEX('D Fleet'!$K$5:$K$36,INT(($B136/F$5))+1)),0)</f>
        <v/>
      </c>
      <c r="G136" s="350">
        <f>IFERROR(INDEX('D Fleet'!$E$5:$E$63,MATCH(G$3-$B136,'D Fleet'!$B$5:$B$63,0)),0)*IFERROR(INDEX('D Fleet'!$K$5:$K$36,INT(($B136/G$5))+1)+(($B136/G$5)-INT(($B136/G$5)))*(INDEX('D Fleet'!$K$5:$K$36,INT(($B136/G$5))+2)-INDEX('D Fleet'!$K$5:$K$36,INT(($B136/G$5))+1)),0)</f>
        <v/>
      </c>
      <c r="H136" s="350">
        <f>IFERROR(INDEX('D Fleet'!$E$5:$E$63,MATCH(H$3-$B136,'D Fleet'!$B$5:$B$63,0)),0)*IFERROR(INDEX('D Fleet'!$K$5:$K$36,INT(($B136/H$5))+1)+(($B136/H$5)-INT(($B136/H$5)))*(INDEX('D Fleet'!$K$5:$K$36,INT(($B136/H$5))+2)-INDEX('D Fleet'!$K$5:$K$36,INT(($B136/H$5))+1)),0)</f>
        <v/>
      </c>
      <c r="I136" s="350">
        <f>IFERROR(INDEX('D Fleet'!$E$5:$E$63,MATCH(I$3-$B136,'D Fleet'!$B$5:$B$63,0)),0)*IFERROR(INDEX('D Fleet'!$K$5:$K$36,INT(($B136/I$5))+1)+(($B136/I$5)-INT(($B136/I$5)))*(INDEX('D Fleet'!$K$5:$K$36,INT(($B136/I$5))+2)-INDEX('D Fleet'!$K$5:$K$36,INT(($B136/I$5))+1)),0)</f>
        <v/>
      </c>
      <c r="J136" s="350">
        <f>IFERROR(INDEX('D Fleet'!$E$5:$E$63,MATCH(J$3-$B136,'D Fleet'!$B$5:$B$63,0)),0)*IFERROR(INDEX('D Fleet'!$K$5:$K$36,INT(($B136/J$5))+1)+(($B136/J$5)-INT(($B136/J$5)))*(INDEX('D Fleet'!$K$5:$K$36,INT(($B136/J$5))+2)-INDEX('D Fleet'!$K$5:$K$36,INT(($B136/J$5))+1)),0)</f>
        <v/>
      </c>
      <c r="K136" s="350">
        <f>IFERROR(INDEX('D Fleet'!$E$5:$E$63,MATCH(K$3-$B136,'D Fleet'!$B$5:$B$63,0)),0)*IFERROR(INDEX('D Fleet'!$K$5:$K$36,INT(($B136/K$5))+1)+(($B136/K$5)-INT(($B136/K$5)))*(INDEX('D Fleet'!$K$5:$K$36,INT(($B136/K$5))+2)-INDEX('D Fleet'!$K$5:$K$36,INT(($B136/K$5))+1)),0)</f>
        <v/>
      </c>
      <c r="L136" s="350">
        <f>IFERROR(INDEX('D Fleet'!$E$5:$E$63,MATCH(L$3-$B136,'D Fleet'!$B$5:$B$63,0)),0)*IFERROR(INDEX('D Fleet'!$K$5:$K$36,INT(($B136/L$5))+1)+(($B136/L$5)-INT(($B136/L$5)))*(INDEX('D Fleet'!$K$5:$K$36,INT(($B136/L$5))+2)-INDEX('D Fleet'!$K$5:$K$36,INT(($B136/L$5))+1)),0)</f>
        <v/>
      </c>
      <c r="M136" s="350">
        <f>IFERROR(INDEX('D Fleet'!$E$5:$E$63,MATCH(M$3-$B136,'D Fleet'!$B$5:$B$63,0)),0)*IFERROR(INDEX('D Fleet'!$K$5:$K$36,INT(($B136/M$5))+1)+(($B136/M$5)-INT(($B136/M$5)))*(INDEX('D Fleet'!$K$5:$K$36,INT(($B136/M$5))+2)-INDEX('D Fleet'!$K$5:$K$36,INT(($B136/M$5))+1)),0)</f>
        <v/>
      </c>
      <c r="N136" s="350">
        <f>IFERROR(INDEX('D Fleet'!$E$5:$E$63,MATCH(N$3-$B136,'D Fleet'!$B$5:$B$63,0)),0)*IFERROR(INDEX('D Fleet'!$K$5:$K$36,INT(($B136/N$5))+1)+(($B136/N$5)-INT(($B136/N$5)))*(INDEX('D Fleet'!$K$5:$K$36,INT(($B136/N$5))+2)-INDEX('D Fleet'!$K$5:$K$36,INT(($B136/N$5))+1)),0)</f>
        <v/>
      </c>
      <c r="P136" s="350">
        <f>E136*$D136*'E1 Fleet'!$D$99</f>
        <v/>
      </c>
      <c r="Q136" s="350">
        <f>F136*$D136*'E1 Fleet'!$D$99</f>
        <v/>
      </c>
      <c r="R136" s="350">
        <f>G136*$D136*'E1 Fleet'!$D$99</f>
        <v/>
      </c>
      <c r="S136" s="350">
        <f>H136*$D136*'E1 Fleet'!$D$99</f>
        <v/>
      </c>
      <c r="T136" s="350">
        <f>I136*$D136*'E1 Fleet'!$D$99</f>
        <v/>
      </c>
      <c r="U136" s="350">
        <f>J136*$D136*'E1 Fleet'!$D$99</f>
        <v/>
      </c>
      <c r="V136" s="350">
        <f>K136*$D136*'E1 Fleet'!$D$99</f>
        <v/>
      </c>
      <c r="W136" s="350">
        <f>L136*$D136*'E1 Fleet'!$D$99</f>
        <v/>
      </c>
      <c r="X136" s="350">
        <f>M136*$D136*'E1 Fleet'!$D$99</f>
        <v/>
      </c>
      <c r="Y136" s="350">
        <f>N136*$D136*'E1 Fleet'!$D$99</f>
        <v/>
      </c>
    </row>
    <row r="137">
      <c r="A137" t="inlineStr">
        <is>
          <t>Pickup</t>
        </is>
      </c>
      <c r="B137" s="456" t="n">
        <v>38</v>
      </c>
      <c r="C137" s="456" t="n">
        <v>3</v>
      </c>
      <c r="D137" s="348">
        <f>IF($B137=0,'E1 Fleet'!$D$93,1)*EXP(-'E1 Fleet'!$D$94*MAX($B137-6,0))</f>
        <v/>
      </c>
      <c r="E137" s="350">
        <f>IFERROR(INDEX('D Fleet'!$E$5:$E$63,MATCH(E$3-$B137,'D Fleet'!$B$5:$B$63,0)),0)*IFERROR(INDEX('D Fleet'!$K$5:$K$36,INT(($B137/E$5))+1)+(($B137/E$5)-INT(($B137/E$5)))*(INDEX('D Fleet'!$K$5:$K$36,INT(($B137/E$5))+2)-INDEX('D Fleet'!$K$5:$K$36,INT(($B137/E$5))+1)),0)</f>
        <v/>
      </c>
      <c r="F137" s="350">
        <f>IFERROR(INDEX('D Fleet'!$E$5:$E$63,MATCH(F$3-$B137,'D Fleet'!$B$5:$B$63,0)),0)*IFERROR(INDEX('D Fleet'!$K$5:$K$36,INT(($B137/F$5))+1)+(($B137/F$5)-INT(($B137/F$5)))*(INDEX('D Fleet'!$K$5:$K$36,INT(($B137/F$5))+2)-INDEX('D Fleet'!$K$5:$K$36,INT(($B137/F$5))+1)),0)</f>
        <v/>
      </c>
      <c r="G137" s="350">
        <f>IFERROR(INDEX('D Fleet'!$E$5:$E$63,MATCH(G$3-$B137,'D Fleet'!$B$5:$B$63,0)),0)*IFERROR(INDEX('D Fleet'!$K$5:$K$36,INT(($B137/G$5))+1)+(($B137/G$5)-INT(($B137/G$5)))*(INDEX('D Fleet'!$K$5:$K$36,INT(($B137/G$5))+2)-INDEX('D Fleet'!$K$5:$K$36,INT(($B137/G$5))+1)),0)</f>
        <v/>
      </c>
      <c r="H137" s="350">
        <f>IFERROR(INDEX('D Fleet'!$E$5:$E$63,MATCH(H$3-$B137,'D Fleet'!$B$5:$B$63,0)),0)*IFERROR(INDEX('D Fleet'!$K$5:$K$36,INT(($B137/H$5))+1)+(($B137/H$5)-INT(($B137/H$5)))*(INDEX('D Fleet'!$K$5:$K$36,INT(($B137/H$5))+2)-INDEX('D Fleet'!$K$5:$K$36,INT(($B137/H$5))+1)),0)</f>
        <v/>
      </c>
      <c r="I137" s="350">
        <f>IFERROR(INDEX('D Fleet'!$E$5:$E$63,MATCH(I$3-$B137,'D Fleet'!$B$5:$B$63,0)),0)*IFERROR(INDEX('D Fleet'!$K$5:$K$36,INT(($B137/I$5))+1)+(($B137/I$5)-INT(($B137/I$5)))*(INDEX('D Fleet'!$K$5:$K$36,INT(($B137/I$5))+2)-INDEX('D Fleet'!$K$5:$K$36,INT(($B137/I$5))+1)),0)</f>
        <v/>
      </c>
      <c r="J137" s="350">
        <f>IFERROR(INDEX('D Fleet'!$E$5:$E$63,MATCH(J$3-$B137,'D Fleet'!$B$5:$B$63,0)),0)*IFERROR(INDEX('D Fleet'!$K$5:$K$36,INT(($B137/J$5))+1)+(($B137/J$5)-INT(($B137/J$5)))*(INDEX('D Fleet'!$K$5:$K$36,INT(($B137/J$5))+2)-INDEX('D Fleet'!$K$5:$K$36,INT(($B137/J$5))+1)),0)</f>
        <v/>
      </c>
      <c r="K137" s="350">
        <f>IFERROR(INDEX('D Fleet'!$E$5:$E$63,MATCH(K$3-$B137,'D Fleet'!$B$5:$B$63,0)),0)*IFERROR(INDEX('D Fleet'!$K$5:$K$36,INT(($B137/K$5))+1)+(($B137/K$5)-INT(($B137/K$5)))*(INDEX('D Fleet'!$K$5:$K$36,INT(($B137/K$5))+2)-INDEX('D Fleet'!$K$5:$K$36,INT(($B137/K$5))+1)),0)</f>
        <v/>
      </c>
      <c r="L137" s="350">
        <f>IFERROR(INDEX('D Fleet'!$E$5:$E$63,MATCH(L$3-$B137,'D Fleet'!$B$5:$B$63,0)),0)*IFERROR(INDEX('D Fleet'!$K$5:$K$36,INT(($B137/L$5))+1)+(($B137/L$5)-INT(($B137/L$5)))*(INDEX('D Fleet'!$K$5:$K$36,INT(($B137/L$5))+2)-INDEX('D Fleet'!$K$5:$K$36,INT(($B137/L$5))+1)),0)</f>
        <v/>
      </c>
      <c r="M137" s="350">
        <f>IFERROR(INDEX('D Fleet'!$E$5:$E$63,MATCH(M$3-$B137,'D Fleet'!$B$5:$B$63,0)),0)*IFERROR(INDEX('D Fleet'!$K$5:$K$36,INT(($B137/M$5))+1)+(($B137/M$5)-INT(($B137/M$5)))*(INDEX('D Fleet'!$K$5:$K$36,INT(($B137/M$5))+2)-INDEX('D Fleet'!$K$5:$K$36,INT(($B137/M$5))+1)),0)</f>
        <v/>
      </c>
      <c r="N137" s="350">
        <f>IFERROR(INDEX('D Fleet'!$E$5:$E$63,MATCH(N$3-$B137,'D Fleet'!$B$5:$B$63,0)),0)*IFERROR(INDEX('D Fleet'!$K$5:$K$36,INT(($B137/N$5))+1)+(($B137/N$5)-INT(($B137/N$5)))*(INDEX('D Fleet'!$K$5:$K$36,INT(($B137/N$5))+2)-INDEX('D Fleet'!$K$5:$K$36,INT(($B137/N$5))+1)),0)</f>
        <v/>
      </c>
      <c r="P137" s="350">
        <f>E137*$D137*'E1 Fleet'!$D$99</f>
        <v/>
      </c>
      <c r="Q137" s="350">
        <f>F137*$D137*'E1 Fleet'!$D$99</f>
        <v/>
      </c>
      <c r="R137" s="350">
        <f>G137*$D137*'E1 Fleet'!$D$99</f>
        <v/>
      </c>
      <c r="S137" s="350">
        <f>H137*$D137*'E1 Fleet'!$D$99</f>
        <v/>
      </c>
      <c r="T137" s="350">
        <f>I137*$D137*'E1 Fleet'!$D$99</f>
        <v/>
      </c>
      <c r="U137" s="350">
        <f>J137*$D137*'E1 Fleet'!$D$99</f>
        <v/>
      </c>
      <c r="V137" s="350">
        <f>K137*$D137*'E1 Fleet'!$D$99</f>
        <v/>
      </c>
      <c r="W137" s="350">
        <f>L137*$D137*'E1 Fleet'!$D$99</f>
        <v/>
      </c>
      <c r="X137" s="350">
        <f>M137*$D137*'E1 Fleet'!$D$99</f>
        <v/>
      </c>
      <c r="Y137" s="350">
        <f>N137*$D137*'E1 Fleet'!$D$99</f>
        <v/>
      </c>
    </row>
    <row r="138">
      <c r="A138" t="inlineStr">
        <is>
          <t>Pickup</t>
        </is>
      </c>
      <c r="B138" s="456" t="n">
        <v>39</v>
      </c>
      <c r="C138" s="456" t="n">
        <v>3</v>
      </c>
      <c r="D138" s="348">
        <f>IF($B138=0,'E1 Fleet'!$D$93,1)*EXP(-'E1 Fleet'!$D$94*MAX($B138-6,0))</f>
        <v/>
      </c>
      <c r="E138" s="350">
        <f>IFERROR(INDEX('D Fleet'!$E$5:$E$63,MATCH(E$3-$B138,'D Fleet'!$B$5:$B$63,0)),0)*IFERROR(INDEX('D Fleet'!$K$5:$K$36,INT(($B138/E$5))+1)+(($B138/E$5)-INT(($B138/E$5)))*(INDEX('D Fleet'!$K$5:$K$36,INT(($B138/E$5))+2)-INDEX('D Fleet'!$K$5:$K$36,INT(($B138/E$5))+1)),0)</f>
        <v/>
      </c>
      <c r="F138" s="350">
        <f>IFERROR(INDEX('D Fleet'!$E$5:$E$63,MATCH(F$3-$B138,'D Fleet'!$B$5:$B$63,0)),0)*IFERROR(INDEX('D Fleet'!$K$5:$K$36,INT(($B138/F$5))+1)+(($B138/F$5)-INT(($B138/F$5)))*(INDEX('D Fleet'!$K$5:$K$36,INT(($B138/F$5))+2)-INDEX('D Fleet'!$K$5:$K$36,INT(($B138/F$5))+1)),0)</f>
        <v/>
      </c>
      <c r="G138" s="350">
        <f>IFERROR(INDEX('D Fleet'!$E$5:$E$63,MATCH(G$3-$B138,'D Fleet'!$B$5:$B$63,0)),0)*IFERROR(INDEX('D Fleet'!$K$5:$K$36,INT(($B138/G$5))+1)+(($B138/G$5)-INT(($B138/G$5)))*(INDEX('D Fleet'!$K$5:$K$36,INT(($B138/G$5))+2)-INDEX('D Fleet'!$K$5:$K$36,INT(($B138/G$5))+1)),0)</f>
        <v/>
      </c>
      <c r="H138" s="350">
        <f>IFERROR(INDEX('D Fleet'!$E$5:$E$63,MATCH(H$3-$B138,'D Fleet'!$B$5:$B$63,0)),0)*IFERROR(INDEX('D Fleet'!$K$5:$K$36,INT(($B138/H$5))+1)+(($B138/H$5)-INT(($B138/H$5)))*(INDEX('D Fleet'!$K$5:$K$36,INT(($B138/H$5))+2)-INDEX('D Fleet'!$K$5:$K$36,INT(($B138/H$5))+1)),0)</f>
        <v/>
      </c>
      <c r="I138" s="350">
        <f>IFERROR(INDEX('D Fleet'!$E$5:$E$63,MATCH(I$3-$B138,'D Fleet'!$B$5:$B$63,0)),0)*IFERROR(INDEX('D Fleet'!$K$5:$K$36,INT(($B138/I$5))+1)+(($B138/I$5)-INT(($B138/I$5)))*(INDEX('D Fleet'!$K$5:$K$36,INT(($B138/I$5))+2)-INDEX('D Fleet'!$K$5:$K$36,INT(($B138/I$5))+1)),0)</f>
        <v/>
      </c>
      <c r="J138" s="350">
        <f>IFERROR(INDEX('D Fleet'!$E$5:$E$63,MATCH(J$3-$B138,'D Fleet'!$B$5:$B$63,0)),0)*IFERROR(INDEX('D Fleet'!$K$5:$K$36,INT(($B138/J$5))+1)+(($B138/J$5)-INT(($B138/J$5)))*(INDEX('D Fleet'!$K$5:$K$36,INT(($B138/J$5))+2)-INDEX('D Fleet'!$K$5:$K$36,INT(($B138/J$5))+1)),0)</f>
        <v/>
      </c>
      <c r="K138" s="350">
        <f>IFERROR(INDEX('D Fleet'!$E$5:$E$63,MATCH(K$3-$B138,'D Fleet'!$B$5:$B$63,0)),0)*IFERROR(INDEX('D Fleet'!$K$5:$K$36,INT(($B138/K$5))+1)+(($B138/K$5)-INT(($B138/K$5)))*(INDEX('D Fleet'!$K$5:$K$36,INT(($B138/K$5))+2)-INDEX('D Fleet'!$K$5:$K$36,INT(($B138/K$5))+1)),0)</f>
        <v/>
      </c>
      <c r="L138" s="350">
        <f>IFERROR(INDEX('D Fleet'!$E$5:$E$63,MATCH(L$3-$B138,'D Fleet'!$B$5:$B$63,0)),0)*IFERROR(INDEX('D Fleet'!$K$5:$K$36,INT(($B138/L$5))+1)+(($B138/L$5)-INT(($B138/L$5)))*(INDEX('D Fleet'!$K$5:$K$36,INT(($B138/L$5))+2)-INDEX('D Fleet'!$K$5:$K$36,INT(($B138/L$5))+1)),0)</f>
        <v/>
      </c>
      <c r="M138" s="350">
        <f>IFERROR(INDEX('D Fleet'!$E$5:$E$63,MATCH(M$3-$B138,'D Fleet'!$B$5:$B$63,0)),0)*IFERROR(INDEX('D Fleet'!$K$5:$K$36,INT(($B138/M$5))+1)+(($B138/M$5)-INT(($B138/M$5)))*(INDEX('D Fleet'!$K$5:$K$36,INT(($B138/M$5))+2)-INDEX('D Fleet'!$K$5:$K$36,INT(($B138/M$5))+1)),0)</f>
        <v/>
      </c>
      <c r="N138" s="350">
        <f>IFERROR(INDEX('D Fleet'!$E$5:$E$63,MATCH(N$3-$B138,'D Fleet'!$B$5:$B$63,0)),0)*IFERROR(INDEX('D Fleet'!$K$5:$K$36,INT(($B138/N$5))+1)+(($B138/N$5)-INT(($B138/N$5)))*(INDEX('D Fleet'!$K$5:$K$36,INT(($B138/N$5))+2)-INDEX('D Fleet'!$K$5:$K$36,INT(($B138/N$5))+1)),0)</f>
        <v/>
      </c>
      <c r="P138" s="350">
        <f>E138*$D138*'E1 Fleet'!$D$99</f>
        <v/>
      </c>
      <c r="Q138" s="350">
        <f>F138*$D138*'E1 Fleet'!$D$99</f>
        <v/>
      </c>
      <c r="R138" s="350">
        <f>G138*$D138*'E1 Fleet'!$D$99</f>
        <v/>
      </c>
      <c r="S138" s="350">
        <f>H138*$D138*'E1 Fleet'!$D$99</f>
        <v/>
      </c>
      <c r="T138" s="350">
        <f>I138*$D138*'E1 Fleet'!$D$99</f>
        <v/>
      </c>
      <c r="U138" s="350">
        <f>J138*$D138*'E1 Fleet'!$D$99</f>
        <v/>
      </c>
      <c r="V138" s="350">
        <f>K138*$D138*'E1 Fleet'!$D$99</f>
        <v/>
      </c>
      <c r="W138" s="350">
        <f>L138*$D138*'E1 Fleet'!$D$99</f>
        <v/>
      </c>
      <c r="X138" s="350">
        <f>M138*$D138*'E1 Fleet'!$D$99</f>
        <v/>
      </c>
      <c r="Y138" s="350">
        <f>N138*$D138*'E1 Fleet'!$D$99</f>
        <v/>
      </c>
    </row>
    <row r="139">
      <c r="A139" t="inlineStr">
        <is>
          <t>Pickup</t>
        </is>
      </c>
      <c r="B139" s="456" t="n">
        <v>40</v>
      </c>
      <c r="C139" s="456" t="n">
        <v>3</v>
      </c>
      <c r="D139" s="348">
        <f>IF($B139=0,'E1 Fleet'!$D$93,1)*EXP(-'E1 Fleet'!$D$94*MAX($B139-6,0))</f>
        <v/>
      </c>
      <c r="E139" s="350">
        <f>IFERROR(INDEX('D Fleet'!$E$5:$E$63,MATCH(E$3-$B139,'D Fleet'!$B$5:$B$63,0)),0)*IFERROR(INDEX('D Fleet'!$K$5:$K$36,INT(($B139/E$5))+1)+(($B139/E$5)-INT(($B139/E$5)))*(INDEX('D Fleet'!$K$5:$K$36,INT(($B139/E$5))+2)-INDEX('D Fleet'!$K$5:$K$36,INT(($B139/E$5))+1)),0)</f>
        <v/>
      </c>
      <c r="F139" s="350">
        <f>IFERROR(INDEX('D Fleet'!$E$5:$E$63,MATCH(F$3-$B139,'D Fleet'!$B$5:$B$63,0)),0)*IFERROR(INDEX('D Fleet'!$K$5:$K$36,INT(($B139/F$5))+1)+(($B139/F$5)-INT(($B139/F$5)))*(INDEX('D Fleet'!$K$5:$K$36,INT(($B139/F$5))+2)-INDEX('D Fleet'!$K$5:$K$36,INT(($B139/F$5))+1)),0)</f>
        <v/>
      </c>
      <c r="G139" s="350">
        <f>IFERROR(INDEX('D Fleet'!$E$5:$E$63,MATCH(G$3-$B139,'D Fleet'!$B$5:$B$63,0)),0)*IFERROR(INDEX('D Fleet'!$K$5:$K$36,INT(($B139/G$5))+1)+(($B139/G$5)-INT(($B139/G$5)))*(INDEX('D Fleet'!$K$5:$K$36,INT(($B139/G$5))+2)-INDEX('D Fleet'!$K$5:$K$36,INT(($B139/G$5))+1)),0)</f>
        <v/>
      </c>
      <c r="H139" s="350">
        <f>IFERROR(INDEX('D Fleet'!$E$5:$E$63,MATCH(H$3-$B139,'D Fleet'!$B$5:$B$63,0)),0)*IFERROR(INDEX('D Fleet'!$K$5:$K$36,INT(($B139/H$5))+1)+(($B139/H$5)-INT(($B139/H$5)))*(INDEX('D Fleet'!$K$5:$K$36,INT(($B139/H$5))+2)-INDEX('D Fleet'!$K$5:$K$36,INT(($B139/H$5))+1)),0)</f>
        <v/>
      </c>
      <c r="I139" s="350">
        <f>IFERROR(INDEX('D Fleet'!$E$5:$E$63,MATCH(I$3-$B139,'D Fleet'!$B$5:$B$63,0)),0)*IFERROR(INDEX('D Fleet'!$K$5:$K$36,INT(($B139/I$5))+1)+(($B139/I$5)-INT(($B139/I$5)))*(INDEX('D Fleet'!$K$5:$K$36,INT(($B139/I$5))+2)-INDEX('D Fleet'!$K$5:$K$36,INT(($B139/I$5))+1)),0)</f>
        <v/>
      </c>
      <c r="J139" s="350">
        <f>IFERROR(INDEX('D Fleet'!$E$5:$E$63,MATCH(J$3-$B139,'D Fleet'!$B$5:$B$63,0)),0)*IFERROR(INDEX('D Fleet'!$K$5:$K$36,INT(($B139/J$5))+1)+(($B139/J$5)-INT(($B139/J$5)))*(INDEX('D Fleet'!$K$5:$K$36,INT(($B139/J$5))+2)-INDEX('D Fleet'!$K$5:$K$36,INT(($B139/J$5))+1)),0)</f>
        <v/>
      </c>
      <c r="K139" s="350">
        <f>IFERROR(INDEX('D Fleet'!$E$5:$E$63,MATCH(K$3-$B139,'D Fleet'!$B$5:$B$63,0)),0)*IFERROR(INDEX('D Fleet'!$K$5:$K$36,INT(($B139/K$5))+1)+(($B139/K$5)-INT(($B139/K$5)))*(INDEX('D Fleet'!$K$5:$K$36,INT(($B139/K$5))+2)-INDEX('D Fleet'!$K$5:$K$36,INT(($B139/K$5))+1)),0)</f>
        <v/>
      </c>
      <c r="L139" s="350">
        <f>IFERROR(INDEX('D Fleet'!$E$5:$E$63,MATCH(L$3-$B139,'D Fleet'!$B$5:$B$63,0)),0)*IFERROR(INDEX('D Fleet'!$K$5:$K$36,INT(($B139/L$5))+1)+(($B139/L$5)-INT(($B139/L$5)))*(INDEX('D Fleet'!$K$5:$K$36,INT(($B139/L$5))+2)-INDEX('D Fleet'!$K$5:$K$36,INT(($B139/L$5))+1)),0)</f>
        <v/>
      </c>
      <c r="M139" s="350">
        <f>IFERROR(INDEX('D Fleet'!$E$5:$E$63,MATCH(M$3-$B139,'D Fleet'!$B$5:$B$63,0)),0)*IFERROR(INDEX('D Fleet'!$K$5:$K$36,INT(($B139/M$5))+1)+(($B139/M$5)-INT(($B139/M$5)))*(INDEX('D Fleet'!$K$5:$K$36,INT(($B139/M$5))+2)-INDEX('D Fleet'!$K$5:$K$36,INT(($B139/M$5))+1)),0)</f>
        <v/>
      </c>
      <c r="N139" s="350">
        <f>IFERROR(INDEX('D Fleet'!$E$5:$E$63,MATCH(N$3-$B139,'D Fleet'!$B$5:$B$63,0)),0)*IFERROR(INDEX('D Fleet'!$K$5:$K$36,INT(($B139/N$5))+1)+(($B139/N$5)-INT(($B139/N$5)))*(INDEX('D Fleet'!$K$5:$K$36,INT(($B139/N$5))+2)-INDEX('D Fleet'!$K$5:$K$36,INT(($B139/N$5))+1)),0)</f>
        <v/>
      </c>
      <c r="P139" s="350">
        <f>E139*$D139*'E1 Fleet'!$D$99</f>
        <v/>
      </c>
      <c r="Q139" s="350">
        <f>F139*$D139*'E1 Fleet'!$D$99</f>
        <v/>
      </c>
      <c r="R139" s="350">
        <f>G139*$D139*'E1 Fleet'!$D$99</f>
        <v/>
      </c>
      <c r="S139" s="350">
        <f>H139*$D139*'E1 Fleet'!$D$99</f>
        <v/>
      </c>
      <c r="T139" s="350">
        <f>I139*$D139*'E1 Fleet'!$D$99</f>
        <v/>
      </c>
      <c r="U139" s="350">
        <f>J139*$D139*'E1 Fleet'!$D$99</f>
        <v/>
      </c>
      <c r="V139" s="350">
        <f>K139*$D139*'E1 Fleet'!$D$99</f>
        <v/>
      </c>
      <c r="W139" s="350">
        <f>L139*$D139*'E1 Fleet'!$D$99</f>
        <v/>
      </c>
      <c r="X139" s="350">
        <f>M139*$D139*'E1 Fleet'!$D$99</f>
        <v/>
      </c>
      <c r="Y139" s="350">
        <f>N139*$D139*'E1 Fleet'!$D$99</f>
        <v/>
      </c>
    </row>
    <row r="140">
      <c r="A140" t="inlineStr">
        <is>
          <t>Pickup</t>
        </is>
      </c>
      <c r="B140" s="456" t="n">
        <v>41</v>
      </c>
      <c r="C140" s="456" t="n">
        <v>3</v>
      </c>
      <c r="D140" s="348">
        <f>IF($B140=0,'E1 Fleet'!$D$93,1)*EXP(-'E1 Fleet'!$D$94*MAX($B140-6,0))</f>
        <v/>
      </c>
      <c r="E140" s="350">
        <f>IFERROR(INDEX('D Fleet'!$E$5:$E$63,MATCH(E$3-$B140,'D Fleet'!$B$5:$B$63,0)),0)*IFERROR(INDEX('D Fleet'!$K$5:$K$36,INT(($B140/E$5))+1)+(($B140/E$5)-INT(($B140/E$5)))*(INDEX('D Fleet'!$K$5:$K$36,INT(($B140/E$5))+2)-INDEX('D Fleet'!$K$5:$K$36,INT(($B140/E$5))+1)),0)</f>
        <v/>
      </c>
      <c r="F140" s="350">
        <f>IFERROR(INDEX('D Fleet'!$E$5:$E$63,MATCH(F$3-$B140,'D Fleet'!$B$5:$B$63,0)),0)*IFERROR(INDEX('D Fleet'!$K$5:$K$36,INT(($B140/F$5))+1)+(($B140/F$5)-INT(($B140/F$5)))*(INDEX('D Fleet'!$K$5:$K$36,INT(($B140/F$5))+2)-INDEX('D Fleet'!$K$5:$K$36,INT(($B140/F$5))+1)),0)</f>
        <v/>
      </c>
      <c r="G140" s="350">
        <f>IFERROR(INDEX('D Fleet'!$E$5:$E$63,MATCH(G$3-$B140,'D Fleet'!$B$5:$B$63,0)),0)*IFERROR(INDEX('D Fleet'!$K$5:$K$36,INT(($B140/G$5))+1)+(($B140/G$5)-INT(($B140/G$5)))*(INDEX('D Fleet'!$K$5:$K$36,INT(($B140/G$5))+2)-INDEX('D Fleet'!$K$5:$K$36,INT(($B140/G$5))+1)),0)</f>
        <v/>
      </c>
      <c r="H140" s="350">
        <f>IFERROR(INDEX('D Fleet'!$E$5:$E$63,MATCH(H$3-$B140,'D Fleet'!$B$5:$B$63,0)),0)*IFERROR(INDEX('D Fleet'!$K$5:$K$36,INT(($B140/H$5))+1)+(($B140/H$5)-INT(($B140/H$5)))*(INDEX('D Fleet'!$K$5:$K$36,INT(($B140/H$5))+2)-INDEX('D Fleet'!$K$5:$K$36,INT(($B140/H$5))+1)),0)</f>
        <v/>
      </c>
      <c r="I140" s="350">
        <f>IFERROR(INDEX('D Fleet'!$E$5:$E$63,MATCH(I$3-$B140,'D Fleet'!$B$5:$B$63,0)),0)*IFERROR(INDEX('D Fleet'!$K$5:$K$36,INT(($B140/I$5))+1)+(($B140/I$5)-INT(($B140/I$5)))*(INDEX('D Fleet'!$K$5:$K$36,INT(($B140/I$5))+2)-INDEX('D Fleet'!$K$5:$K$36,INT(($B140/I$5))+1)),0)</f>
        <v/>
      </c>
      <c r="J140" s="350">
        <f>IFERROR(INDEX('D Fleet'!$E$5:$E$63,MATCH(J$3-$B140,'D Fleet'!$B$5:$B$63,0)),0)*IFERROR(INDEX('D Fleet'!$K$5:$K$36,INT(($B140/J$5))+1)+(($B140/J$5)-INT(($B140/J$5)))*(INDEX('D Fleet'!$K$5:$K$36,INT(($B140/J$5))+2)-INDEX('D Fleet'!$K$5:$K$36,INT(($B140/J$5))+1)),0)</f>
        <v/>
      </c>
      <c r="K140" s="350">
        <f>IFERROR(INDEX('D Fleet'!$E$5:$E$63,MATCH(K$3-$B140,'D Fleet'!$B$5:$B$63,0)),0)*IFERROR(INDEX('D Fleet'!$K$5:$K$36,INT(($B140/K$5))+1)+(($B140/K$5)-INT(($B140/K$5)))*(INDEX('D Fleet'!$K$5:$K$36,INT(($B140/K$5))+2)-INDEX('D Fleet'!$K$5:$K$36,INT(($B140/K$5))+1)),0)</f>
        <v/>
      </c>
      <c r="L140" s="350">
        <f>IFERROR(INDEX('D Fleet'!$E$5:$E$63,MATCH(L$3-$B140,'D Fleet'!$B$5:$B$63,0)),0)*IFERROR(INDEX('D Fleet'!$K$5:$K$36,INT(($B140/L$5))+1)+(($B140/L$5)-INT(($B140/L$5)))*(INDEX('D Fleet'!$K$5:$K$36,INT(($B140/L$5))+2)-INDEX('D Fleet'!$K$5:$K$36,INT(($B140/L$5))+1)),0)</f>
        <v/>
      </c>
      <c r="M140" s="350">
        <f>IFERROR(INDEX('D Fleet'!$E$5:$E$63,MATCH(M$3-$B140,'D Fleet'!$B$5:$B$63,0)),0)*IFERROR(INDEX('D Fleet'!$K$5:$K$36,INT(($B140/M$5))+1)+(($B140/M$5)-INT(($B140/M$5)))*(INDEX('D Fleet'!$K$5:$K$36,INT(($B140/M$5))+2)-INDEX('D Fleet'!$K$5:$K$36,INT(($B140/M$5))+1)),0)</f>
        <v/>
      </c>
      <c r="N140" s="350">
        <f>IFERROR(INDEX('D Fleet'!$E$5:$E$63,MATCH(N$3-$B140,'D Fleet'!$B$5:$B$63,0)),0)*IFERROR(INDEX('D Fleet'!$K$5:$K$36,INT(($B140/N$5))+1)+(($B140/N$5)-INT(($B140/N$5)))*(INDEX('D Fleet'!$K$5:$K$36,INT(($B140/N$5))+2)-INDEX('D Fleet'!$K$5:$K$36,INT(($B140/N$5))+1)),0)</f>
        <v/>
      </c>
      <c r="P140" s="350">
        <f>E140*$D140*'E1 Fleet'!$D$99</f>
        <v/>
      </c>
      <c r="Q140" s="350">
        <f>F140*$D140*'E1 Fleet'!$D$99</f>
        <v/>
      </c>
      <c r="R140" s="350">
        <f>G140*$D140*'E1 Fleet'!$D$99</f>
        <v/>
      </c>
      <c r="S140" s="350">
        <f>H140*$D140*'E1 Fleet'!$D$99</f>
        <v/>
      </c>
      <c r="T140" s="350">
        <f>I140*$D140*'E1 Fleet'!$D$99</f>
        <v/>
      </c>
      <c r="U140" s="350">
        <f>J140*$D140*'E1 Fleet'!$D$99</f>
        <v/>
      </c>
      <c r="V140" s="350">
        <f>K140*$D140*'E1 Fleet'!$D$99</f>
        <v/>
      </c>
      <c r="W140" s="350">
        <f>L140*$D140*'E1 Fleet'!$D$99</f>
        <v/>
      </c>
      <c r="X140" s="350">
        <f>M140*$D140*'E1 Fleet'!$D$99</f>
        <v/>
      </c>
      <c r="Y140" s="350">
        <f>N140*$D140*'E1 Fleet'!$D$99</f>
        <v/>
      </c>
    </row>
    <row r="141">
      <c r="A141" t="inlineStr">
        <is>
          <t>Pickup</t>
        </is>
      </c>
      <c r="B141" s="456" t="n">
        <v>42</v>
      </c>
      <c r="C141" s="456" t="n">
        <v>3</v>
      </c>
      <c r="D141" s="348">
        <f>IF($B141=0,'E1 Fleet'!$D$93,1)*EXP(-'E1 Fleet'!$D$94*MAX($B141-6,0))</f>
        <v/>
      </c>
      <c r="E141" s="350">
        <f>IFERROR(INDEX('D Fleet'!$E$5:$E$63,MATCH(E$3-$B141,'D Fleet'!$B$5:$B$63,0)),0)*IFERROR(INDEX('D Fleet'!$K$5:$K$36,INT(($B141/E$5))+1)+(($B141/E$5)-INT(($B141/E$5)))*(INDEX('D Fleet'!$K$5:$K$36,INT(($B141/E$5))+2)-INDEX('D Fleet'!$K$5:$K$36,INT(($B141/E$5))+1)),0)</f>
        <v/>
      </c>
      <c r="F141" s="350">
        <f>IFERROR(INDEX('D Fleet'!$E$5:$E$63,MATCH(F$3-$B141,'D Fleet'!$B$5:$B$63,0)),0)*IFERROR(INDEX('D Fleet'!$K$5:$K$36,INT(($B141/F$5))+1)+(($B141/F$5)-INT(($B141/F$5)))*(INDEX('D Fleet'!$K$5:$K$36,INT(($B141/F$5))+2)-INDEX('D Fleet'!$K$5:$K$36,INT(($B141/F$5))+1)),0)</f>
        <v/>
      </c>
      <c r="G141" s="350">
        <f>IFERROR(INDEX('D Fleet'!$E$5:$E$63,MATCH(G$3-$B141,'D Fleet'!$B$5:$B$63,0)),0)*IFERROR(INDEX('D Fleet'!$K$5:$K$36,INT(($B141/G$5))+1)+(($B141/G$5)-INT(($B141/G$5)))*(INDEX('D Fleet'!$K$5:$K$36,INT(($B141/G$5))+2)-INDEX('D Fleet'!$K$5:$K$36,INT(($B141/G$5))+1)),0)</f>
        <v/>
      </c>
      <c r="H141" s="350">
        <f>IFERROR(INDEX('D Fleet'!$E$5:$E$63,MATCH(H$3-$B141,'D Fleet'!$B$5:$B$63,0)),0)*IFERROR(INDEX('D Fleet'!$K$5:$K$36,INT(($B141/H$5))+1)+(($B141/H$5)-INT(($B141/H$5)))*(INDEX('D Fleet'!$K$5:$K$36,INT(($B141/H$5))+2)-INDEX('D Fleet'!$K$5:$K$36,INT(($B141/H$5))+1)),0)</f>
        <v/>
      </c>
      <c r="I141" s="350">
        <f>IFERROR(INDEX('D Fleet'!$E$5:$E$63,MATCH(I$3-$B141,'D Fleet'!$B$5:$B$63,0)),0)*IFERROR(INDEX('D Fleet'!$K$5:$K$36,INT(($B141/I$5))+1)+(($B141/I$5)-INT(($B141/I$5)))*(INDEX('D Fleet'!$K$5:$K$36,INT(($B141/I$5))+2)-INDEX('D Fleet'!$K$5:$K$36,INT(($B141/I$5))+1)),0)</f>
        <v/>
      </c>
      <c r="J141" s="350">
        <f>IFERROR(INDEX('D Fleet'!$E$5:$E$63,MATCH(J$3-$B141,'D Fleet'!$B$5:$B$63,0)),0)*IFERROR(INDEX('D Fleet'!$K$5:$K$36,INT(($B141/J$5))+1)+(($B141/J$5)-INT(($B141/J$5)))*(INDEX('D Fleet'!$K$5:$K$36,INT(($B141/J$5))+2)-INDEX('D Fleet'!$K$5:$K$36,INT(($B141/J$5))+1)),0)</f>
        <v/>
      </c>
      <c r="K141" s="350">
        <f>IFERROR(INDEX('D Fleet'!$E$5:$E$63,MATCH(K$3-$B141,'D Fleet'!$B$5:$B$63,0)),0)*IFERROR(INDEX('D Fleet'!$K$5:$K$36,INT(($B141/K$5))+1)+(($B141/K$5)-INT(($B141/K$5)))*(INDEX('D Fleet'!$K$5:$K$36,INT(($B141/K$5))+2)-INDEX('D Fleet'!$K$5:$K$36,INT(($B141/K$5))+1)),0)</f>
        <v/>
      </c>
      <c r="L141" s="350">
        <f>IFERROR(INDEX('D Fleet'!$E$5:$E$63,MATCH(L$3-$B141,'D Fleet'!$B$5:$B$63,0)),0)*IFERROR(INDEX('D Fleet'!$K$5:$K$36,INT(($B141/L$5))+1)+(($B141/L$5)-INT(($B141/L$5)))*(INDEX('D Fleet'!$K$5:$K$36,INT(($B141/L$5))+2)-INDEX('D Fleet'!$K$5:$K$36,INT(($B141/L$5))+1)),0)</f>
        <v/>
      </c>
      <c r="M141" s="350">
        <f>IFERROR(INDEX('D Fleet'!$E$5:$E$63,MATCH(M$3-$B141,'D Fleet'!$B$5:$B$63,0)),0)*IFERROR(INDEX('D Fleet'!$K$5:$K$36,INT(($B141/M$5))+1)+(($B141/M$5)-INT(($B141/M$5)))*(INDEX('D Fleet'!$K$5:$K$36,INT(($B141/M$5))+2)-INDEX('D Fleet'!$K$5:$K$36,INT(($B141/M$5))+1)),0)</f>
        <v/>
      </c>
      <c r="N141" s="350">
        <f>IFERROR(INDEX('D Fleet'!$E$5:$E$63,MATCH(N$3-$B141,'D Fleet'!$B$5:$B$63,0)),0)*IFERROR(INDEX('D Fleet'!$K$5:$K$36,INT(($B141/N$5))+1)+(($B141/N$5)-INT(($B141/N$5)))*(INDEX('D Fleet'!$K$5:$K$36,INT(($B141/N$5))+2)-INDEX('D Fleet'!$K$5:$K$36,INT(($B141/N$5))+1)),0)</f>
        <v/>
      </c>
      <c r="P141" s="350">
        <f>E141*$D141*'E1 Fleet'!$D$99</f>
        <v/>
      </c>
      <c r="Q141" s="350">
        <f>F141*$D141*'E1 Fleet'!$D$99</f>
        <v/>
      </c>
      <c r="R141" s="350">
        <f>G141*$D141*'E1 Fleet'!$D$99</f>
        <v/>
      </c>
      <c r="S141" s="350">
        <f>H141*$D141*'E1 Fleet'!$D$99</f>
        <v/>
      </c>
      <c r="T141" s="350">
        <f>I141*$D141*'E1 Fleet'!$D$99</f>
        <v/>
      </c>
      <c r="U141" s="350">
        <f>J141*$D141*'E1 Fleet'!$D$99</f>
        <v/>
      </c>
      <c r="V141" s="350">
        <f>K141*$D141*'E1 Fleet'!$D$99</f>
        <v/>
      </c>
      <c r="W141" s="350">
        <f>L141*$D141*'E1 Fleet'!$D$99</f>
        <v/>
      </c>
      <c r="X141" s="350">
        <f>M141*$D141*'E1 Fleet'!$D$99</f>
        <v/>
      </c>
      <c r="Y141" s="350">
        <f>N141*$D141*'E1 Fleet'!$D$99</f>
        <v/>
      </c>
    </row>
    <row r="142">
      <c r="A142" t="inlineStr">
        <is>
          <t>Pickup</t>
        </is>
      </c>
      <c r="B142" s="456" t="n">
        <v>43</v>
      </c>
      <c r="C142" s="456" t="n">
        <v>3</v>
      </c>
      <c r="D142" s="348">
        <f>IF($B142=0,'E1 Fleet'!$D$93,1)*EXP(-'E1 Fleet'!$D$94*MAX($B142-6,0))</f>
        <v/>
      </c>
      <c r="E142" s="350">
        <f>IFERROR(INDEX('D Fleet'!$E$5:$E$63,MATCH(E$3-$B142,'D Fleet'!$B$5:$B$63,0)),0)*IFERROR(INDEX('D Fleet'!$K$5:$K$36,INT(($B142/E$5))+1)+(($B142/E$5)-INT(($B142/E$5)))*(INDEX('D Fleet'!$K$5:$K$36,INT(($B142/E$5))+2)-INDEX('D Fleet'!$K$5:$K$36,INT(($B142/E$5))+1)),0)</f>
        <v/>
      </c>
      <c r="F142" s="350">
        <f>IFERROR(INDEX('D Fleet'!$E$5:$E$63,MATCH(F$3-$B142,'D Fleet'!$B$5:$B$63,0)),0)*IFERROR(INDEX('D Fleet'!$K$5:$K$36,INT(($B142/F$5))+1)+(($B142/F$5)-INT(($B142/F$5)))*(INDEX('D Fleet'!$K$5:$K$36,INT(($B142/F$5))+2)-INDEX('D Fleet'!$K$5:$K$36,INT(($B142/F$5))+1)),0)</f>
        <v/>
      </c>
      <c r="G142" s="350">
        <f>IFERROR(INDEX('D Fleet'!$E$5:$E$63,MATCH(G$3-$B142,'D Fleet'!$B$5:$B$63,0)),0)*IFERROR(INDEX('D Fleet'!$K$5:$K$36,INT(($B142/G$5))+1)+(($B142/G$5)-INT(($B142/G$5)))*(INDEX('D Fleet'!$K$5:$K$36,INT(($B142/G$5))+2)-INDEX('D Fleet'!$K$5:$K$36,INT(($B142/G$5))+1)),0)</f>
        <v/>
      </c>
      <c r="H142" s="350">
        <f>IFERROR(INDEX('D Fleet'!$E$5:$E$63,MATCH(H$3-$B142,'D Fleet'!$B$5:$B$63,0)),0)*IFERROR(INDEX('D Fleet'!$K$5:$K$36,INT(($B142/H$5))+1)+(($B142/H$5)-INT(($B142/H$5)))*(INDEX('D Fleet'!$K$5:$K$36,INT(($B142/H$5))+2)-INDEX('D Fleet'!$K$5:$K$36,INT(($B142/H$5))+1)),0)</f>
        <v/>
      </c>
      <c r="I142" s="350">
        <f>IFERROR(INDEX('D Fleet'!$E$5:$E$63,MATCH(I$3-$B142,'D Fleet'!$B$5:$B$63,0)),0)*IFERROR(INDEX('D Fleet'!$K$5:$K$36,INT(($B142/I$5))+1)+(($B142/I$5)-INT(($B142/I$5)))*(INDEX('D Fleet'!$K$5:$K$36,INT(($B142/I$5))+2)-INDEX('D Fleet'!$K$5:$K$36,INT(($B142/I$5))+1)),0)</f>
        <v/>
      </c>
      <c r="J142" s="350">
        <f>IFERROR(INDEX('D Fleet'!$E$5:$E$63,MATCH(J$3-$B142,'D Fleet'!$B$5:$B$63,0)),0)*IFERROR(INDEX('D Fleet'!$K$5:$K$36,INT(($B142/J$5))+1)+(($B142/J$5)-INT(($B142/J$5)))*(INDEX('D Fleet'!$K$5:$K$36,INT(($B142/J$5))+2)-INDEX('D Fleet'!$K$5:$K$36,INT(($B142/J$5))+1)),0)</f>
        <v/>
      </c>
      <c r="K142" s="350">
        <f>IFERROR(INDEX('D Fleet'!$E$5:$E$63,MATCH(K$3-$B142,'D Fleet'!$B$5:$B$63,0)),0)*IFERROR(INDEX('D Fleet'!$K$5:$K$36,INT(($B142/K$5))+1)+(($B142/K$5)-INT(($B142/K$5)))*(INDEX('D Fleet'!$K$5:$K$36,INT(($B142/K$5))+2)-INDEX('D Fleet'!$K$5:$K$36,INT(($B142/K$5))+1)),0)</f>
        <v/>
      </c>
      <c r="L142" s="350">
        <f>IFERROR(INDEX('D Fleet'!$E$5:$E$63,MATCH(L$3-$B142,'D Fleet'!$B$5:$B$63,0)),0)*IFERROR(INDEX('D Fleet'!$K$5:$K$36,INT(($B142/L$5))+1)+(($B142/L$5)-INT(($B142/L$5)))*(INDEX('D Fleet'!$K$5:$K$36,INT(($B142/L$5))+2)-INDEX('D Fleet'!$K$5:$K$36,INT(($B142/L$5))+1)),0)</f>
        <v/>
      </c>
      <c r="M142" s="350">
        <f>IFERROR(INDEX('D Fleet'!$E$5:$E$63,MATCH(M$3-$B142,'D Fleet'!$B$5:$B$63,0)),0)*IFERROR(INDEX('D Fleet'!$K$5:$K$36,INT(($B142/M$5))+1)+(($B142/M$5)-INT(($B142/M$5)))*(INDEX('D Fleet'!$K$5:$K$36,INT(($B142/M$5))+2)-INDEX('D Fleet'!$K$5:$K$36,INT(($B142/M$5))+1)),0)</f>
        <v/>
      </c>
      <c r="N142" s="350">
        <f>IFERROR(INDEX('D Fleet'!$E$5:$E$63,MATCH(N$3-$B142,'D Fleet'!$B$5:$B$63,0)),0)*IFERROR(INDEX('D Fleet'!$K$5:$K$36,INT(($B142/N$5))+1)+(($B142/N$5)-INT(($B142/N$5)))*(INDEX('D Fleet'!$K$5:$K$36,INT(($B142/N$5))+2)-INDEX('D Fleet'!$K$5:$K$36,INT(($B142/N$5))+1)),0)</f>
        <v/>
      </c>
      <c r="P142" s="350">
        <f>E142*$D142*'E1 Fleet'!$D$99</f>
        <v/>
      </c>
      <c r="Q142" s="350">
        <f>F142*$D142*'E1 Fleet'!$D$99</f>
        <v/>
      </c>
      <c r="R142" s="350">
        <f>G142*$D142*'E1 Fleet'!$D$99</f>
        <v/>
      </c>
      <c r="S142" s="350">
        <f>H142*$D142*'E1 Fleet'!$D$99</f>
        <v/>
      </c>
      <c r="T142" s="350">
        <f>I142*$D142*'E1 Fleet'!$D$99</f>
        <v/>
      </c>
      <c r="U142" s="350">
        <f>J142*$D142*'E1 Fleet'!$D$99</f>
        <v/>
      </c>
      <c r="V142" s="350">
        <f>K142*$D142*'E1 Fleet'!$D$99</f>
        <v/>
      </c>
      <c r="W142" s="350">
        <f>L142*$D142*'E1 Fleet'!$D$99</f>
        <v/>
      </c>
      <c r="X142" s="350">
        <f>M142*$D142*'E1 Fleet'!$D$99</f>
        <v/>
      </c>
      <c r="Y142" s="350">
        <f>N142*$D142*'E1 Fleet'!$D$99</f>
        <v/>
      </c>
    </row>
    <row r="143">
      <c r="A143" t="inlineStr">
        <is>
          <t>Pickup</t>
        </is>
      </c>
      <c r="B143" s="456" t="n">
        <v>44</v>
      </c>
      <c r="C143" s="456" t="n">
        <v>3</v>
      </c>
      <c r="D143" s="348">
        <f>IF($B143=0,'E1 Fleet'!$D$93,1)*EXP(-'E1 Fleet'!$D$94*MAX($B143-6,0))</f>
        <v/>
      </c>
      <c r="E143" s="350">
        <f>IFERROR(INDEX('D Fleet'!$E$5:$E$63,MATCH(E$3-$B143,'D Fleet'!$B$5:$B$63,0)),0)*IFERROR(INDEX('D Fleet'!$K$5:$K$36,INT(($B143/E$5))+1)+(($B143/E$5)-INT(($B143/E$5)))*(INDEX('D Fleet'!$K$5:$K$36,INT(($B143/E$5))+2)-INDEX('D Fleet'!$K$5:$K$36,INT(($B143/E$5))+1)),0)</f>
        <v/>
      </c>
      <c r="F143" s="350">
        <f>IFERROR(INDEX('D Fleet'!$E$5:$E$63,MATCH(F$3-$B143,'D Fleet'!$B$5:$B$63,0)),0)*IFERROR(INDEX('D Fleet'!$K$5:$K$36,INT(($B143/F$5))+1)+(($B143/F$5)-INT(($B143/F$5)))*(INDEX('D Fleet'!$K$5:$K$36,INT(($B143/F$5))+2)-INDEX('D Fleet'!$K$5:$K$36,INT(($B143/F$5))+1)),0)</f>
        <v/>
      </c>
      <c r="G143" s="350">
        <f>IFERROR(INDEX('D Fleet'!$E$5:$E$63,MATCH(G$3-$B143,'D Fleet'!$B$5:$B$63,0)),0)*IFERROR(INDEX('D Fleet'!$K$5:$K$36,INT(($B143/G$5))+1)+(($B143/G$5)-INT(($B143/G$5)))*(INDEX('D Fleet'!$K$5:$K$36,INT(($B143/G$5))+2)-INDEX('D Fleet'!$K$5:$K$36,INT(($B143/G$5))+1)),0)</f>
        <v/>
      </c>
      <c r="H143" s="350">
        <f>IFERROR(INDEX('D Fleet'!$E$5:$E$63,MATCH(H$3-$B143,'D Fleet'!$B$5:$B$63,0)),0)*IFERROR(INDEX('D Fleet'!$K$5:$K$36,INT(($B143/H$5))+1)+(($B143/H$5)-INT(($B143/H$5)))*(INDEX('D Fleet'!$K$5:$K$36,INT(($B143/H$5))+2)-INDEX('D Fleet'!$K$5:$K$36,INT(($B143/H$5))+1)),0)</f>
        <v/>
      </c>
      <c r="I143" s="350">
        <f>IFERROR(INDEX('D Fleet'!$E$5:$E$63,MATCH(I$3-$B143,'D Fleet'!$B$5:$B$63,0)),0)*IFERROR(INDEX('D Fleet'!$K$5:$K$36,INT(($B143/I$5))+1)+(($B143/I$5)-INT(($B143/I$5)))*(INDEX('D Fleet'!$K$5:$K$36,INT(($B143/I$5))+2)-INDEX('D Fleet'!$K$5:$K$36,INT(($B143/I$5))+1)),0)</f>
        <v/>
      </c>
      <c r="J143" s="350">
        <f>IFERROR(INDEX('D Fleet'!$E$5:$E$63,MATCH(J$3-$B143,'D Fleet'!$B$5:$B$63,0)),0)*IFERROR(INDEX('D Fleet'!$K$5:$K$36,INT(($B143/J$5))+1)+(($B143/J$5)-INT(($B143/J$5)))*(INDEX('D Fleet'!$K$5:$K$36,INT(($B143/J$5))+2)-INDEX('D Fleet'!$K$5:$K$36,INT(($B143/J$5))+1)),0)</f>
        <v/>
      </c>
      <c r="K143" s="350">
        <f>IFERROR(INDEX('D Fleet'!$E$5:$E$63,MATCH(K$3-$B143,'D Fleet'!$B$5:$B$63,0)),0)*IFERROR(INDEX('D Fleet'!$K$5:$K$36,INT(($B143/K$5))+1)+(($B143/K$5)-INT(($B143/K$5)))*(INDEX('D Fleet'!$K$5:$K$36,INT(($B143/K$5))+2)-INDEX('D Fleet'!$K$5:$K$36,INT(($B143/K$5))+1)),0)</f>
        <v/>
      </c>
      <c r="L143" s="350">
        <f>IFERROR(INDEX('D Fleet'!$E$5:$E$63,MATCH(L$3-$B143,'D Fleet'!$B$5:$B$63,0)),0)*IFERROR(INDEX('D Fleet'!$K$5:$K$36,INT(($B143/L$5))+1)+(($B143/L$5)-INT(($B143/L$5)))*(INDEX('D Fleet'!$K$5:$K$36,INT(($B143/L$5))+2)-INDEX('D Fleet'!$K$5:$K$36,INT(($B143/L$5))+1)),0)</f>
        <v/>
      </c>
      <c r="M143" s="350">
        <f>IFERROR(INDEX('D Fleet'!$E$5:$E$63,MATCH(M$3-$B143,'D Fleet'!$B$5:$B$63,0)),0)*IFERROR(INDEX('D Fleet'!$K$5:$K$36,INT(($B143/M$5))+1)+(($B143/M$5)-INT(($B143/M$5)))*(INDEX('D Fleet'!$K$5:$K$36,INT(($B143/M$5))+2)-INDEX('D Fleet'!$K$5:$K$36,INT(($B143/M$5))+1)),0)</f>
        <v/>
      </c>
      <c r="N143" s="350">
        <f>IFERROR(INDEX('D Fleet'!$E$5:$E$63,MATCH(N$3-$B143,'D Fleet'!$B$5:$B$63,0)),0)*IFERROR(INDEX('D Fleet'!$K$5:$K$36,INT(($B143/N$5))+1)+(($B143/N$5)-INT(($B143/N$5)))*(INDEX('D Fleet'!$K$5:$K$36,INT(($B143/N$5))+2)-INDEX('D Fleet'!$K$5:$K$36,INT(($B143/N$5))+1)),0)</f>
        <v/>
      </c>
      <c r="P143" s="350">
        <f>E143*$D143*'E1 Fleet'!$D$99</f>
        <v/>
      </c>
      <c r="Q143" s="350">
        <f>F143*$D143*'E1 Fleet'!$D$99</f>
        <v/>
      </c>
      <c r="R143" s="350">
        <f>G143*$D143*'E1 Fleet'!$D$99</f>
        <v/>
      </c>
      <c r="S143" s="350">
        <f>H143*$D143*'E1 Fleet'!$D$99</f>
        <v/>
      </c>
      <c r="T143" s="350">
        <f>I143*$D143*'E1 Fleet'!$D$99</f>
        <v/>
      </c>
      <c r="U143" s="350">
        <f>J143*$D143*'E1 Fleet'!$D$99</f>
        <v/>
      </c>
      <c r="V143" s="350">
        <f>K143*$D143*'E1 Fleet'!$D$99</f>
        <v/>
      </c>
      <c r="W143" s="350">
        <f>L143*$D143*'E1 Fleet'!$D$99</f>
        <v/>
      </c>
      <c r="X143" s="350">
        <f>M143*$D143*'E1 Fleet'!$D$99</f>
        <v/>
      </c>
      <c r="Y143" s="350">
        <f>N143*$D143*'E1 Fleet'!$D$99</f>
        <v/>
      </c>
    </row>
    <row r="144">
      <c r="A144" t="inlineStr">
        <is>
          <t>Pickup</t>
        </is>
      </c>
      <c r="B144" s="456" t="n">
        <v>45</v>
      </c>
      <c r="C144" s="456" t="n">
        <v>3</v>
      </c>
      <c r="D144" s="348">
        <f>IF($B144=0,'E1 Fleet'!$D$93,1)*EXP(-'E1 Fleet'!$D$94*MAX($B144-6,0))</f>
        <v/>
      </c>
      <c r="E144" s="350">
        <f>IFERROR(INDEX('D Fleet'!$E$5:$E$63,MATCH(E$3-$B144,'D Fleet'!$B$5:$B$63,0)),0)*IFERROR(INDEX('D Fleet'!$K$5:$K$36,INT(($B144/E$5))+1)+(($B144/E$5)-INT(($B144/E$5)))*(INDEX('D Fleet'!$K$5:$K$36,INT(($B144/E$5))+2)-INDEX('D Fleet'!$K$5:$K$36,INT(($B144/E$5))+1)),0)</f>
        <v/>
      </c>
      <c r="F144" s="350">
        <f>IFERROR(INDEX('D Fleet'!$E$5:$E$63,MATCH(F$3-$B144,'D Fleet'!$B$5:$B$63,0)),0)*IFERROR(INDEX('D Fleet'!$K$5:$K$36,INT(($B144/F$5))+1)+(($B144/F$5)-INT(($B144/F$5)))*(INDEX('D Fleet'!$K$5:$K$36,INT(($B144/F$5))+2)-INDEX('D Fleet'!$K$5:$K$36,INT(($B144/F$5))+1)),0)</f>
        <v/>
      </c>
      <c r="G144" s="350">
        <f>IFERROR(INDEX('D Fleet'!$E$5:$E$63,MATCH(G$3-$B144,'D Fleet'!$B$5:$B$63,0)),0)*IFERROR(INDEX('D Fleet'!$K$5:$K$36,INT(($B144/G$5))+1)+(($B144/G$5)-INT(($B144/G$5)))*(INDEX('D Fleet'!$K$5:$K$36,INT(($B144/G$5))+2)-INDEX('D Fleet'!$K$5:$K$36,INT(($B144/G$5))+1)),0)</f>
        <v/>
      </c>
      <c r="H144" s="350">
        <f>IFERROR(INDEX('D Fleet'!$E$5:$E$63,MATCH(H$3-$B144,'D Fleet'!$B$5:$B$63,0)),0)*IFERROR(INDEX('D Fleet'!$K$5:$K$36,INT(($B144/H$5))+1)+(($B144/H$5)-INT(($B144/H$5)))*(INDEX('D Fleet'!$K$5:$K$36,INT(($B144/H$5))+2)-INDEX('D Fleet'!$K$5:$K$36,INT(($B144/H$5))+1)),0)</f>
        <v/>
      </c>
      <c r="I144" s="350">
        <f>IFERROR(INDEX('D Fleet'!$E$5:$E$63,MATCH(I$3-$B144,'D Fleet'!$B$5:$B$63,0)),0)*IFERROR(INDEX('D Fleet'!$K$5:$K$36,INT(($B144/I$5))+1)+(($B144/I$5)-INT(($B144/I$5)))*(INDEX('D Fleet'!$K$5:$K$36,INT(($B144/I$5))+2)-INDEX('D Fleet'!$K$5:$K$36,INT(($B144/I$5))+1)),0)</f>
        <v/>
      </c>
      <c r="J144" s="350">
        <f>IFERROR(INDEX('D Fleet'!$E$5:$E$63,MATCH(J$3-$B144,'D Fleet'!$B$5:$B$63,0)),0)*IFERROR(INDEX('D Fleet'!$K$5:$K$36,INT(($B144/J$5))+1)+(($B144/J$5)-INT(($B144/J$5)))*(INDEX('D Fleet'!$K$5:$K$36,INT(($B144/J$5))+2)-INDEX('D Fleet'!$K$5:$K$36,INT(($B144/J$5))+1)),0)</f>
        <v/>
      </c>
      <c r="K144" s="350">
        <f>IFERROR(INDEX('D Fleet'!$E$5:$E$63,MATCH(K$3-$B144,'D Fleet'!$B$5:$B$63,0)),0)*IFERROR(INDEX('D Fleet'!$K$5:$K$36,INT(($B144/K$5))+1)+(($B144/K$5)-INT(($B144/K$5)))*(INDEX('D Fleet'!$K$5:$K$36,INT(($B144/K$5))+2)-INDEX('D Fleet'!$K$5:$K$36,INT(($B144/K$5))+1)),0)</f>
        <v/>
      </c>
      <c r="L144" s="350">
        <f>IFERROR(INDEX('D Fleet'!$E$5:$E$63,MATCH(L$3-$B144,'D Fleet'!$B$5:$B$63,0)),0)*IFERROR(INDEX('D Fleet'!$K$5:$K$36,INT(($B144/L$5))+1)+(($B144/L$5)-INT(($B144/L$5)))*(INDEX('D Fleet'!$K$5:$K$36,INT(($B144/L$5))+2)-INDEX('D Fleet'!$K$5:$K$36,INT(($B144/L$5))+1)),0)</f>
        <v/>
      </c>
      <c r="M144" s="350">
        <f>IFERROR(INDEX('D Fleet'!$E$5:$E$63,MATCH(M$3-$B144,'D Fleet'!$B$5:$B$63,0)),0)*IFERROR(INDEX('D Fleet'!$K$5:$K$36,INT(($B144/M$5))+1)+(($B144/M$5)-INT(($B144/M$5)))*(INDEX('D Fleet'!$K$5:$K$36,INT(($B144/M$5))+2)-INDEX('D Fleet'!$K$5:$K$36,INT(($B144/M$5))+1)),0)</f>
        <v/>
      </c>
      <c r="N144" s="350">
        <f>IFERROR(INDEX('D Fleet'!$E$5:$E$63,MATCH(N$3-$B144,'D Fleet'!$B$5:$B$63,0)),0)*IFERROR(INDEX('D Fleet'!$K$5:$K$36,INT(($B144/N$5))+1)+(($B144/N$5)-INT(($B144/N$5)))*(INDEX('D Fleet'!$K$5:$K$36,INT(($B144/N$5))+2)-INDEX('D Fleet'!$K$5:$K$36,INT(($B144/N$5))+1)),0)</f>
        <v/>
      </c>
      <c r="P144" s="350">
        <f>E144*$D144*'E1 Fleet'!$D$99</f>
        <v/>
      </c>
      <c r="Q144" s="350">
        <f>F144*$D144*'E1 Fleet'!$D$99</f>
        <v/>
      </c>
      <c r="R144" s="350">
        <f>G144*$D144*'E1 Fleet'!$D$99</f>
        <v/>
      </c>
      <c r="S144" s="350">
        <f>H144*$D144*'E1 Fleet'!$D$99</f>
        <v/>
      </c>
      <c r="T144" s="350">
        <f>I144*$D144*'E1 Fleet'!$D$99</f>
        <v/>
      </c>
      <c r="U144" s="350">
        <f>J144*$D144*'E1 Fleet'!$D$99</f>
        <v/>
      </c>
      <c r="V144" s="350">
        <f>K144*$D144*'E1 Fleet'!$D$99</f>
        <v/>
      </c>
      <c r="W144" s="350">
        <f>L144*$D144*'E1 Fleet'!$D$99</f>
        <v/>
      </c>
      <c r="X144" s="350">
        <f>M144*$D144*'E1 Fleet'!$D$99</f>
        <v/>
      </c>
      <c r="Y144" s="350">
        <f>N144*$D144*'E1 Fleet'!$D$99</f>
        <v/>
      </c>
    </row>
    <row r="145">
      <c r="A145" t="inlineStr">
        <is>
          <t>Van</t>
        </is>
      </c>
      <c r="B145" s="456" t="n">
        <v>0</v>
      </c>
      <c r="C145" s="456" t="n">
        <v>0</v>
      </c>
      <c r="D145" s="348">
        <f>IF($B145=0,'E1 Fleet'!$D$93,1)*EXP(-'E1 Fleet'!$D$94*MAX($B145-6,0))</f>
        <v/>
      </c>
      <c r="E145" s="350">
        <f>IFERROR(INDEX('D Fleet'!$F$5:$F$63,MATCH(E$3-$B145,'D Fleet'!$B$5:$B$63,0)),0)*IFERROR(INDEX('D Fleet'!$K$5:$K$36,INT(($B145/E$5))+1)+(($B145/E$5)-INT(($B145/E$5)))*(INDEX('D Fleet'!$K$5:$K$36,INT(($B145/E$5))+2)-INDEX('D Fleet'!$K$5:$K$36,INT(($B145/E$5))+1)),0)</f>
        <v/>
      </c>
      <c r="F145" s="350">
        <f>IFERROR(INDEX('D Fleet'!$F$5:$F$63,MATCH(F$3-$B145,'D Fleet'!$B$5:$B$63,0)),0)*IFERROR(INDEX('D Fleet'!$K$5:$K$36,INT(($B145/F$5))+1)+(($B145/F$5)-INT(($B145/F$5)))*(INDEX('D Fleet'!$K$5:$K$36,INT(($B145/F$5))+2)-INDEX('D Fleet'!$K$5:$K$36,INT(($B145/F$5))+1)),0)</f>
        <v/>
      </c>
      <c r="G145" s="350">
        <f>IFERROR(INDEX('D Fleet'!$F$5:$F$63,MATCH(G$3-$B145,'D Fleet'!$B$5:$B$63,0)),0)*IFERROR(INDEX('D Fleet'!$K$5:$K$36,INT(($B145/G$5))+1)+(($B145/G$5)-INT(($B145/G$5)))*(INDEX('D Fleet'!$K$5:$K$36,INT(($B145/G$5))+2)-INDEX('D Fleet'!$K$5:$K$36,INT(($B145/G$5))+1)),0)</f>
        <v/>
      </c>
      <c r="H145" s="350">
        <f>IFERROR(INDEX('D Fleet'!$F$5:$F$63,MATCH(H$3-$B145,'D Fleet'!$B$5:$B$63,0)),0)*IFERROR(INDEX('D Fleet'!$K$5:$K$36,INT(($B145/H$5))+1)+(($B145/H$5)-INT(($B145/H$5)))*(INDEX('D Fleet'!$K$5:$K$36,INT(($B145/H$5))+2)-INDEX('D Fleet'!$K$5:$K$36,INT(($B145/H$5))+1)),0)</f>
        <v/>
      </c>
      <c r="I145" s="350">
        <f>IFERROR(INDEX('D Fleet'!$F$5:$F$63,MATCH(I$3-$B145,'D Fleet'!$B$5:$B$63,0)),0)*IFERROR(INDEX('D Fleet'!$K$5:$K$36,INT(($B145/I$5))+1)+(($B145/I$5)-INT(($B145/I$5)))*(INDEX('D Fleet'!$K$5:$K$36,INT(($B145/I$5))+2)-INDEX('D Fleet'!$K$5:$K$36,INT(($B145/I$5))+1)),0)</f>
        <v/>
      </c>
      <c r="J145" s="350">
        <f>IFERROR(INDEX('D Fleet'!$F$5:$F$63,MATCH(J$3-$B145,'D Fleet'!$B$5:$B$63,0)),0)*IFERROR(INDEX('D Fleet'!$K$5:$K$36,INT(($B145/J$5))+1)+(($B145/J$5)-INT(($B145/J$5)))*(INDEX('D Fleet'!$K$5:$K$36,INT(($B145/J$5))+2)-INDEX('D Fleet'!$K$5:$K$36,INT(($B145/J$5))+1)),0)</f>
        <v/>
      </c>
      <c r="K145" s="350">
        <f>IFERROR(INDEX('D Fleet'!$F$5:$F$63,MATCH(K$3-$B145,'D Fleet'!$B$5:$B$63,0)),0)*IFERROR(INDEX('D Fleet'!$K$5:$K$36,INT(($B145/K$5))+1)+(($B145/K$5)-INT(($B145/K$5)))*(INDEX('D Fleet'!$K$5:$K$36,INT(($B145/K$5))+2)-INDEX('D Fleet'!$K$5:$K$36,INT(($B145/K$5))+1)),0)</f>
        <v/>
      </c>
      <c r="L145" s="350">
        <f>IFERROR(INDEX('D Fleet'!$F$5:$F$63,MATCH(L$3-$B145,'D Fleet'!$B$5:$B$63,0)),0)*IFERROR(INDEX('D Fleet'!$K$5:$K$36,INT(($B145/L$5))+1)+(($B145/L$5)-INT(($B145/L$5)))*(INDEX('D Fleet'!$K$5:$K$36,INT(($B145/L$5))+2)-INDEX('D Fleet'!$K$5:$K$36,INT(($B145/L$5))+1)),0)</f>
        <v/>
      </c>
      <c r="M145" s="350">
        <f>IFERROR(INDEX('D Fleet'!$F$5:$F$63,MATCH(M$3-$B145,'D Fleet'!$B$5:$B$63,0)),0)*IFERROR(INDEX('D Fleet'!$K$5:$K$36,INT(($B145/M$5))+1)+(($B145/M$5)-INT(($B145/M$5)))*(INDEX('D Fleet'!$K$5:$K$36,INT(($B145/M$5))+2)-INDEX('D Fleet'!$K$5:$K$36,INT(($B145/M$5))+1)),0)</f>
        <v/>
      </c>
      <c r="N145" s="350">
        <f>IFERROR(INDEX('D Fleet'!$F$5:$F$63,MATCH(N$3-$B145,'D Fleet'!$B$5:$B$63,0)),0)*IFERROR(INDEX('D Fleet'!$K$5:$K$36,INT(($B145/N$5))+1)+(($B145/N$5)-INT(($B145/N$5)))*(INDEX('D Fleet'!$K$5:$K$36,INT(($B145/N$5))+2)-INDEX('D Fleet'!$K$5:$K$36,INT(($B145/N$5))+1)),0)</f>
        <v/>
      </c>
      <c r="P145" s="350">
        <f>E145*$D145*'E1 Fleet'!$D$100</f>
        <v/>
      </c>
      <c r="Q145" s="350">
        <f>F145*$D145*'E1 Fleet'!$D$100</f>
        <v/>
      </c>
      <c r="R145" s="350">
        <f>G145*$D145*'E1 Fleet'!$D$100</f>
        <v/>
      </c>
      <c r="S145" s="350">
        <f>H145*$D145*'E1 Fleet'!$D$100</f>
        <v/>
      </c>
      <c r="T145" s="350">
        <f>I145*$D145*'E1 Fleet'!$D$100</f>
        <v/>
      </c>
      <c r="U145" s="350">
        <f>J145*$D145*'E1 Fleet'!$D$100</f>
        <v/>
      </c>
      <c r="V145" s="350">
        <f>K145*$D145*'E1 Fleet'!$D$100</f>
        <v/>
      </c>
      <c r="W145" s="350">
        <f>L145*$D145*'E1 Fleet'!$D$100</f>
        <v/>
      </c>
      <c r="X145" s="350">
        <f>M145*$D145*'E1 Fleet'!$D$100</f>
        <v/>
      </c>
      <c r="Y145" s="350">
        <f>N145*$D145*'E1 Fleet'!$D$100</f>
        <v/>
      </c>
    </row>
    <row r="146">
      <c r="A146" t="inlineStr">
        <is>
          <t>Van</t>
        </is>
      </c>
      <c r="B146" s="456" t="n">
        <v>1</v>
      </c>
      <c r="C146" s="456" t="n">
        <v>1</v>
      </c>
      <c r="D146" s="348">
        <f>IF($B146=0,'E1 Fleet'!$D$93,1)*EXP(-'E1 Fleet'!$D$94*MAX($B146-6,0))</f>
        <v/>
      </c>
      <c r="E146" s="350">
        <f>IFERROR(INDEX('D Fleet'!$F$5:$F$63,MATCH(E$3-$B146,'D Fleet'!$B$5:$B$63,0)),0)*IFERROR(INDEX('D Fleet'!$K$5:$K$36,INT(($B146/E$5))+1)+(($B146/E$5)-INT(($B146/E$5)))*(INDEX('D Fleet'!$K$5:$K$36,INT(($B146/E$5))+2)-INDEX('D Fleet'!$K$5:$K$36,INT(($B146/E$5))+1)),0)</f>
        <v/>
      </c>
      <c r="F146" s="350">
        <f>IFERROR(INDEX('D Fleet'!$F$5:$F$63,MATCH(F$3-$B146,'D Fleet'!$B$5:$B$63,0)),0)*IFERROR(INDEX('D Fleet'!$K$5:$K$36,INT(($B146/F$5))+1)+(($B146/F$5)-INT(($B146/F$5)))*(INDEX('D Fleet'!$K$5:$K$36,INT(($B146/F$5))+2)-INDEX('D Fleet'!$K$5:$K$36,INT(($B146/F$5))+1)),0)</f>
        <v/>
      </c>
      <c r="G146" s="350">
        <f>IFERROR(INDEX('D Fleet'!$F$5:$F$63,MATCH(G$3-$B146,'D Fleet'!$B$5:$B$63,0)),0)*IFERROR(INDEX('D Fleet'!$K$5:$K$36,INT(($B146/G$5))+1)+(($B146/G$5)-INT(($B146/G$5)))*(INDEX('D Fleet'!$K$5:$K$36,INT(($B146/G$5))+2)-INDEX('D Fleet'!$K$5:$K$36,INT(($B146/G$5))+1)),0)</f>
        <v/>
      </c>
      <c r="H146" s="350">
        <f>IFERROR(INDEX('D Fleet'!$F$5:$F$63,MATCH(H$3-$B146,'D Fleet'!$B$5:$B$63,0)),0)*IFERROR(INDEX('D Fleet'!$K$5:$K$36,INT(($B146/H$5))+1)+(($B146/H$5)-INT(($B146/H$5)))*(INDEX('D Fleet'!$K$5:$K$36,INT(($B146/H$5))+2)-INDEX('D Fleet'!$K$5:$K$36,INT(($B146/H$5))+1)),0)</f>
        <v/>
      </c>
      <c r="I146" s="350">
        <f>IFERROR(INDEX('D Fleet'!$F$5:$F$63,MATCH(I$3-$B146,'D Fleet'!$B$5:$B$63,0)),0)*IFERROR(INDEX('D Fleet'!$K$5:$K$36,INT(($B146/I$5))+1)+(($B146/I$5)-INT(($B146/I$5)))*(INDEX('D Fleet'!$K$5:$K$36,INT(($B146/I$5))+2)-INDEX('D Fleet'!$K$5:$K$36,INT(($B146/I$5))+1)),0)</f>
        <v/>
      </c>
      <c r="J146" s="350">
        <f>IFERROR(INDEX('D Fleet'!$F$5:$F$63,MATCH(J$3-$B146,'D Fleet'!$B$5:$B$63,0)),0)*IFERROR(INDEX('D Fleet'!$K$5:$K$36,INT(($B146/J$5))+1)+(($B146/J$5)-INT(($B146/J$5)))*(INDEX('D Fleet'!$K$5:$K$36,INT(($B146/J$5))+2)-INDEX('D Fleet'!$K$5:$K$36,INT(($B146/J$5))+1)),0)</f>
        <v/>
      </c>
      <c r="K146" s="350">
        <f>IFERROR(INDEX('D Fleet'!$F$5:$F$63,MATCH(K$3-$B146,'D Fleet'!$B$5:$B$63,0)),0)*IFERROR(INDEX('D Fleet'!$K$5:$K$36,INT(($B146/K$5))+1)+(($B146/K$5)-INT(($B146/K$5)))*(INDEX('D Fleet'!$K$5:$K$36,INT(($B146/K$5))+2)-INDEX('D Fleet'!$K$5:$K$36,INT(($B146/K$5))+1)),0)</f>
        <v/>
      </c>
      <c r="L146" s="350">
        <f>IFERROR(INDEX('D Fleet'!$F$5:$F$63,MATCH(L$3-$B146,'D Fleet'!$B$5:$B$63,0)),0)*IFERROR(INDEX('D Fleet'!$K$5:$K$36,INT(($B146/L$5))+1)+(($B146/L$5)-INT(($B146/L$5)))*(INDEX('D Fleet'!$K$5:$K$36,INT(($B146/L$5))+2)-INDEX('D Fleet'!$K$5:$K$36,INT(($B146/L$5))+1)),0)</f>
        <v/>
      </c>
      <c r="M146" s="350">
        <f>IFERROR(INDEX('D Fleet'!$F$5:$F$63,MATCH(M$3-$B146,'D Fleet'!$B$5:$B$63,0)),0)*IFERROR(INDEX('D Fleet'!$K$5:$K$36,INT(($B146/M$5))+1)+(($B146/M$5)-INT(($B146/M$5)))*(INDEX('D Fleet'!$K$5:$K$36,INT(($B146/M$5))+2)-INDEX('D Fleet'!$K$5:$K$36,INT(($B146/M$5))+1)),0)</f>
        <v/>
      </c>
      <c r="N146" s="350">
        <f>IFERROR(INDEX('D Fleet'!$F$5:$F$63,MATCH(N$3-$B146,'D Fleet'!$B$5:$B$63,0)),0)*IFERROR(INDEX('D Fleet'!$K$5:$K$36,INT(($B146/N$5))+1)+(($B146/N$5)-INT(($B146/N$5)))*(INDEX('D Fleet'!$K$5:$K$36,INT(($B146/N$5))+2)-INDEX('D Fleet'!$K$5:$K$36,INT(($B146/N$5))+1)),0)</f>
        <v/>
      </c>
      <c r="P146" s="350">
        <f>E146*$D146*'E1 Fleet'!$D$100</f>
        <v/>
      </c>
      <c r="Q146" s="350">
        <f>F146*$D146*'E1 Fleet'!$D$100</f>
        <v/>
      </c>
      <c r="R146" s="350">
        <f>G146*$D146*'E1 Fleet'!$D$100</f>
        <v/>
      </c>
      <c r="S146" s="350">
        <f>H146*$D146*'E1 Fleet'!$D$100</f>
        <v/>
      </c>
      <c r="T146" s="350">
        <f>I146*$D146*'E1 Fleet'!$D$100</f>
        <v/>
      </c>
      <c r="U146" s="350">
        <f>J146*$D146*'E1 Fleet'!$D$100</f>
        <v/>
      </c>
      <c r="V146" s="350">
        <f>K146*$D146*'E1 Fleet'!$D$100</f>
        <v/>
      </c>
      <c r="W146" s="350">
        <f>L146*$D146*'E1 Fleet'!$D$100</f>
        <v/>
      </c>
      <c r="X146" s="350">
        <f>M146*$D146*'E1 Fleet'!$D$100</f>
        <v/>
      </c>
      <c r="Y146" s="350">
        <f>N146*$D146*'E1 Fleet'!$D$100</f>
        <v/>
      </c>
    </row>
    <row r="147">
      <c r="A147" t="inlineStr">
        <is>
          <t>Van</t>
        </is>
      </c>
      <c r="B147" s="456" t="n">
        <v>2</v>
      </c>
      <c r="C147" s="456" t="n">
        <v>1</v>
      </c>
      <c r="D147" s="348">
        <f>IF($B147=0,'E1 Fleet'!$D$93,1)*EXP(-'E1 Fleet'!$D$94*MAX($B147-6,0))</f>
        <v/>
      </c>
      <c r="E147" s="350">
        <f>IFERROR(INDEX('D Fleet'!$F$5:$F$63,MATCH(E$3-$B147,'D Fleet'!$B$5:$B$63,0)),0)*IFERROR(INDEX('D Fleet'!$K$5:$K$36,INT(($B147/E$5))+1)+(($B147/E$5)-INT(($B147/E$5)))*(INDEX('D Fleet'!$K$5:$K$36,INT(($B147/E$5))+2)-INDEX('D Fleet'!$K$5:$K$36,INT(($B147/E$5))+1)),0)</f>
        <v/>
      </c>
      <c r="F147" s="350">
        <f>IFERROR(INDEX('D Fleet'!$F$5:$F$63,MATCH(F$3-$B147,'D Fleet'!$B$5:$B$63,0)),0)*IFERROR(INDEX('D Fleet'!$K$5:$K$36,INT(($B147/F$5))+1)+(($B147/F$5)-INT(($B147/F$5)))*(INDEX('D Fleet'!$K$5:$K$36,INT(($B147/F$5))+2)-INDEX('D Fleet'!$K$5:$K$36,INT(($B147/F$5))+1)),0)</f>
        <v/>
      </c>
      <c r="G147" s="350">
        <f>IFERROR(INDEX('D Fleet'!$F$5:$F$63,MATCH(G$3-$B147,'D Fleet'!$B$5:$B$63,0)),0)*IFERROR(INDEX('D Fleet'!$K$5:$K$36,INT(($B147/G$5))+1)+(($B147/G$5)-INT(($B147/G$5)))*(INDEX('D Fleet'!$K$5:$K$36,INT(($B147/G$5))+2)-INDEX('D Fleet'!$K$5:$K$36,INT(($B147/G$5))+1)),0)</f>
        <v/>
      </c>
      <c r="H147" s="350">
        <f>IFERROR(INDEX('D Fleet'!$F$5:$F$63,MATCH(H$3-$B147,'D Fleet'!$B$5:$B$63,0)),0)*IFERROR(INDEX('D Fleet'!$K$5:$K$36,INT(($B147/H$5))+1)+(($B147/H$5)-INT(($B147/H$5)))*(INDEX('D Fleet'!$K$5:$K$36,INT(($B147/H$5))+2)-INDEX('D Fleet'!$K$5:$K$36,INT(($B147/H$5))+1)),0)</f>
        <v/>
      </c>
      <c r="I147" s="350">
        <f>IFERROR(INDEX('D Fleet'!$F$5:$F$63,MATCH(I$3-$B147,'D Fleet'!$B$5:$B$63,0)),0)*IFERROR(INDEX('D Fleet'!$K$5:$K$36,INT(($B147/I$5))+1)+(($B147/I$5)-INT(($B147/I$5)))*(INDEX('D Fleet'!$K$5:$K$36,INT(($B147/I$5))+2)-INDEX('D Fleet'!$K$5:$K$36,INT(($B147/I$5))+1)),0)</f>
        <v/>
      </c>
      <c r="J147" s="350">
        <f>IFERROR(INDEX('D Fleet'!$F$5:$F$63,MATCH(J$3-$B147,'D Fleet'!$B$5:$B$63,0)),0)*IFERROR(INDEX('D Fleet'!$K$5:$K$36,INT(($B147/J$5))+1)+(($B147/J$5)-INT(($B147/J$5)))*(INDEX('D Fleet'!$K$5:$K$36,INT(($B147/J$5))+2)-INDEX('D Fleet'!$K$5:$K$36,INT(($B147/J$5))+1)),0)</f>
        <v/>
      </c>
      <c r="K147" s="350">
        <f>IFERROR(INDEX('D Fleet'!$F$5:$F$63,MATCH(K$3-$B147,'D Fleet'!$B$5:$B$63,0)),0)*IFERROR(INDEX('D Fleet'!$K$5:$K$36,INT(($B147/K$5))+1)+(($B147/K$5)-INT(($B147/K$5)))*(INDEX('D Fleet'!$K$5:$K$36,INT(($B147/K$5))+2)-INDEX('D Fleet'!$K$5:$K$36,INT(($B147/K$5))+1)),0)</f>
        <v/>
      </c>
      <c r="L147" s="350">
        <f>IFERROR(INDEX('D Fleet'!$F$5:$F$63,MATCH(L$3-$B147,'D Fleet'!$B$5:$B$63,0)),0)*IFERROR(INDEX('D Fleet'!$K$5:$K$36,INT(($B147/L$5))+1)+(($B147/L$5)-INT(($B147/L$5)))*(INDEX('D Fleet'!$K$5:$K$36,INT(($B147/L$5))+2)-INDEX('D Fleet'!$K$5:$K$36,INT(($B147/L$5))+1)),0)</f>
        <v/>
      </c>
      <c r="M147" s="350">
        <f>IFERROR(INDEX('D Fleet'!$F$5:$F$63,MATCH(M$3-$B147,'D Fleet'!$B$5:$B$63,0)),0)*IFERROR(INDEX('D Fleet'!$K$5:$K$36,INT(($B147/M$5))+1)+(($B147/M$5)-INT(($B147/M$5)))*(INDEX('D Fleet'!$K$5:$K$36,INT(($B147/M$5))+2)-INDEX('D Fleet'!$K$5:$K$36,INT(($B147/M$5))+1)),0)</f>
        <v/>
      </c>
      <c r="N147" s="350">
        <f>IFERROR(INDEX('D Fleet'!$F$5:$F$63,MATCH(N$3-$B147,'D Fleet'!$B$5:$B$63,0)),0)*IFERROR(INDEX('D Fleet'!$K$5:$K$36,INT(($B147/N$5))+1)+(($B147/N$5)-INT(($B147/N$5)))*(INDEX('D Fleet'!$K$5:$K$36,INT(($B147/N$5))+2)-INDEX('D Fleet'!$K$5:$K$36,INT(($B147/N$5))+1)),0)</f>
        <v/>
      </c>
      <c r="P147" s="350">
        <f>E147*$D147*'E1 Fleet'!$D$100</f>
        <v/>
      </c>
      <c r="Q147" s="350">
        <f>F147*$D147*'E1 Fleet'!$D$100</f>
        <v/>
      </c>
      <c r="R147" s="350">
        <f>G147*$D147*'E1 Fleet'!$D$100</f>
        <v/>
      </c>
      <c r="S147" s="350">
        <f>H147*$D147*'E1 Fleet'!$D$100</f>
        <v/>
      </c>
      <c r="T147" s="350">
        <f>I147*$D147*'E1 Fleet'!$D$100</f>
        <v/>
      </c>
      <c r="U147" s="350">
        <f>J147*$D147*'E1 Fleet'!$D$100</f>
        <v/>
      </c>
      <c r="V147" s="350">
        <f>K147*$D147*'E1 Fleet'!$D$100</f>
        <v/>
      </c>
      <c r="W147" s="350">
        <f>L147*$D147*'E1 Fleet'!$D$100</f>
        <v/>
      </c>
      <c r="X147" s="350">
        <f>M147*$D147*'E1 Fleet'!$D$100</f>
        <v/>
      </c>
      <c r="Y147" s="350">
        <f>N147*$D147*'E1 Fleet'!$D$100</f>
        <v/>
      </c>
    </row>
    <row r="148">
      <c r="A148" t="inlineStr">
        <is>
          <t>Van</t>
        </is>
      </c>
      <c r="B148" s="456" t="n">
        <v>3</v>
      </c>
      <c r="C148" s="456" t="n">
        <v>1</v>
      </c>
      <c r="D148" s="348">
        <f>IF($B148=0,'E1 Fleet'!$D$93,1)*EXP(-'E1 Fleet'!$D$94*MAX($B148-6,0))</f>
        <v/>
      </c>
      <c r="E148" s="350">
        <f>IFERROR(INDEX('D Fleet'!$F$5:$F$63,MATCH(E$3-$B148,'D Fleet'!$B$5:$B$63,0)),0)*IFERROR(INDEX('D Fleet'!$K$5:$K$36,INT(($B148/E$5))+1)+(($B148/E$5)-INT(($B148/E$5)))*(INDEX('D Fleet'!$K$5:$K$36,INT(($B148/E$5))+2)-INDEX('D Fleet'!$K$5:$K$36,INT(($B148/E$5))+1)),0)</f>
        <v/>
      </c>
      <c r="F148" s="350">
        <f>IFERROR(INDEX('D Fleet'!$F$5:$F$63,MATCH(F$3-$B148,'D Fleet'!$B$5:$B$63,0)),0)*IFERROR(INDEX('D Fleet'!$K$5:$K$36,INT(($B148/F$5))+1)+(($B148/F$5)-INT(($B148/F$5)))*(INDEX('D Fleet'!$K$5:$K$36,INT(($B148/F$5))+2)-INDEX('D Fleet'!$K$5:$K$36,INT(($B148/F$5))+1)),0)</f>
        <v/>
      </c>
      <c r="G148" s="350">
        <f>IFERROR(INDEX('D Fleet'!$F$5:$F$63,MATCH(G$3-$B148,'D Fleet'!$B$5:$B$63,0)),0)*IFERROR(INDEX('D Fleet'!$K$5:$K$36,INT(($B148/G$5))+1)+(($B148/G$5)-INT(($B148/G$5)))*(INDEX('D Fleet'!$K$5:$K$36,INT(($B148/G$5))+2)-INDEX('D Fleet'!$K$5:$K$36,INT(($B148/G$5))+1)),0)</f>
        <v/>
      </c>
      <c r="H148" s="350">
        <f>IFERROR(INDEX('D Fleet'!$F$5:$F$63,MATCH(H$3-$B148,'D Fleet'!$B$5:$B$63,0)),0)*IFERROR(INDEX('D Fleet'!$K$5:$K$36,INT(($B148/H$5))+1)+(($B148/H$5)-INT(($B148/H$5)))*(INDEX('D Fleet'!$K$5:$K$36,INT(($B148/H$5))+2)-INDEX('D Fleet'!$K$5:$K$36,INT(($B148/H$5))+1)),0)</f>
        <v/>
      </c>
      <c r="I148" s="350">
        <f>IFERROR(INDEX('D Fleet'!$F$5:$F$63,MATCH(I$3-$B148,'D Fleet'!$B$5:$B$63,0)),0)*IFERROR(INDEX('D Fleet'!$K$5:$K$36,INT(($B148/I$5))+1)+(($B148/I$5)-INT(($B148/I$5)))*(INDEX('D Fleet'!$K$5:$K$36,INT(($B148/I$5))+2)-INDEX('D Fleet'!$K$5:$K$36,INT(($B148/I$5))+1)),0)</f>
        <v/>
      </c>
      <c r="J148" s="350">
        <f>IFERROR(INDEX('D Fleet'!$F$5:$F$63,MATCH(J$3-$B148,'D Fleet'!$B$5:$B$63,0)),0)*IFERROR(INDEX('D Fleet'!$K$5:$K$36,INT(($B148/J$5))+1)+(($B148/J$5)-INT(($B148/J$5)))*(INDEX('D Fleet'!$K$5:$K$36,INT(($B148/J$5))+2)-INDEX('D Fleet'!$K$5:$K$36,INT(($B148/J$5))+1)),0)</f>
        <v/>
      </c>
      <c r="K148" s="350">
        <f>IFERROR(INDEX('D Fleet'!$F$5:$F$63,MATCH(K$3-$B148,'D Fleet'!$B$5:$B$63,0)),0)*IFERROR(INDEX('D Fleet'!$K$5:$K$36,INT(($B148/K$5))+1)+(($B148/K$5)-INT(($B148/K$5)))*(INDEX('D Fleet'!$K$5:$K$36,INT(($B148/K$5))+2)-INDEX('D Fleet'!$K$5:$K$36,INT(($B148/K$5))+1)),0)</f>
        <v/>
      </c>
      <c r="L148" s="350">
        <f>IFERROR(INDEX('D Fleet'!$F$5:$F$63,MATCH(L$3-$B148,'D Fleet'!$B$5:$B$63,0)),0)*IFERROR(INDEX('D Fleet'!$K$5:$K$36,INT(($B148/L$5))+1)+(($B148/L$5)-INT(($B148/L$5)))*(INDEX('D Fleet'!$K$5:$K$36,INT(($B148/L$5))+2)-INDEX('D Fleet'!$K$5:$K$36,INT(($B148/L$5))+1)),0)</f>
        <v/>
      </c>
      <c r="M148" s="350">
        <f>IFERROR(INDEX('D Fleet'!$F$5:$F$63,MATCH(M$3-$B148,'D Fleet'!$B$5:$B$63,0)),0)*IFERROR(INDEX('D Fleet'!$K$5:$K$36,INT(($B148/M$5))+1)+(($B148/M$5)-INT(($B148/M$5)))*(INDEX('D Fleet'!$K$5:$K$36,INT(($B148/M$5))+2)-INDEX('D Fleet'!$K$5:$K$36,INT(($B148/M$5))+1)),0)</f>
        <v/>
      </c>
      <c r="N148" s="350">
        <f>IFERROR(INDEX('D Fleet'!$F$5:$F$63,MATCH(N$3-$B148,'D Fleet'!$B$5:$B$63,0)),0)*IFERROR(INDEX('D Fleet'!$K$5:$K$36,INT(($B148/N$5))+1)+(($B148/N$5)-INT(($B148/N$5)))*(INDEX('D Fleet'!$K$5:$K$36,INT(($B148/N$5))+2)-INDEX('D Fleet'!$K$5:$K$36,INT(($B148/N$5))+1)),0)</f>
        <v/>
      </c>
      <c r="P148" s="350">
        <f>E148*$D148*'E1 Fleet'!$D$100</f>
        <v/>
      </c>
      <c r="Q148" s="350">
        <f>F148*$D148*'E1 Fleet'!$D$100</f>
        <v/>
      </c>
      <c r="R148" s="350">
        <f>G148*$D148*'E1 Fleet'!$D$100</f>
        <v/>
      </c>
      <c r="S148" s="350">
        <f>H148*$D148*'E1 Fleet'!$D$100</f>
        <v/>
      </c>
      <c r="T148" s="350">
        <f>I148*$D148*'E1 Fleet'!$D$100</f>
        <v/>
      </c>
      <c r="U148" s="350">
        <f>J148*$D148*'E1 Fleet'!$D$100</f>
        <v/>
      </c>
      <c r="V148" s="350">
        <f>K148*$D148*'E1 Fleet'!$D$100</f>
        <v/>
      </c>
      <c r="W148" s="350">
        <f>L148*$D148*'E1 Fleet'!$D$100</f>
        <v/>
      </c>
      <c r="X148" s="350">
        <f>M148*$D148*'E1 Fleet'!$D$100</f>
        <v/>
      </c>
      <c r="Y148" s="350">
        <f>N148*$D148*'E1 Fleet'!$D$100</f>
        <v/>
      </c>
    </row>
    <row r="149">
      <c r="A149" t="inlineStr">
        <is>
          <t>Van</t>
        </is>
      </c>
      <c r="B149" s="456" t="n">
        <v>4</v>
      </c>
      <c r="C149" s="456" t="n">
        <v>2</v>
      </c>
      <c r="D149" s="348">
        <f>IF($B149=0,'E1 Fleet'!$D$93,1)*EXP(-'E1 Fleet'!$D$94*MAX($B149-6,0))</f>
        <v/>
      </c>
      <c r="E149" s="350">
        <f>IFERROR(INDEX('D Fleet'!$F$5:$F$63,MATCH(E$3-$B149,'D Fleet'!$B$5:$B$63,0)),0)*IFERROR(INDEX('D Fleet'!$K$5:$K$36,INT(($B149/E$5))+1)+(($B149/E$5)-INT(($B149/E$5)))*(INDEX('D Fleet'!$K$5:$K$36,INT(($B149/E$5))+2)-INDEX('D Fleet'!$K$5:$K$36,INT(($B149/E$5))+1)),0)</f>
        <v/>
      </c>
      <c r="F149" s="350">
        <f>IFERROR(INDEX('D Fleet'!$F$5:$F$63,MATCH(F$3-$B149,'D Fleet'!$B$5:$B$63,0)),0)*IFERROR(INDEX('D Fleet'!$K$5:$K$36,INT(($B149/F$5))+1)+(($B149/F$5)-INT(($B149/F$5)))*(INDEX('D Fleet'!$K$5:$K$36,INT(($B149/F$5))+2)-INDEX('D Fleet'!$K$5:$K$36,INT(($B149/F$5))+1)),0)</f>
        <v/>
      </c>
      <c r="G149" s="350">
        <f>IFERROR(INDEX('D Fleet'!$F$5:$F$63,MATCH(G$3-$B149,'D Fleet'!$B$5:$B$63,0)),0)*IFERROR(INDEX('D Fleet'!$K$5:$K$36,INT(($B149/G$5))+1)+(($B149/G$5)-INT(($B149/G$5)))*(INDEX('D Fleet'!$K$5:$K$36,INT(($B149/G$5))+2)-INDEX('D Fleet'!$K$5:$K$36,INT(($B149/G$5))+1)),0)</f>
        <v/>
      </c>
      <c r="H149" s="350">
        <f>IFERROR(INDEX('D Fleet'!$F$5:$F$63,MATCH(H$3-$B149,'D Fleet'!$B$5:$B$63,0)),0)*IFERROR(INDEX('D Fleet'!$K$5:$K$36,INT(($B149/H$5))+1)+(($B149/H$5)-INT(($B149/H$5)))*(INDEX('D Fleet'!$K$5:$K$36,INT(($B149/H$5))+2)-INDEX('D Fleet'!$K$5:$K$36,INT(($B149/H$5))+1)),0)</f>
        <v/>
      </c>
      <c r="I149" s="350">
        <f>IFERROR(INDEX('D Fleet'!$F$5:$F$63,MATCH(I$3-$B149,'D Fleet'!$B$5:$B$63,0)),0)*IFERROR(INDEX('D Fleet'!$K$5:$K$36,INT(($B149/I$5))+1)+(($B149/I$5)-INT(($B149/I$5)))*(INDEX('D Fleet'!$K$5:$K$36,INT(($B149/I$5))+2)-INDEX('D Fleet'!$K$5:$K$36,INT(($B149/I$5))+1)),0)</f>
        <v/>
      </c>
      <c r="J149" s="350">
        <f>IFERROR(INDEX('D Fleet'!$F$5:$F$63,MATCH(J$3-$B149,'D Fleet'!$B$5:$B$63,0)),0)*IFERROR(INDEX('D Fleet'!$K$5:$K$36,INT(($B149/J$5))+1)+(($B149/J$5)-INT(($B149/J$5)))*(INDEX('D Fleet'!$K$5:$K$36,INT(($B149/J$5))+2)-INDEX('D Fleet'!$K$5:$K$36,INT(($B149/J$5))+1)),0)</f>
        <v/>
      </c>
      <c r="K149" s="350">
        <f>IFERROR(INDEX('D Fleet'!$F$5:$F$63,MATCH(K$3-$B149,'D Fleet'!$B$5:$B$63,0)),0)*IFERROR(INDEX('D Fleet'!$K$5:$K$36,INT(($B149/K$5))+1)+(($B149/K$5)-INT(($B149/K$5)))*(INDEX('D Fleet'!$K$5:$K$36,INT(($B149/K$5))+2)-INDEX('D Fleet'!$K$5:$K$36,INT(($B149/K$5))+1)),0)</f>
        <v/>
      </c>
      <c r="L149" s="350">
        <f>IFERROR(INDEX('D Fleet'!$F$5:$F$63,MATCH(L$3-$B149,'D Fleet'!$B$5:$B$63,0)),0)*IFERROR(INDEX('D Fleet'!$K$5:$K$36,INT(($B149/L$5))+1)+(($B149/L$5)-INT(($B149/L$5)))*(INDEX('D Fleet'!$K$5:$K$36,INT(($B149/L$5))+2)-INDEX('D Fleet'!$K$5:$K$36,INT(($B149/L$5))+1)),0)</f>
        <v/>
      </c>
      <c r="M149" s="350">
        <f>IFERROR(INDEX('D Fleet'!$F$5:$F$63,MATCH(M$3-$B149,'D Fleet'!$B$5:$B$63,0)),0)*IFERROR(INDEX('D Fleet'!$K$5:$K$36,INT(($B149/M$5))+1)+(($B149/M$5)-INT(($B149/M$5)))*(INDEX('D Fleet'!$K$5:$K$36,INT(($B149/M$5))+2)-INDEX('D Fleet'!$K$5:$K$36,INT(($B149/M$5))+1)),0)</f>
        <v/>
      </c>
      <c r="N149" s="350">
        <f>IFERROR(INDEX('D Fleet'!$F$5:$F$63,MATCH(N$3-$B149,'D Fleet'!$B$5:$B$63,0)),0)*IFERROR(INDEX('D Fleet'!$K$5:$K$36,INT(($B149/N$5))+1)+(($B149/N$5)-INT(($B149/N$5)))*(INDEX('D Fleet'!$K$5:$K$36,INT(($B149/N$5))+2)-INDEX('D Fleet'!$K$5:$K$36,INT(($B149/N$5))+1)),0)</f>
        <v/>
      </c>
      <c r="P149" s="350">
        <f>E149*$D149*'E1 Fleet'!$D$100</f>
        <v/>
      </c>
      <c r="Q149" s="350">
        <f>F149*$D149*'E1 Fleet'!$D$100</f>
        <v/>
      </c>
      <c r="R149" s="350">
        <f>G149*$D149*'E1 Fleet'!$D$100</f>
        <v/>
      </c>
      <c r="S149" s="350">
        <f>H149*$D149*'E1 Fleet'!$D$100</f>
        <v/>
      </c>
      <c r="T149" s="350">
        <f>I149*$D149*'E1 Fleet'!$D$100</f>
        <v/>
      </c>
      <c r="U149" s="350">
        <f>J149*$D149*'E1 Fleet'!$D$100</f>
        <v/>
      </c>
      <c r="V149" s="350">
        <f>K149*$D149*'E1 Fleet'!$D$100</f>
        <v/>
      </c>
      <c r="W149" s="350">
        <f>L149*$D149*'E1 Fleet'!$D$100</f>
        <v/>
      </c>
      <c r="X149" s="350">
        <f>M149*$D149*'E1 Fleet'!$D$100</f>
        <v/>
      </c>
      <c r="Y149" s="350">
        <f>N149*$D149*'E1 Fleet'!$D$100</f>
        <v/>
      </c>
    </row>
    <row r="150">
      <c r="A150" t="inlineStr">
        <is>
          <t>Van</t>
        </is>
      </c>
      <c r="B150" s="456" t="n">
        <v>5</v>
      </c>
      <c r="C150" s="456" t="n">
        <v>2</v>
      </c>
      <c r="D150" s="348">
        <f>IF($B150=0,'E1 Fleet'!$D$93,1)*EXP(-'E1 Fleet'!$D$94*MAX($B150-6,0))</f>
        <v/>
      </c>
      <c r="E150" s="350">
        <f>IFERROR(INDEX('D Fleet'!$F$5:$F$63,MATCH(E$3-$B150,'D Fleet'!$B$5:$B$63,0)),0)*IFERROR(INDEX('D Fleet'!$K$5:$K$36,INT(($B150/E$5))+1)+(($B150/E$5)-INT(($B150/E$5)))*(INDEX('D Fleet'!$K$5:$K$36,INT(($B150/E$5))+2)-INDEX('D Fleet'!$K$5:$K$36,INT(($B150/E$5))+1)),0)</f>
        <v/>
      </c>
      <c r="F150" s="350">
        <f>IFERROR(INDEX('D Fleet'!$F$5:$F$63,MATCH(F$3-$B150,'D Fleet'!$B$5:$B$63,0)),0)*IFERROR(INDEX('D Fleet'!$K$5:$K$36,INT(($B150/F$5))+1)+(($B150/F$5)-INT(($B150/F$5)))*(INDEX('D Fleet'!$K$5:$K$36,INT(($B150/F$5))+2)-INDEX('D Fleet'!$K$5:$K$36,INT(($B150/F$5))+1)),0)</f>
        <v/>
      </c>
      <c r="G150" s="350">
        <f>IFERROR(INDEX('D Fleet'!$F$5:$F$63,MATCH(G$3-$B150,'D Fleet'!$B$5:$B$63,0)),0)*IFERROR(INDEX('D Fleet'!$K$5:$K$36,INT(($B150/G$5))+1)+(($B150/G$5)-INT(($B150/G$5)))*(INDEX('D Fleet'!$K$5:$K$36,INT(($B150/G$5))+2)-INDEX('D Fleet'!$K$5:$K$36,INT(($B150/G$5))+1)),0)</f>
        <v/>
      </c>
      <c r="H150" s="350">
        <f>IFERROR(INDEX('D Fleet'!$F$5:$F$63,MATCH(H$3-$B150,'D Fleet'!$B$5:$B$63,0)),0)*IFERROR(INDEX('D Fleet'!$K$5:$K$36,INT(($B150/H$5))+1)+(($B150/H$5)-INT(($B150/H$5)))*(INDEX('D Fleet'!$K$5:$K$36,INT(($B150/H$5))+2)-INDEX('D Fleet'!$K$5:$K$36,INT(($B150/H$5))+1)),0)</f>
        <v/>
      </c>
      <c r="I150" s="350">
        <f>IFERROR(INDEX('D Fleet'!$F$5:$F$63,MATCH(I$3-$B150,'D Fleet'!$B$5:$B$63,0)),0)*IFERROR(INDEX('D Fleet'!$K$5:$K$36,INT(($B150/I$5))+1)+(($B150/I$5)-INT(($B150/I$5)))*(INDEX('D Fleet'!$K$5:$K$36,INT(($B150/I$5))+2)-INDEX('D Fleet'!$K$5:$K$36,INT(($B150/I$5))+1)),0)</f>
        <v/>
      </c>
      <c r="J150" s="350">
        <f>IFERROR(INDEX('D Fleet'!$F$5:$F$63,MATCH(J$3-$B150,'D Fleet'!$B$5:$B$63,0)),0)*IFERROR(INDEX('D Fleet'!$K$5:$K$36,INT(($B150/J$5))+1)+(($B150/J$5)-INT(($B150/J$5)))*(INDEX('D Fleet'!$K$5:$K$36,INT(($B150/J$5))+2)-INDEX('D Fleet'!$K$5:$K$36,INT(($B150/J$5))+1)),0)</f>
        <v/>
      </c>
      <c r="K150" s="350">
        <f>IFERROR(INDEX('D Fleet'!$F$5:$F$63,MATCH(K$3-$B150,'D Fleet'!$B$5:$B$63,0)),0)*IFERROR(INDEX('D Fleet'!$K$5:$K$36,INT(($B150/K$5))+1)+(($B150/K$5)-INT(($B150/K$5)))*(INDEX('D Fleet'!$K$5:$K$36,INT(($B150/K$5))+2)-INDEX('D Fleet'!$K$5:$K$36,INT(($B150/K$5))+1)),0)</f>
        <v/>
      </c>
      <c r="L150" s="350">
        <f>IFERROR(INDEX('D Fleet'!$F$5:$F$63,MATCH(L$3-$B150,'D Fleet'!$B$5:$B$63,0)),0)*IFERROR(INDEX('D Fleet'!$K$5:$K$36,INT(($B150/L$5))+1)+(($B150/L$5)-INT(($B150/L$5)))*(INDEX('D Fleet'!$K$5:$K$36,INT(($B150/L$5))+2)-INDEX('D Fleet'!$K$5:$K$36,INT(($B150/L$5))+1)),0)</f>
        <v/>
      </c>
      <c r="M150" s="350">
        <f>IFERROR(INDEX('D Fleet'!$F$5:$F$63,MATCH(M$3-$B150,'D Fleet'!$B$5:$B$63,0)),0)*IFERROR(INDEX('D Fleet'!$K$5:$K$36,INT(($B150/M$5))+1)+(($B150/M$5)-INT(($B150/M$5)))*(INDEX('D Fleet'!$K$5:$K$36,INT(($B150/M$5))+2)-INDEX('D Fleet'!$K$5:$K$36,INT(($B150/M$5))+1)),0)</f>
        <v/>
      </c>
      <c r="N150" s="350">
        <f>IFERROR(INDEX('D Fleet'!$F$5:$F$63,MATCH(N$3-$B150,'D Fleet'!$B$5:$B$63,0)),0)*IFERROR(INDEX('D Fleet'!$K$5:$K$36,INT(($B150/N$5))+1)+(($B150/N$5)-INT(($B150/N$5)))*(INDEX('D Fleet'!$K$5:$K$36,INT(($B150/N$5))+2)-INDEX('D Fleet'!$K$5:$K$36,INT(($B150/N$5))+1)),0)</f>
        <v/>
      </c>
      <c r="P150" s="350">
        <f>E150*$D150*'E1 Fleet'!$D$100</f>
        <v/>
      </c>
      <c r="Q150" s="350">
        <f>F150*$D150*'E1 Fleet'!$D$100</f>
        <v/>
      </c>
      <c r="R150" s="350">
        <f>G150*$D150*'E1 Fleet'!$D$100</f>
        <v/>
      </c>
      <c r="S150" s="350">
        <f>H150*$D150*'E1 Fleet'!$D$100</f>
        <v/>
      </c>
      <c r="T150" s="350">
        <f>I150*$D150*'E1 Fleet'!$D$100</f>
        <v/>
      </c>
      <c r="U150" s="350">
        <f>J150*$D150*'E1 Fleet'!$D$100</f>
        <v/>
      </c>
      <c r="V150" s="350">
        <f>K150*$D150*'E1 Fleet'!$D$100</f>
        <v/>
      </c>
      <c r="W150" s="350">
        <f>L150*$D150*'E1 Fleet'!$D$100</f>
        <v/>
      </c>
      <c r="X150" s="350">
        <f>M150*$D150*'E1 Fleet'!$D$100</f>
        <v/>
      </c>
      <c r="Y150" s="350">
        <f>N150*$D150*'E1 Fleet'!$D$100</f>
        <v/>
      </c>
    </row>
    <row r="151">
      <c r="A151" t="inlineStr">
        <is>
          <t>Van</t>
        </is>
      </c>
      <c r="B151" s="456" t="n">
        <v>6</v>
      </c>
      <c r="C151" s="456" t="n">
        <v>2</v>
      </c>
      <c r="D151" s="348">
        <f>IF($B151=0,'E1 Fleet'!$D$93,1)*EXP(-'E1 Fleet'!$D$94*MAX($B151-6,0))</f>
        <v/>
      </c>
      <c r="E151" s="350">
        <f>IFERROR(INDEX('D Fleet'!$F$5:$F$63,MATCH(E$3-$B151,'D Fleet'!$B$5:$B$63,0)),0)*IFERROR(INDEX('D Fleet'!$K$5:$K$36,INT(($B151/E$5))+1)+(($B151/E$5)-INT(($B151/E$5)))*(INDEX('D Fleet'!$K$5:$K$36,INT(($B151/E$5))+2)-INDEX('D Fleet'!$K$5:$K$36,INT(($B151/E$5))+1)),0)</f>
        <v/>
      </c>
      <c r="F151" s="350">
        <f>IFERROR(INDEX('D Fleet'!$F$5:$F$63,MATCH(F$3-$B151,'D Fleet'!$B$5:$B$63,0)),0)*IFERROR(INDEX('D Fleet'!$K$5:$K$36,INT(($B151/F$5))+1)+(($B151/F$5)-INT(($B151/F$5)))*(INDEX('D Fleet'!$K$5:$K$36,INT(($B151/F$5))+2)-INDEX('D Fleet'!$K$5:$K$36,INT(($B151/F$5))+1)),0)</f>
        <v/>
      </c>
      <c r="G151" s="350">
        <f>IFERROR(INDEX('D Fleet'!$F$5:$F$63,MATCH(G$3-$B151,'D Fleet'!$B$5:$B$63,0)),0)*IFERROR(INDEX('D Fleet'!$K$5:$K$36,INT(($B151/G$5))+1)+(($B151/G$5)-INT(($B151/G$5)))*(INDEX('D Fleet'!$K$5:$K$36,INT(($B151/G$5))+2)-INDEX('D Fleet'!$K$5:$K$36,INT(($B151/G$5))+1)),0)</f>
        <v/>
      </c>
      <c r="H151" s="350">
        <f>IFERROR(INDEX('D Fleet'!$F$5:$F$63,MATCH(H$3-$B151,'D Fleet'!$B$5:$B$63,0)),0)*IFERROR(INDEX('D Fleet'!$K$5:$K$36,INT(($B151/H$5))+1)+(($B151/H$5)-INT(($B151/H$5)))*(INDEX('D Fleet'!$K$5:$K$36,INT(($B151/H$5))+2)-INDEX('D Fleet'!$K$5:$K$36,INT(($B151/H$5))+1)),0)</f>
        <v/>
      </c>
      <c r="I151" s="350">
        <f>IFERROR(INDEX('D Fleet'!$F$5:$F$63,MATCH(I$3-$B151,'D Fleet'!$B$5:$B$63,0)),0)*IFERROR(INDEX('D Fleet'!$K$5:$K$36,INT(($B151/I$5))+1)+(($B151/I$5)-INT(($B151/I$5)))*(INDEX('D Fleet'!$K$5:$K$36,INT(($B151/I$5))+2)-INDEX('D Fleet'!$K$5:$K$36,INT(($B151/I$5))+1)),0)</f>
        <v/>
      </c>
      <c r="J151" s="350">
        <f>IFERROR(INDEX('D Fleet'!$F$5:$F$63,MATCH(J$3-$B151,'D Fleet'!$B$5:$B$63,0)),0)*IFERROR(INDEX('D Fleet'!$K$5:$K$36,INT(($B151/J$5))+1)+(($B151/J$5)-INT(($B151/J$5)))*(INDEX('D Fleet'!$K$5:$K$36,INT(($B151/J$5))+2)-INDEX('D Fleet'!$K$5:$K$36,INT(($B151/J$5))+1)),0)</f>
        <v/>
      </c>
      <c r="K151" s="350">
        <f>IFERROR(INDEX('D Fleet'!$F$5:$F$63,MATCH(K$3-$B151,'D Fleet'!$B$5:$B$63,0)),0)*IFERROR(INDEX('D Fleet'!$K$5:$K$36,INT(($B151/K$5))+1)+(($B151/K$5)-INT(($B151/K$5)))*(INDEX('D Fleet'!$K$5:$K$36,INT(($B151/K$5))+2)-INDEX('D Fleet'!$K$5:$K$36,INT(($B151/K$5))+1)),0)</f>
        <v/>
      </c>
      <c r="L151" s="350">
        <f>IFERROR(INDEX('D Fleet'!$F$5:$F$63,MATCH(L$3-$B151,'D Fleet'!$B$5:$B$63,0)),0)*IFERROR(INDEX('D Fleet'!$K$5:$K$36,INT(($B151/L$5))+1)+(($B151/L$5)-INT(($B151/L$5)))*(INDEX('D Fleet'!$K$5:$K$36,INT(($B151/L$5))+2)-INDEX('D Fleet'!$K$5:$K$36,INT(($B151/L$5))+1)),0)</f>
        <v/>
      </c>
      <c r="M151" s="350">
        <f>IFERROR(INDEX('D Fleet'!$F$5:$F$63,MATCH(M$3-$B151,'D Fleet'!$B$5:$B$63,0)),0)*IFERROR(INDEX('D Fleet'!$K$5:$K$36,INT(($B151/M$5))+1)+(($B151/M$5)-INT(($B151/M$5)))*(INDEX('D Fleet'!$K$5:$K$36,INT(($B151/M$5))+2)-INDEX('D Fleet'!$K$5:$K$36,INT(($B151/M$5))+1)),0)</f>
        <v/>
      </c>
      <c r="N151" s="350">
        <f>IFERROR(INDEX('D Fleet'!$F$5:$F$63,MATCH(N$3-$B151,'D Fleet'!$B$5:$B$63,0)),0)*IFERROR(INDEX('D Fleet'!$K$5:$K$36,INT(($B151/N$5))+1)+(($B151/N$5)-INT(($B151/N$5)))*(INDEX('D Fleet'!$K$5:$K$36,INT(($B151/N$5))+2)-INDEX('D Fleet'!$K$5:$K$36,INT(($B151/N$5))+1)),0)</f>
        <v/>
      </c>
      <c r="P151" s="350">
        <f>E151*$D151*'E1 Fleet'!$D$100</f>
        <v/>
      </c>
      <c r="Q151" s="350">
        <f>F151*$D151*'E1 Fleet'!$D$100</f>
        <v/>
      </c>
      <c r="R151" s="350">
        <f>G151*$D151*'E1 Fleet'!$D$100</f>
        <v/>
      </c>
      <c r="S151" s="350">
        <f>H151*$D151*'E1 Fleet'!$D$100</f>
        <v/>
      </c>
      <c r="T151" s="350">
        <f>I151*$D151*'E1 Fleet'!$D$100</f>
        <v/>
      </c>
      <c r="U151" s="350">
        <f>J151*$D151*'E1 Fleet'!$D$100</f>
        <v/>
      </c>
      <c r="V151" s="350">
        <f>K151*$D151*'E1 Fleet'!$D$100</f>
        <v/>
      </c>
      <c r="W151" s="350">
        <f>L151*$D151*'E1 Fleet'!$D$100</f>
        <v/>
      </c>
      <c r="X151" s="350">
        <f>M151*$D151*'E1 Fleet'!$D$100</f>
        <v/>
      </c>
      <c r="Y151" s="350">
        <f>N151*$D151*'E1 Fleet'!$D$100</f>
        <v/>
      </c>
    </row>
    <row r="152">
      <c r="A152" t="inlineStr">
        <is>
          <t>Van</t>
        </is>
      </c>
      <c r="B152" s="456" t="n">
        <v>7</v>
      </c>
      <c r="C152" s="456" t="n">
        <v>3</v>
      </c>
      <c r="D152" s="348">
        <f>IF($B152=0,'E1 Fleet'!$D$93,1)*EXP(-'E1 Fleet'!$D$94*MAX($B152-6,0))</f>
        <v/>
      </c>
      <c r="E152" s="350">
        <f>IFERROR(INDEX('D Fleet'!$F$5:$F$63,MATCH(E$3-$B152,'D Fleet'!$B$5:$B$63,0)),0)*IFERROR(INDEX('D Fleet'!$K$5:$K$36,INT(($B152/E$5))+1)+(($B152/E$5)-INT(($B152/E$5)))*(INDEX('D Fleet'!$K$5:$K$36,INT(($B152/E$5))+2)-INDEX('D Fleet'!$K$5:$K$36,INT(($B152/E$5))+1)),0)</f>
        <v/>
      </c>
      <c r="F152" s="350">
        <f>IFERROR(INDEX('D Fleet'!$F$5:$F$63,MATCH(F$3-$B152,'D Fleet'!$B$5:$B$63,0)),0)*IFERROR(INDEX('D Fleet'!$K$5:$K$36,INT(($B152/F$5))+1)+(($B152/F$5)-INT(($B152/F$5)))*(INDEX('D Fleet'!$K$5:$K$36,INT(($B152/F$5))+2)-INDEX('D Fleet'!$K$5:$K$36,INT(($B152/F$5))+1)),0)</f>
        <v/>
      </c>
      <c r="G152" s="350">
        <f>IFERROR(INDEX('D Fleet'!$F$5:$F$63,MATCH(G$3-$B152,'D Fleet'!$B$5:$B$63,0)),0)*IFERROR(INDEX('D Fleet'!$K$5:$K$36,INT(($B152/G$5))+1)+(($B152/G$5)-INT(($B152/G$5)))*(INDEX('D Fleet'!$K$5:$K$36,INT(($B152/G$5))+2)-INDEX('D Fleet'!$K$5:$K$36,INT(($B152/G$5))+1)),0)</f>
        <v/>
      </c>
      <c r="H152" s="350">
        <f>IFERROR(INDEX('D Fleet'!$F$5:$F$63,MATCH(H$3-$B152,'D Fleet'!$B$5:$B$63,0)),0)*IFERROR(INDEX('D Fleet'!$K$5:$K$36,INT(($B152/H$5))+1)+(($B152/H$5)-INT(($B152/H$5)))*(INDEX('D Fleet'!$K$5:$K$36,INT(($B152/H$5))+2)-INDEX('D Fleet'!$K$5:$K$36,INT(($B152/H$5))+1)),0)</f>
        <v/>
      </c>
      <c r="I152" s="350">
        <f>IFERROR(INDEX('D Fleet'!$F$5:$F$63,MATCH(I$3-$B152,'D Fleet'!$B$5:$B$63,0)),0)*IFERROR(INDEX('D Fleet'!$K$5:$K$36,INT(($B152/I$5))+1)+(($B152/I$5)-INT(($B152/I$5)))*(INDEX('D Fleet'!$K$5:$K$36,INT(($B152/I$5))+2)-INDEX('D Fleet'!$K$5:$K$36,INT(($B152/I$5))+1)),0)</f>
        <v/>
      </c>
      <c r="J152" s="350">
        <f>IFERROR(INDEX('D Fleet'!$F$5:$F$63,MATCH(J$3-$B152,'D Fleet'!$B$5:$B$63,0)),0)*IFERROR(INDEX('D Fleet'!$K$5:$K$36,INT(($B152/J$5))+1)+(($B152/J$5)-INT(($B152/J$5)))*(INDEX('D Fleet'!$K$5:$K$36,INT(($B152/J$5))+2)-INDEX('D Fleet'!$K$5:$K$36,INT(($B152/J$5))+1)),0)</f>
        <v/>
      </c>
      <c r="K152" s="350">
        <f>IFERROR(INDEX('D Fleet'!$F$5:$F$63,MATCH(K$3-$B152,'D Fleet'!$B$5:$B$63,0)),0)*IFERROR(INDEX('D Fleet'!$K$5:$K$36,INT(($B152/K$5))+1)+(($B152/K$5)-INT(($B152/K$5)))*(INDEX('D Fleet'!$K$5:$K$36,INT(($B152/K$5))+2)-INDEX('D Fleet'!$K$5:$K$36,INT(($B152/K$5))+1)),0)</f>
        <v/>
      </c>
      <c r="L152" s="350">
        <f>IFERROR(INDEX('D Fleet'!$F$5:$F$63,MATCH(L$3-$B152,'D Fleet'!$B$5:$B$63,0)),0)*IFERROR(INDEX('D Fleet'!$K$5:$K$36,INT(($B152/L$5))+1)+(($B152/L$5)-INT(($B152/L$5)))*(INDEX('D Fleet'!$K$5:$K$36,INT(($B152/L$5))+2)-INDEX('D Fleet'!$K$5:$K$36,INT(($B152/L$5))+1)),0)</f>
        <v/>
      </c>
      <c r="M152" s="350">
        <f>IFERROR(INDEX('D Fleet'!$F$5:$F$63,MATCH(M$3-$B152,'D Fleet'!$B$5:$B$63,0)),0)*IFERROR(INDEX('D Fleet'!$K$5:$K$36,INT(($B152/M$5))+1)+(($B152/M$5)-INT(($B152/M$5)))*(INDEX('D Fleet'!$K$5:$K$36,INT(($B152/M$5))+2)-INDEX('D Fleet'!$K$5:$K$36,INT(($B152/M$5))+1)),0)</f>
        <v/>
      </c>
      <c r="N152" s="350">
        <f>IFERROR(INDEX('D Fleet'!$F$5:$F$63,MATCH(N$3-$B152,'D Fleet'!$B$5:$B$63,0)),0)*IFERROR(INDEX('D Fleet'!$K$5:$K$36,INT(($B152/N$5))+1)+(($B152/N$5)-INT(($B152/N$5)))*(INDEX('D Fleet'!$K$5:$K$36,INT(($B152/N$5))+2)-INDEX('D Fleet'!$K$5:$K$36,INT(($B152/N$5))+1)),0)</f>
        <v/>
      </c>
      <c r="P152" s="350">
        <f>E152*$D152*'E1 Fleet'!$D$100</f>
        <v/>
      </c>
      <c r="Q152" s="350">
        <f>F152*$D152*'E1 Fleet'!$D$100</f>
        <v/>
      </c>
      <c r="R152" s="350">
        <f>G152*$D152*'E1 Fleet'!$D$100</f>
        <v/>
      </c>
      <c r="S152" s="350">
        <f>H152*$D152*'E1 Fleet'!$D$100</f>
        <v/>
      </c>
      <c r="T152" s="350">
        <f>I152*$D152*'E1 Fleet'!$D$100</f>
        <v/>
      </c>
      <c r="U152" s="350">
        <f>J152*$D152*'E1 Fleet'!$D$100</f>
        <v/>
      </c>
      <c r="V152" s="350">
        <f>K152*$D152*'E1 Fleet'!$D$100</f>
        <v/>
      </c>
      <c r="W152" s="350">
        <f>L152*$D152*'E1 Fleet'!$D$100</f>
        <v/>
      </c>
      <c r="X152" s="350">
        <f>M152*$D152*'E1 Fleet'!$D$100</f>
        <v/>
      </c>
      <c r="Y152" s="350">
        <f>N152*$D152*'E1 Fleet'!$D$100</f>
        <v/>
      </c>
    </row>
    <row r="153">
      <c r="A153" t="inlineStr">
        <is>
          <t>Van</t>
        </is>
      </c>
      <c r="B153" s="456" t="n">
        <v>8</v>
      </c>
      <c r="C153" s="456" t="n">
        <v>3</v>
      </c>
      <c r="D153" s="348">
        <f>IF($B153=0,'E1 Fleet'!$D$93,1)*EXP(-'E1 Fleet'!$D$94*MAX($B153-6,0))</f>
        <v/>
      </c>
      <c r="E153" s="350">
        <f>IFERROR(INDEX('D Fleet'!$F$5:$F$63,MATCH(E$3-$B153,'D Fleet'!$B$5:$B$63,0)),0)*IFERROR(INDEX('D Fleet'!$K$5:$K$36,INT(($B153/E$5))+1)+(($B153/E$5)-INT(($B153/E$5)))*(INDEX('D Fleet'!$K$5:$K$36,INT(($B153/E$5))+2)-INDEX('D Fleet'!$K$5:$K$36,INT(($B153/E$5))+1)),0)</f>
        <v/>
      </c>
      <c r="F153" s="350">
        <f>IFERROR(INDEX('D Fleet'!$F$5:$F$63,MATCH(F$3-$B153,'D Fleet'!$B$5:$B$63,0)),0)*IFERROR(INDEX('D Fleet'!$K$5:$K$36,INT(($B153/F$5))+1)+(($B153/F$5)-INT(($B153/F$5)))*(INDEX('D Fleet'!$K$5:$K$36,INT(($B153/F$5))+2)-INDEX('D Fleet'!$K$5:$K$36,INT(($B153/F$5))+1)),0)</f>
        <v/>
      </c>
      <c r="G153" s="350">
        <f>IFERROR(INDEX('D Fleet'!$F$5:$F$63,MATCH(G$3-$B153,'D Fleet'!$B$5:$B$63,0)),0)*IFERROR(INDEX('D Fleet'!$K$5:$K$36,INT(($B153/G$5))+1)+(($B153/G$5)-INT(($B153/G$5)))*(INDEX('D Fleet'!$K$5:$K$36,INT(($B153/G$5))+2)-INDEX('D Fleet'!$K$5:$K$36,INT(($B153/G$5))+1)),0)</f>
        <v/>
      </c>
      <c r="H153" s="350">
        <f>IFERROR(INDEX('D Fleet'!$F$5:$F$63,MATCH(H$3-$B153,'D Fleet'!$B$5:$B$63,0)),0)*IFERROR(INDEX('D Fleet'!$K$5:$K$36,INT(($B153/H$5))+1)+(($B153/H$5)-INT(($B153/H$5)))*(INDEX('D Fleet'!$K$5:$K$36,INT(($B153/H$5))+2)-INDEX('D Fleet'!$K$5:$K$36,INT(($B153/H$5))+1)),0)</f>
        <v/>
      </c>
      <c r="I153" s="350">
        <f>IFERROR(INDEX('D Fleet'!$F$5:$F$63,MATCH(I$3-$B153,'D Fleet'!$B$5:$B$63,0)),0)*IFERROR(INDEX('D Fleet'!$K$5:$K$36,INT(($B153/I$5))+1)+(($B153/I$5)-INT(($B153/I$5)))*(INDEX('D Fleet'!$K$5:$K$36,INT(($B153/I$5))+2)-INDEX('D Fleet'!$K$5:$K$36,INT(($B153/I$5))+1)),0)</f>
        <v/>
      </c>
      <c r="J153" s="350">
        <f>IFERROR(INDEX('D Fleet'!$F$5:$F$63,MATCH(J$3-$B153,'D Fleet'!$B$5:$B$63,0)),0)*IFERROR(INDEX('D Fleet'!$K$5:$K$36,INT(($B153/J$5))+1)+(($B153/J$5)-INT(($B153/J$5)))*(INDEX('D Fleet'!$K$5:$K$36,INT(($B153/J$5))+2)-INDEX('D Fleet'!$K$5:$K$36,INT(($B153/J$5))+1)),0)</f>
        <v/>
      </c>
      <c r="K153" s="350">
        <f>IFERROR(INDEX('D Fleet'!$F$5:$F$63,MATCH(K$3-$B153,'D Fleet'!$B$5:$B$63,0)),0)*IFERROR(INDEX('D Fleet'!$K$5:$K$36,INT(($B153/K$5))+1)+(($B153/K$5)-INT(($B153/K$5)))*(INDEX('D Fleet'!$K$5:$K$36,INT(($B153/K$5))+2)-INDEX('D Fleet'!$K$5:$K$36,INT(($B153/K$5))+1)),0)</f>
        <v/>
      </c>
      <c r="L153" s="350">
        <f>IFERROR(INDEX('D Fleet'!$F$5:$F$63,MATCH(L$3-$B153,'D Fleet'!$B$5:$B$63,0)),0)*IFERROR(INDEX('D Fleet'!$K$5:$K$36,INT(($B153/L$5))+1)+(($B153/L$5)-INT(($B153/L$5)))*(INDEX('D Fleet'!$K$5:$K$36,INT(($B153/L$5))+2)-INDEX('D Fleet'!$K$5:$K$36,INT(($B153/L$5))+1)),0)</f>
        <v/>
      </c>
      <c r="M153" s="350">
        <f>IFERROR(INDEX('D Fleet'!$F$5:$F$63,MATCH(M$3-$B153,'D Fleet'!$B$5:$B$63,0)),0)*IFERROR(INDEX('D Fleet'!$K$5:$K$36,INT(($B153/M$5))+1)+(($B153/M$5)-INT(($B153/M$5)))*(INDEX('D Fleet'!$K$5:$K$36,INT(($B153/M$5))+2)-INDEX('D Fleet'!$K$5:$K$36,INT(($B153/M$5))+1)),0)</f>
        <v/>
      </c>
      <c r="N153" s="350">
        <f>IFERROR(INDEX('D Fleet'!$F$5:$F$63,MATCH(N$3-$B153,'D Fleet'!$B$5:$B$63,0)),0)*IFERROR(INDEX('D Fleet'!$K$5:$K$36,INT(($B153/N$5))+1)+(($B153/N$5)-INT(($B153/N$5)))*(INDEX('D Fleet'!$K$5:$K$36,INT(($B153/N$5))+2)-INDEX('D Fleet'!$K$5:$K$36,INT(($B153/N$5))+1)),0)</f>
        <v/>
      </c>
      <c r="P153" s="350">
        <f>E153*$D153*'E1 Fleet'!$D$100</f>
        <v/>
      </c>
      <c r="Q153" s="350">
        <f>F153*$D153*'E1 Fleet'!$D$100</f>
        <v/>
      </c>
      <c r="R153" s="350">
        <f>G153*$D153*'E1 Fleet'!$D$100</f>
        <v/>
      </c>
      <c r="S153" s="350">
        <f>H153*$D153*'E1 Fleet'!$D$100</f>
        <v/>
      </c>
      <c r="T153" s="350">
        <f>I153*$D153*'E1 Fleet'!$D$100</f>
        <v/>
      </c>
      <c r="U153" s="350">
        <f>J153*$D153*'E1 Fleet'!$D$100</f>
        <v/>
      </c>
      <c r="V153" s="350">
        <f>K153*$D153*'E1 Fleet'!$D$100</f>
        <v/>
      </c>
      <c r="W153" s="350">
        <f>L153*$D153*'E1 Fleet'!$D$100</f>
        <v/>
      </c>
      <c r="X153" s="350">
        <f>M153*$D153*'E1 Fleet'!$D$100</f>
        <v/>
      </c>
      <c r="Y153" s="350">
        <f>N153*$D153*'E1 Fleet'!$D$100</f>
        <v/>
      </c>
    </row>
    <row r="154">
      <c r="A154" t="inlineStr">
        <is>
          <t>Van</t>
        </is>
      </c>
      <c r="B154" s="456" t="n">
        <v>9</v>
      </c>
      <c r="C154" s="456" t="n">
        <v>3</v>
      </c>
      <c r="D154" s="348">
        <f>IF($B154=0,'E1 Fleet'!$D$93,1)*EXP(-'E1 Fleet'!$D$94*MAX($B154-6,0))</f>
        <v/>
      </c>
      <c r="E154" s="350">
        <f>IFERROR(INDEX('D Fleet'!$F$5:$F$63,MATCH(E$3-$B154,'D Fleet'!$B$5:$B$63,0)),0)*IFERROR(INDEX('D Fleet'!$K$5:$K$36,INT(($B154/E$5))+1)+(($B154/E$5)-INT(($B154/E$5)))*(INDEX('D Fleet'!$K$5:$K$36,INT(($B154/E$5))+2)-INDEX('D Fleet'!$K$5:$K$36,INT(($B154/E$5))+1)),0)</f>
        <v/>
      </c>
      <c r="F154" s="350">
        <f>IFERROR(INDEX('D Fleet'!$F$5:$F$63,MATCH(F$3-$B154,'D Fleet'!$B$5:$B$63,0)),0)*IFERROR(INDEX('D Fleet'!$K$5:$K$36,INT(($B154/F$5))+1)+(($B154/F$5)-INT(($B154/F$5)))*(INDEX('D Fleet'!$K$5:$K$36,INT(($B154/F$5))+2)-INDEX('D Fleet'!$K$5:$K$36,INT(($B154/F$5))+1)),0)</f>
        <v/>
      </c>
      <c r="G154" s="350">
        <f>IFERROR(INDEX('D Fleet'!$F$5:$F$63,MATCH(G$3-$B154,'D Fleet'!$B$5:$B$63,0)),0)*IFERROR(INDEX('D Fleet'!$K$5:$K$36,INT(($B154/G$5))+1)+(($B154/G$5)-INT(($B154/G$5)))*(INDEX('D Fleet'!$K$5:$K$36,INT(($B154/G$5))+2)-INDEX('D Fleet'!$K$5:$K$36,INT(($B154/G$5))+1)),0)</f>
        <v/>
      </c>
      <c r="H154" s="350">
        <f>IFERROR(INDEX('D Fleet'!$F$5:$F$63,MATCH(H$3-$B154,'D Fleet'!$B$5:$B$63,0)),0)*IFERROR(INDEX('D Fleet'!$K$5:$K$36,INT(($B154/H$5))+1)+(($B154/H$5)-INT(($B154/H$5)))*(INDEX('D Fleet'!$K$5:$K$36,INT(($B154/H$5))+2)-INDEX('D Fleet'!$K$5:$K$36,INT(($B154/H$5))+1)),0)</f>
        <v/>
      </c>
      <c r="I154" s="350">
        <f>IFERROR(INDEX('D Fleet'!$F$5:$F$63,MATCH(I$3-$B154,'D Fleet'!$B$5:$B$63,0)),0)*IFERROR(INDEX('D Fleet'!$K$5:$K$36,INT(($B154/I$5))+1)+(($B154/I$5)-INT(($B154/I$5)))*(INDEX('D Fleet'!$K$5:$K$36,INT(($B154/I$5))+2)-INDEX('D Fleet'!$K$5:$K$36,INT(($B154/I$5))+1)),0)</f>
        <v/>
      </c>
      <c r="J154" s="350">
        <f>IFERROR(INDEX('D Fleet'!$F$5:$F$63,MATCH(J$3-$B154,'D Fleet'!$B$5:$B$63,0)),0)*IFERROR(INDEX('D Fleet'!$K$5:$K$36,INT(($B154/J$5))+1)+(($B154/J$5)-INT(($B154/J$5)))*(INDEX('D Fleet'!$K$5:$K$36,INT(($B154/J$5))+2)-INDEX('D Fleet'!$K$5:$K$36,INT(($B154/J$5))+1)),0)</f>
        <v/>
      </c>
      <c r="K154" s="350">
        <f>IFERROR(INDEX('D Fleet'!$F$5:$F$63,MATCH(K$3-$B154,'D Fleet'!$B$5:$B$63,0)),0)*IFERROR(INDEX('D Fleet'!$K$5:$K$36,INT(($B154/K$5))+1)+(($B154/K$5)-INT(($B154/K$5)))*(INDEX('D Fleet'!$K$5:$K$36,INT(($B154/K$5))+2)-INDEX('D Fleet'!$K$5:$K$36,INT(($B154/K$5))+1)),0)</f>
        <v/>
      </c>
      <c r="L154" s="350">
        <f>IFERROR(INDEX('D Fleet'!$F$5:$F$63,MATCH(L$3-$B154,'D Fleet'!$B$5:$B$63,0)),0)*IFERROR(INDEX('D Fleet'!$K$5:$K$36,INT(($B154/L$5))+1)+(($B154/L$5)-INT(($B154/L$5)))*(INDEX('D Fleet'!$K$5:$K$36,INT(($B154/L$5))+2)-INDEX('D Fleet'!$K$5:$K$36,INT(($B154/L$5))+1)),0)</f>
        <v/>
      </c>
      <c r="M154" s="350">
        <f>IFERROR(INDEX('D Fleet'!$F$5:$F$63,MATCH(M$3-$B154,'D Fleet'!$B$5:$B$63,0)),0)*IFERROR(INDEX('D Fleet'!$K$5:$K$36,INT(($B154/M$5))+1)+(($B154/M$5)-INT(($B154/M$5)))*(INDEX('D Fleet'!$K$5:$K$36,INT(($B154/M$5))+2)-INDEX('D Fleet'!$K$5:$K$36,INT(($B154/M$5))+1)),0)</f>
        <v/>
      </c>
      <c r="N154" s="350">
        <f>IFERROR(INDEX('D Fleet'!$F$5:$F$63,MATCH(N$3-$B154,'D Fleet'!$B$5:$B$63,0)),0)*IFERROR(INDEX('D Fleet'!$K$5:$K$36,INT(($B154/N$5))+1)+(($B154/N$5)-INT(($B154/N$5)))*(INDEX('D Fleet'!$K$5:$K$36,INT(($B154/N$5))+2)-INDEX('D Fleet'!$K$5:$K$36,INT(($B154/N$5))+1)),0)</f>
        <v/>
      </c>
      <c r="P154" s="350">
        <f>E154*$D154*'E1 Fleet'!$D$100</f>
        <v/>
      </c>
      <c r="Q154" s="350">
        <f>F154*$D154*'E1 Fleet'!$D$100</f>
        <v/>
      </c>
      <c r="R154" s="350">
        <f>G154*$D154*'E1 Fleet'!$D$100</f>
        <v/>
      </c>
      <c r="S154" s="350">
        <f>H154*$D154*'E1 Fleet'!$D$100</f>
        <v/>
      </c>
      <c r="T154" s="350">
        <f>I154*$D154*'E1 Fleet'!$D$100</f>
        <v/>
      </c>
      <c r="U154" s="350">
        <f>J154*$D154*'E1 Fleet'!$D$100</f>
        <v/>
      </c>
      <c r="V154" s="350">
        <f>K154*$D154*'E1 Fleet'!$D$100</f>
        <v/>
      </c>
      <c r="W154" s="350">
        <f>L154*$D154*'E1 Fleet'!$D$100</f>
        <v/>
      </c>
      <c r="X154" s="350">
        <f>M154*$D154*'E1 Fleet'!$D$100</f>
        <v/>
      </c>
      <c r="Y154" s="350">
        <f>N154*$D154*'E1 Fleet'!$D$100</f>
        <v/>
      </c>
    </row>
    <row r="155">
      <c r="A155" t="inlineStr">
        <is>
          <t>Van</t>
        </is>
      </c>
      <c r="B155" s="456" t="n">
        <v>10</v>
      </c>
      <c r="C155" s="456" t="n">
        <v>3</v>
      </c>
      <c r="D155" s="348">
        <f>IF($B155=0,'E1 Fleet'!$D$93,1)*EXP(-'E1 Fleet'!$D$94*MAX($B155-6,0))</f>
        <v/>
      </c>
      <c r="E155" s="350">
        <f>IFERROR(INDEX('D Fleet'!$F$5:$F$63,MATCH(E$3-$B155,'D Fleet'!$B$5:$B$63,0)),0)*IFERROR(INDEX('D Fleet'!$K$5:$K$36,INT(($B155/E$5))+1)+(($B155/E$5)-INT(($B155/E$5)))*(INDEX('D Fleet'!$K$5:$K$36,INT(($B155/E$5))+2)-INDEX('D Fleet'!$K$5:$K$36,INT(($B155/E$5))+1)),0)</f>
        <v/>
      </c>
      <c r="F155" s="350">
        <f>IFERROR(INDEX('D Fleet'!$F$5:$F$63,MATCH(F$3-$B155,'D Fleet'!$B$5:$B$63,0)),0)*IFERROR(INDEX('D Fleet'!$K$5:$K$36,INT(($B155/F$5))+1)+(($B155/F$5)-INT(($B155/F$5)))*(INDEX('D Fleet'!$K$5:$K$36,INT(($B155/F$5))+2)-INDEX('D Fleet'!$K$5:$K$36,INT(($B155/F$5))+1)),0)</f>
        <v/>
      </c>
      <c r="G155" s="350">
        <f>IFERROR(INDEX('D Fleet'!$F$5:$F$63,MATCH(G$3-$B155,'D Fleet'!$B$5:$B$63,0)),0)*IFERROR(INDEX('D Fleet'!$K$5:$K$36,INT(($B155/G$5))+1)+(($B155/G$5)-INT(($B155/G$5)))*(INDEX('D Fleet'!$K$5:$K$36,INT(($B155/G$5))+2)-INDEX('D Fleet'!$K$5:$K$36,INT(($B155/G$5))+1)),0)</f>
        <v/>
      </c>
      <c r="H155" s="350">
        <f>IFERROR(INDEX('D Fleet'!$F$5:$F$63,MATCH(H$3-$B155,'D Fleet'!$B$5:$B$63,0)),0)*IFERROR(INDEX('D Fleet'!$K$5:$K$36,INT(($B155/H$5))+1)+(($B155/H$5)-INT(($B155/H$5)))*(INDEX('D Fleet'!$K$5:$K$36,INT(($B155/H$5))+2)-INDEX('D Fleet'!$K$5:$K$36,INT(($B155/H$5))+1)),0)</f>
        <v/>
      </c>
      <c r="I155" s="350">
        <f>IFERROR(INDEX('D Fleet'!$F$5:$F$63,MATCH(I$3-$B155,'D Fleet'!$B$5:$B$63,0)),0)*IFERROR(INDEX('D Fleet'!$K$5:$K$36,INT(($B155/I$5))+1)+(($B155/I$5)-INT(($B155/I$5)))*(INDEX('D Fleet'!$K$5:$K$36,INT(($B155/I$5))+2)-INDEX('D Fleet'!$K$5:$K$36,INT(($B155/I$5))+1)),0)</f>
        <v/>
      </c>
      <c r="J155" s="350">
        <f>IFERROR(INDEX('D Fleet'!$F$5:$F$63,MATCH(J$3-$B155,'D Fleet'!$B$5:$B$63,0)),0)*IFERROR(INDEX('D Fleet'!$K$5:$K$36,INT(($B155/J$5))+1)+(($B155/J$5)-INT(($B155/J$5)))*(INDEX('D Fleet'!$K$5:$K$36,INT(($B155/J$5))+2)-INDEX('D Fleet'!$K$5:$K$36,INT(($B155/J$5))+1)),0)</f>
        <v/>
      </c>
      <c r="K155" s="350">
        <f>IFERROR(INDEX('D Fleet'!$F$5:$F$63,MATCH(K$3-$B155,'D Fleet'!$B$5:$B$63,0)),0)*IFERROR(INDEX('D Fleet'!$K$5:$K$36,INT(($B155/K$5))+1)+(($B155/K$5)-INT(($B155/K$5)))*(INDEX('D Fleet'!$K$5:$K$36,INT(($B155/K$5))+2)-INDEX('D Fleet'!$K$5:$K$36,INT(($B155/K$5))+1)),0)</f>
        <v/>
      </c>
      <c r="L155" s="350">
        <f>IFERROR(INDEX('D Fleet'!$F$5:$F$63,MATCH(L$3-$B155,'D Fleet'!$B$5:$B$63,0)),0)*IFERROR(INDEX('D Fleet'!$K$5:$K$36,INT(($B155/L$5))+1)+(($B155/L$5)-INT(($B155/L$5)))*(INDEX('D Fleet'!$K$5:$K$36,INT(($B155/L$5))+2)-INDEX('D Fleet'!$K$5:$K$36,INT(($B155/L$5))+1)),0)</f>
        <v/>
      </c>
      <c r="M155" s="350">
        <f>IFERROR(INDEX('D Fleet'!$F$5:$F$63,MATCH(M$3-$B155,'D Fleet'!$B$5:$B$63,0)),0)*IFERROR(INDEX('D Fleet'!$K$5:$K$36,INT(($B155/M$5))+1)+(($B155/M$5)-INT(($B155/M$5)))*(INDEX('D Fleet'!$K$5:$K$36,INT(($B155/M$5))+2)-INDEX('D Fleet'!$K$5:$K$36,INT(($B155/M$5))+1)),0)</f>
        <v/>
      </c>
      <c r="N155" s="350">
        <f>IFERROR(INDEX('D Fleet'!$F$5:$F$63,MATCH(N$3-$B155,'D Fleet'!$B$5:$B$63,0)),0)*IFERROR(INDEX('D Fleet'!$K$5:$K$36,INT(($B155/N$5))+1)+(($B155/N$5)-INT(($B155/N$5)))*(INDEX('D Fleet'!$K$5:$K$36,INT(($B155/N$5))+2)-INDEX('D Fleet'!$K$5:$K$36,INT(($B155/N$5))+1)),0)</f>
        <v/>
      </c>
      <c r="P155" s="350">
        <f>E155*$D155*'E1 Fleet'!$D$100</f>
        <v/>
      </c>
      <c r="Q155" s="350">
        <f>F155*$D155*'E1 Fleet'!$D$100</f>
        <v/>
      </c>
      <c r="R155" s="350">
        <f>G155*$D155*'E1 Fleet'!$D$100</f>
        <v/>
      </c>
      <c r="S155" s="350">
        <f>H155*$D155*'E1 Fleet'!$D$100</f>
        <v/>
      </c>
      <c r="T155" s="350">
        <f>I155*$D155*'E1 Fleet'!$D$100</f>
        <v/>
      </c>
      <c r="U155" s="350">
        <f>J155*$D155*'E1 Fleet'!$D$100</f>
        <v/>
      </c>
      <c r="V155" s="350">
        <f>K155*$D155*'E1 Fleet'!$D$100</f>
        <v/>
      </c>
      <c r="W155" s="350">
        <f>L155*$D155*'E1 Fleet'!$D$100</f>
        <v/>
      </c>
      <c r="X155" s="350">
        <f>M155*$D155*'E1 Fleet'!$D$100</f>
        <v/>
      </c>
      <c r="Y155" s="350">
        <f>N155*$D155*'E1 Fleet'!$D$100</f>
        <v/>
      </c>
    </row>
    <row r="156">
      <c r="A156" t="inlineStr">
        <is>
          <t>Van</t>
        </is>
      </c>
      <c r="B156" s="456" t="n">
        <v>11</v>
      </c>
      <c r="C156" s="456" t="n">
        <v>3</v>
      </c>
      <c r="D156" s="348">
        <f>IF($B156=0,'E1 Fleet'!$D$93,1)*EXP(-'E1 Fleet'!$D$94*MAX($B156-6,0))</f>
        <v/>
      </c>
      <c r="E156" s="350">
        <f>IFERROR(INDEX('D Fleet'!$F$5:$F$63,MATCH(E$3-$B156,'D Fleet'!$B$5:$B$63,0)),0)*IFERROR(INDEX('D Fleet'!$K$5:$K$36,INT(($B156/E$5))+1)+(($B156/E$5)-INT(($B156/E$5)))*(INDEX('D Fleet'!$K$5:$K$36,INT(($B156/E$5))+2)-INDEX('D Fleet'!$K$5:$K$36,INT(($B156/E$5))+1)),0)</f>
        <v/>
      </c>
      <c r="F156" s="350">
        <f>IFERROR(INDEX('D Fleet'!$F$5:$F$63,MATCH(F$3-$B156,'D Fleet'!$B$5:$B$63,0)),0)*IFERROR(INDEX('D Fleet'!$K$5:$K$36,INT(($B156/F$5))+1)+(($B156/F$5)-INT(($B156/F$5)))*(INDEX('D Fleet'!$K$5:$K$36,INT(($B156/F$5))+2)-INDEX('D Fleet'!$K$5:$K$36,INT(($B156/F$5))+1)),0)</f>
        <v/>
      </c>
      <c r="G156" s="350">
        <f>IFERROR(INDEX('D Fleet'!$F$5:$F$63,MATCH(G$3-$B156,'D Fleet'!$B$5:$B$63,0)),0)*IFERROR(INDEX('D Fleet'!$K$5:$K$36,INT(($B156/G$5))+1)+(($B156/G$5)-INT(($B156/G$5)))*(INDEX('D Fleet'!$K$5:$K$36,INT(($B156/G$5))+2)-INDEX('D Fleet'!$K$5:$K$36,INT(($B156/G$5))+1)),0)</f>
        <v/>
      </c>
      <c r="H156" s="350">
        <f>IFERROR(INDEX('D Fleet'!$F$5:$F$63,MATCH(H$3-$B156,'D Fleet'!$B$5:$B$63,0)),0)*IFERROR(INDEX('D Fleet'!$K$5:$K$36,INT(($B156/H$5))+1)+(($B156/H$5)-INT(($B156/H$5)))*(INDEX('D Fleet'!$K$5:$K$36,INT(($B156/H$5))+2)-INDEX('D Fleet'!$K$5:$K$36,INT(($B156/H$5))+1)),0)</f>
        <v/>
      </c>
      <c r="I156" s="350">
        <f>IFERROR(INDEX('D Fleet'!$F$5:$F$63,MATCH(I$3-$B156,'D Fleet'!$B$5:$B$63,0)),0)*IFERROR(INDEX('D Fleet'!$K$5:$K$36,INT(($B156/I$5))+1)+(($B156/I$5)-INT(($B156/I$5)))*(INDEX('D Fleet'!$K$5:$K$36,INT(($B156/I$5))+2)-INDEX('D Fleet'!$K$5:$K$36,INT(($B156/I$5))+1)),0)</f>
        <v/>
      </c>
      <c r="J156" s="350">
        <f>IFERROR(INDEX('D Fleet'!$F$5:$F$63,MATCH(J$3-$B156,'D Fleet'!$B$5:$B$63,0)),0)*IFERROR(INDEX('D Fleet'!$K$5:$K$36,INT(($B156/J$5))+1)+(($B156/J$5)-INT(($B156/J$5)))*(INDEX('D Fleet'!$K$5:$K$36,INT(($B156/J$5))+2)-INDEX('D Fleet'!$K$5:$K$36,INT(($B156/J$5))+1)),0)</f>
        <v/>
      </c>
      <c r="K156" s="350">
        <f>IFERROR(INDEX('D Fleet'!$F$5:$F$63,MATCH(K$3-$B156,'D Fleet'!$B$5:$B$63,0)),0)*IFERROR(INDEX('D Fleet'!$K$5:$K$36,INT(($B156/K$5))+1)+(($B156/K$5)-INT(($B156/K$5)))*(INDEX('D Fleet'!$K$5:$K$36,INT(($B156/K$5))+2)-INDEX('D Fleet'!$K$5:$K$36,INT(($B156/K$5))+1)),0)</f>
        <v/>
      </c>
      <c r="L156" s="350">
        <f>IFERROR(INDEX('D Fleet'!$F$5:$F$63,MATCH(L$3-$B156,'D Fleet'!$B$5:$B$63,0)),0)*IFERROR(INDEX('D Fleet'!$K$5:$K$36,INT(($B156/L$5))+1)+(($B156/L$5)-INT(($B156/L$5)))*(INDEX('D Fleet'!$K$5:$K$36,INT(($B156/L$5))+2)-INDEX('D Fleet'!$K$5:$K$36,INT(($B156/L$5))+1)),0)</f>
        <v/>
      </c>
      <c r="M156" s="350">
        <f>IFERROR(INDEX('D Fleet'!$F$5:$F$63,MATCH(M$3-$B156,'D Fleet'!$B$5:$B$63,0)),0)*IFERROR(INDEX('D Fleet'!$K$5:$K$36,INT(($B156/M$5))+1)+(($B156/M$5)-INT(($B156/M$5)))*(INDEX('D Fleet'!$K$5:$K$36,INT(($B156/M$5))+2)-INDEX('D Fleet'!$K$5:$K$36,INT(($B156/M$5))+1)),0)</f>
        <v/>
      </c>
      <c r="N156" s="350">
        <f>IFERROR(INDEX('D Fleet'!$F$5:$F$63,MATCH(N$3-$B156,'D Fleet'!$B$5:$B$63,0)),0)*IFERROR(INDEX('D Fleet'!$K$5:$K$36,INT(($B156/N$5))+1)+(($B156/N$5)-INT(($B156/N$5)))*(INDEX('D Fleet'!$K$5:$K$36,INT(($B156/N$5))+2)-INDEX('D Fleet'!$K$5:$K$36,INT(($B156/N$5))+1)),0)</f>
        <v/>
      </c>
      <c r="P156" s="350">
        <f>E156*$D156*'E1 Fleet'!$D$100</f>
        <v/>
      </c>
      <c r="Q156" s="350">
        <f>F156*$D156*'E1 Fleet'!$D$100</f>
        <v/>
      </c>
      <c r="R156" s="350">
        <f>G156*$D156*'E1 Fleet'!$D$100</f>
        <v/>
      </c>
      <c r="S156" s="350">
        <f>H156*$D156*'E1 Fleet'!$D$100</f>
        <v/>
      </c>
      <c r="T156" s="350">
        <f>I156*$D156*'E1 Fleet'!$D$100</f>
        <v/>
      </c>
      <c r="U156" s="350">
        <f>J156*$D156*'E1 Fleet'!$D$100</f>
        <v/>
      </c>
      <c r="V156" s="350">
        <f>K156*$D156*'E1 Fleet'!$D$100</f>
        <v/>
      </c>
      <c r="W156" s="350">
        <f>L156*$D156*'E1 Fleet'!$D$100</f>
        <v/>
      </c>
      <c r="X156" s="350">
        <f>M156*$D156*'E1 Fleet'!$D$100</f>
        <v/>
      </c>
      <c r="Y156" s="350">
        <f>N156*$D156*'E1 Fleet'!$D$100</f>
        <v/>
      </c>
    </row>
    <row r="157">
      <c r="A157" t="inlineStr">
        <is>
          <t>Van</t>
        </is>
      </c>
      <c r="B157" s="456" t="n">
        <v>12</v>
      </c>
      <c r="C157" s="456" t="n">
        <v>3</v>
      </c>
      <c r="D157" s="348">
        <f>IF($B157=0,'E1 Fleet'!$D$93,1)*EXP(-'E1 Fleet'!$D$94*MAX($B157-6,0))</f>
        <v/>
      </c>
      <c r="E157" s="350">
        <f>IFERROR(INDEX('D Fleet'!$F$5:$F$63,MATCH(E$3-$B157,'D Fleet'!$B$5:$B$63,0)),0)*IFERROR(INDEX('D Fleet'!$K$5:$K$36,INT(($B157/E$5))+1)+(($B157/E$5)-INT(($B157/E$5)))*(INDEX('D Fleet'!$K$5:$K$36,INT(($B157/E$5))+2)-INDEX('D Fleet'!$K$5:$K$36,INT(($B157/E$5))+1)),0)</f>
        <v/>
      </c>
      <c r="F157" s="350">
        <f>IFERROR(INDEX('D Fleet'!$F$5:$F$63,MATCH(F$3-$B157,'D Fleet'!$B$5:$B$63,0)),0)*IFERROR(INDEX('D Fleet'!$K$5:$K$36,INT(($B157/F$5))+1)+(($B157/F$5)-INT(($B157/F$5)))*(INDEX('D Fleet'!$K$5:$K$36,INT(($B157/F$5))+2)-INDEX('D Fleet'!$K$5:$K$36,INT(($B157/F$5))+1)),0)</f>
        <v/>
      </c>
      <c r="G157" s="350">
        <f>IFERROR(INDEX('D Fleet'!$F$5:$F$63,MATCH(G$3-$B157,'D Fleet'!$B$5:$B$63,0)),0)*IFERROR(INDEX('D Fleet'!$K$5:$K$36,INT(($B157/G$5))+1)+(($B157/G$5)-INT(($B157/G$5)))*(INDEX('D Fleet'!$K$5:$K$36,INT(($B157/G$5))+2)-INDEX('D Fleet'!$K$5:$K$36,INT(($B157/G$5))+1)),0)</f>
        <v/>
      </c>
      <c r="H157" s="350">
        <f>IFERROR(INDEX('D Fleet'!$F$5:$F$63,MATCH(H$3-$B157,'D Fleet'!$B$5:$B$63,0)),0)*IFERROR(INDEX('D Fleet'!$K$5:$K$36,INT(($B157/H$5))+1)+(($B157/H$5)-INT(($B157/H$5)))*(INDEX('D Fleet'!$K$5:$K$36,INT(($B157/H$5))+2)-INDEX('D Fleet'!$K$5:$K$36,INT(($B157/H$5))+1)),0)</f>
        <v/>
      </c>
      <c r="I157" s="350">
        <f>IFERROR(INDEX('D Fleet'!$F$5:$F$63,MATCH(I$3-$B157,'D Fleet'!$B$5:$B$63,0)),0)*IFERROR(INDEX('D Fleet'!$K$5:$K$36,INT(($B157/I$5))+1)+(($B157/I$5)-INT(($B157/I$5)))*(INDEX('D Fleet'!$K$5:$K$36,INT(($B157/I$5))+2)-INDEX('D Fleet'!$K$5:$K$36,INT(($B157/I$5))+1)),0)</f>
        <v/>
      </c>
      <c r="J157" s="350">
        <f>IFERROR(INDEX('D Fleet'!$F$5:$F$63,MATCH(J$3-$B157,'D Fleet'!$B$5:$B$63,0)),0)*IFERROR(INDEX('D Fleet'!$K$5:$K$36,INT(($B157/J$5))+1)+(($B157/J$5)-INT(($B157/J$5)))*(INDEX('D Fleet'!$K$5:$K$36,INT(($B157/J$5))+2)-INDEX('D Fleet'!$K$5:$K$36,INT(($B157/J$5))+1)),0)</f>
        <v/>
      </c>
      <c r="K157" s="350">
        <f>IFERROR(INDEX('D Fleet'!$F$5:$F$63,MATCH(K$3-$B157,'D Fleet'!$B$5:$B$63,0)),0)*IFERROR(INDEX('D Fleet'!$K$5:$K$36,INT(($B157/K$5))+1)+(($B157/K$5)-INT(($B157/K$5)))*(INDEX('D Fleet'!$K$5:$K$36,INT(($B157/K$5))+2)-INDEX('D Fleet'!$K$5:$K$36,INT(($B157/K$5))+1)),0)</f>
        <v/>
      </c>
      <c r="L157" s="350">
        <f>IFERROR(INDEX('D Fleet'!$F$5:$F$63,MATCH(L$3-$B157,'D Fleet'!$B$5:$B$63,0)),0)*IFERROR(INDEX('D Fleet'!$K$5:$K$36,INT(($B157/L$5))+1)+(($B157/L$5)-INT(($B157/L$5)))*(INDEX('D Fleet'!$K$5:$K$36,INT(($B157/L$5))+2)-INDEX('D Fleet'!$K$5:$K$36,INT(($B157/L$5))+1)),0)</f>
        <v/>
      </c>
      <c r="M157" s="350">
        <f>IFERROR(INDEX('D Fleet'!$F$5:$F$63,MATCH(M$3-$B157,'D Fleet'!$B$5:$B$63,0)),0)*IFERROR(INDEX('D Fleet'!$K$5:$K$36,INT(($B157/M$5))+1)+(($B157/M$5)-INT(($B157/M$5)))*(INDEX('D Fleet'!$K$5:$K$36,INT(($B157/M$5))+2)-INDEX('D Fleet'!$K$5:$K$36,INT(($B157/M$5))+1)),0)</f>
        <v/>
      </c>
      <c r="N157" s="350">
        <f>IFERROR(INDEX('D Fleet'!$F$5:$F$63,MATCH(N$3-$B157,'D Fleet'!$B$5:$B$63,0)),0)*IFERROR(INDEX('D Fleet'!$K$5:$K$36,INT(($B157/N$5))+1)+(($B157/N$5)-INT(($B157/N$5)))*(INDEX('D Fleet'!$K$5:$K$36,INT(($B157/N$5))+2)-INDEX('D Fleet'!$K$5:$K$36,INT(($B157/N$5))+1)),0)</f>
        <v/>
      </c>
      <c r="P157" s="350">
        <f>E157*$D157*'E1 Fleet'!$D$100</f>
        <v/>
      </c>
      <c r="Q157" s="350">
        <f>F157*$D157*'E1 Fleet'!$D$100</f>
        <v/>
      </c>
      <c r="R157" s="350">
        <f>G157*$D157*'E1 Fleet'!$D$100</f>
        <v/>
      </c>
      <c r="S157" s="350">
        <f>H157*$D157*'E1 Fleet'!$D$100</f>
        <v/>
      </c>
      <c r="T157" s="350">
        <f>I157*$D157*'E1 Fleet'!$D$100</f>
        <v/>
      </c>
      <c r="U157" s="350">
        <f>J157*$D157*'E1 Fleet'!$D$100</f>
        <v/>
      </c>
      <c r="V157" s="350">
        <f>K157*$D157*'E1 Fleet'!$D$100</f>
        <v/>
      </c>
      <c r="W157" s="350">
        <f>L157*$D157*'E1 Fleet'!$D$100</f>
        <v/>
      </c>
      <c r="X157" s="350">
        <f>M157*$D157*'E1 Fleet'!$D$100</f>
        <v/>
      </c>
      <c r="Y157" s="350">
        <f>N157*$D157*'E1 Fleet'!$D$100</f>
        <v/>
      </c>
    </row>
    <row r="158">
      <c r="A158" t="inlineStr">
        <is>
          <t>Van</t>
        </is>
      </c>
      <c r="B158" s="456" t="n">
        <v>13</v>
      </c>
      <c r="C158" s="456" t="n">
        <v>3</v>
      </c>
      <c r="D158" s="348">
        <f>IF($B158=0,'E1 Fleet'!$D$93,1)*EXP(-'E1 Fleet'!$D$94*MAX($B158-6,0))</f>
        <v/>
      </c>
      <c r="E158" s="350">
        <f>IFERROR(INDEX('D Fleet'!$F$5:$F$63,MATCH(E$3-$B158,'D Fleet'!$B$5:$B$63,0)),0)*IFERROR(INDEX('D Fleet'!$K$5:$K$36,INT(($B158/E$5))+1)+(($B158/E$5)-INT(($B158/E$5)))*(INDEX('D Fleet'!$K$5:$K$36,INT(($B158/E$5))+2)-INDEX('D Fleet'!$K$5:$K$36,INT(($B158/E$5))+1)),0)</f>
        <v/>
      </c>
      <c r="F158" s="350">
        <f>IFERROR(INDEX('D Fleet'!$F$5:$F$63,MATCH(F$3-$B158,'D Fleet'!$B$5:$B$63,0)),0)*IFERROR(INDEX('D Fleet'!$K$5:$K$36,INT(($B158/F$5))+1)+(($B158/F$5)-INT(($B158/F$5)))*(INDEX('D Fleet'!$K$5:$K$36,INT(($B158/F$5))+2)-INDEX('D Fleet'!$K$5:$K$36,INT(($B158/F$5))+1)),0)</f>
        <v/>
      </c>
      <c r="G158" s="350">
        <f>IFERROR(INDEX('D Fleet'!$F$5:$F$63,MATCH(G$3-$B158,'D Fleet'!$B$5:$B$63,0)),0)*IFERROR(INDEX('D Fleet'!$K$5:$K$36,INT(($B158/G$5))+1)+(($B158/G$5)-INT(($B158/G$5)))*(INDEX('D Fleet'!$K$5:$K$36,INT(($B158/G$5))+2)-INDEX('D Fleet'!$K$5:$K$36,INT(($B158/G$5))+1)),0)</f>
        <v/>
      </c>
      <c r="H158" s="350">
        <f>IFERROR(INDEX('D Fleet'!$F$5:$F$63,MATCH(H$3-$B158,'D Fleet'!$B$5:$B$63,0)),0)*IFERROR(INDEX('D Fleet'!$K$5:$K$36,INT(($B158/H$5))+1)+(($B158/H$5)-INT(($B158/H$5)))*(INDEX('D Fleet'!$K$5:$K$36,INT(($B158/H$5))+2)-INDEX('D Fleet'!$K$5:$K$36,INT(($B158/H$5))+1)),0)</f>
        <v/>
      </c>
      <c r="I158" s="350">
        <f>IFERROR(INDEX('D Fleet'!$F$5:$F$63,MATCH(I$3-$B158,'D Fleet'!$B$5:$B$63,0)),0)*IFERROR(INDEX('D Fleet'!$K$5:$K$36,INT(($B158/I$5))+1)+(($B158/I$5)-INT(($B158/I$5)))*(INDEX('D Fleet'!$K$5:$K$36,INT(($B158/I$5))+2)-INDEX('D Fleet'!$K$5:$K$36,INT(($B158/I$5))+1)),0)</f>
        <v/>
      </c>
      <c r="J158" s="350">
        <f>IFERROR(INDEX('D Fleet'!$F$5:$F$63,MATCH(J$3-$B158,'D Fleet'!$B$5:$B$63,0)),0)*IFERROR(INDEX('D Fleet'!$K$5:$K$36,INT(($B158/J$5))+1)+(($B158/J$5)-INT(($B158/J$5)))*(INDEX('D Fleet'!$K$5:$K$36,INT(($B158/J$5))+2)-INDEX('D Fleet'!$K$5:$K$36,INT(($B158/J$5))+1)),0)</f>
        <v/>
      </c>
      <c r="K158" s="350">
        <f>IFERROR(INDEX('D Fleet'!$F$5:$F$63,MATCH(K$3-$B158,'D Fleet'!$B$5:$B$63,0)),0)*IFERROR(INDEX('D Fleet'!$K$5:$K$36,INT(($B158/K$5))+1)+(($B158/K$5)-INT(($B158/K$5)))*(INDEX('D Fleet'!$K$5:$K$36,INT(($B158/K$5))+2)-INDEX('D Fleet'!$K$5:$K$36,INT(($B158/K$5))+1)),0)</f>
        <v/>
      </c>
      <c r="L158" s="350">
        <f>IFERROR(INDEX('D Fleet'!$F$5:$F$63,MATCH(L$3-$B158,'D Fleet'!$B$5:$B$63,0)),0)*IFERROR(INDEX('D Fleet'!$K$5:$K$36,INT(($B158/L$5))+1)+(($B158/L$5)-INT(($B158/L$5)))*(INDEX('D Fleet'!$K$5:$K$36,INT(($B158/L$5))+2)-INDEX('D Fleet'!$K$5:$K$36,INT(($B158/L$5))+1)),0)</f>
        <v/>
      </c>
      <c r="M158" s="350">
        <f>IFERROR(INDEX('D Fleet'!$F$5:$F$63,MATCH(M$3-$B158,'D Fleet'!$B$5:$B$63,0)),0)*IFERROR(INDEX('D Fleet'!$K$5:$K$36,INT(($B158/M$5))+1)+(($B158/M$5)-INT(($B158/M$5)))*(INDEX('D Fleet'!$K$5:$K$36,INT(($B158/M$5))+2)-INDEX('D Fleet'!$K$5:$K$36,INT(($B158/M$5))+1)),0)</f>
        <v/>
      </c>
      <c r="N158" s="350">
        <f>IFERROR(INDEX('D Fleet'!$F$5:$F$63,MATCH(N$3-$B158,'D Fleet'!$B$5:$B$63,0)),0)*IFERROR(INDEX('D Fleet'!$K$5:$K$36,INT(($B158/N$5))+1)+(($B158/N$5)-INT(($B158/N$5)))*(INDEX('D Fleet'!$K$5:$K$36,INT(($B158/N$5))+2)-INDEX('D Fleet'!$K$5:$K$36,INT(($B158/N$5))+1)),0)</f>
        <v/>
      </c>
      <c r="P158" s="350">
        <f>E158*$D158*'E1 Fleet'!$D$100</f>
        <v/>
      </c>
      <c r="Q158" s="350">
        <f>F158*$D158*'E1 Fleet'!$D$100</f>
        <v/>
      </c>
      <c r="R158" s="350">
        <f>G158*$D158*'E1 Fleet'!$D$100</f>
        <v/>
      </c>
      <c r="S158" s="350">
        <f>H158*$D158*'E1 Fleet'!$D$100</f>
        <v/>
      </c>
      <c r="T158" s="350">
        <f>I158*$D158*'E1 Fleet'!$D$100</f>
        <v/>
      </c>
      <c r="U158" s="350">
        <f>J158*$D158*'E1 Fleet'!$D$100</f>
        <v/>
      </c>
      <c r="V158" s="350">
        <f>K158*$D158*'E1 Fleet'!$D$100</f>
        <v/>
      </c>
      <c r="W158" s="350">
        <f>L158*$D158*'E1 Fleet'!$D$100</f>
        <v/>
      </c>
      <c r="X158" s="350">
        <f>M158*$D158*'E1 Fleet'!$D$100</f>
        <v/>
      </c>
      <c r="Y158" s="350">
        <f>N158*$D158*'E1 Fleet'!$D$100</f>
        <v/>
      </c>
    </row>
    <row r="159">
      <c r="A159" t="inlineStr">
        <is>
          <t>Van</t>
        </is>
      </c>
      <c r="B159" s="456" t="n">
        <v>14</v>
      </c>
      <c r="C159" s="456" t="n">
        <v>3</v>
      </c>
      <c r="D159" s="348">
        <f>IF($B159=0,'E1 Fleet'!$D$93,1)*EXP(-'E1 Fleet'!$D$94*MAX($B159-6,0))</f>
        <v/>
      </c>
      <c r="E159" s="350">
        <f>IFERROR(INDEX('D Fleet'!$F$5:$F$63,MATCH(E$3-$B159,'D Fleet'!$B$5:$B$63,0)),0)*IFERROR(INDEX('D Fleet'!$K$5:$K$36,INT(($B159/E$5))+1)+(($B159/E$5)-INT(($B159/E$5)))*(INDEX('D Fleet'!$K$5:$K$36,INT(($B159/E$5))+2)-INDEX('D Fleet'!$K$5:$K$36,INT(($B159/E$5))+1)),0)</f>
        <v/>
      </c>
      <c r="F159" s="350">
        <f>IFERROR(INDEX('D Fleet'!$F$5:$F$63,MATCH(F$3-$B159,'D Fleet'!$B$5:$B$63,0)),0)*IFERROR(INDEX('D Fleet'!$K$5:$K$36,INT(($B159/F$5))+1)+(($B159/F$5)-INT(($B159/F$5)))*(INDEX('D Fleet'!$K$5:$K$36,INT(($B159/F$5))+2)-INDEX('D Fleet'!$K$5:$K$36,INT(($B159/F$5))+1)),0)</f>
        <v/>
      </c>
      <c r="G159" s="350">
        <f>IFERROR(INDEX('D Fleet'!$F$5:$F$63,MATCH(G$3-$B159,'D Fleet'!$B$5:$B$63,0)),0)*IFERROR(INDEX('D Fleet'!$K$5:$K$36,INT(($B159/G$5))+1)+(($B159/G$5)-INT(($B159/G$5)))*(INDEX('D Fleet'!$K$5:$K$36,INT(($B159/G$5))+2)-INDEX('D Fleet'!$K$5:$K$36,INT(($B159/G$5))+1)),0)</f>
        <v/>
      </c>
      <c r="H159" s="350">
        <f>IFERROR(INDEX('D Fleet'!$F$5:$F$63,MATCH(H$3-$B159,'D Fleet'!$B$5:$B$63,0)),0)*IFERROR(INDEX('D Fleet'!$K$5:$K$36,INT(($B159/H$5))+1)+(($B159/H$5)-INT(($B159/H$5)))*(INDEX('D Fleet'!$K$5:$K$36,INT(($B159/H$5))+2)-INDEX('D Fleet'!$K$5:$K$36,INT(($B159/H$5))+1)),0)</f>
        <v/>
      </c>
      <c r="I159" s="350">
        <f>IFERROR(INDEX('D Fleet'!$F$5:$F$63,MATCH(I$3-$B159,'D Fleet'!$B$5:$B$63,0)),0)*IFERROR(INDEX('D Fleet'!$K$5:$K$36,INT(($B159/I$5))+1)+(($B159/I$5)-INT(($B159/I$5)))*(INDEX('D Fleet'!$K$5:$K$36,INT(($B159/I$5))+2)-INDEX('D Fleet'!$K$5:$K$36,INT(($B159/I$5))+1)),0)</f>
        <v/>
      </c>
      <c r="J159" s="350">
        <f>IFERROR(INDEX('D Fleet'!$F$5:$F$63,MATCH(J$3-$B159,'D Fleet'!$B$5:$B$63,0)),0)*IFERROR(INDEX('D Fleet'!$K$5:$K$36,INT(($B159/J$5))+1)+(($B159/J$5)-INT(($B159/J$5)))*(INDEX('D Fleet'!$K$5:$K$36,INT(($B159/J$5))+2)-INDEX('D Fleet'!$K$5:$K$36,INT(($B159/J$5))+1)),0)</f>
        <v/>
      </c>
      <c r="K159" s="350">
        <f>IFERROR(INDEX('D Fleet'!$F$5:$F$63,MATCH(K$3-$B159,'D Fleet'!$B$5:$B$63,0)),0)*IFERROR(INDEX('D Fleet'!$K$5:$K$36,INT(($B159/K$5))+1)+(($B159/K$5)-INT(($B159/K$5)))*(INDEX('D Fleet'!$K$5:$K$36,INT(($B159/K$5))+2)-INDEX('D Fleet'!$K$5:$K$36,INT(($B159/K$5))+1)),0)</f>
        <v/>
      </c>
      <c r="L159" s="350">
        <f>IFERROR(INDEX('D Fleet'!$F$5:$F$63,MATCH(L$3-$B159,'D Fleet'!$B$5:$B$63,0)),0)*IFERROR(INDEX('D Fleet'!$K$5:$K$36,INT(($B159/L$5))+1)+(($B159/L$5)-INT(($B159/L$5)))*(INDEX('D Fleet'!$K$5:$K$36,INT(($B159/L$5))+2)-INDEX('D Fleet'!$K$5:$K$36,INT(($B159/L$5))+1)),0)</f>
        <v/>
      </c>
      <c r="M159" s="350">
        <f>IFERROR(INDEX('D Fleet'!$F$5:$F$63,MATCH(M$3-$B159,'D Fleet'!$B$5:$B$63,0)),0)*IFERROR(INDEX('D Fleet'!$K$5:$K$36,INT(($B159/M$5))+1)+(($B159/M$5)-INT(($B159/M$5)))*(INDEX('D Fleet'!$K$5:$K$36,INT(($B159/M$5))+2)-INDEX('D Fleet'!$K$5:$K$36,INT(($B159/M$5))+1)),0)</f>
        <v/>
      </c>
      <c r="N159" s="350">
        <f>IFERROR(INDEX('D Fleet'!$F$5:$F$63,MATCH(N$3-$B159,'D Fleet'!$B$5:$B$63,0)),0)*IFERROR(INDEX('D Fleet'!$K$5:$K$36,INT(($B159/N$5))+1)+(($B159/N$5)-INT(($B159/N$5)))*(INDEX('D Fleet'!$K$5:$K$36,INT(($B159/N$5))+2)-INDEX('D Fleet'!$K$5:$K$36,INT(($B159/N$5))+1)),0)</f>
        <v/>
      </c>
      <c r="P159" s="350">
        <f>E159*$D159*'E1 Fleet'!$D$100</f>
        <v/>
      </c>
      <c r="Q159" s="350">
        <f>F159*$D159*'E1 Fleet'!$D$100</f>
        <v/>
      </c>
      <c r="R159" s="350">
        <f>G159*$D159*'E1 Fleet'!$D$100</f>
        <v/>
      </c>
      <c r="S159" s="350">
        <f>H159*$D159*'E1 Fleet'!$D$100</f>
        <v/>
      </c>
      <c r="T159" s="350">
        <f>I159*$D159*'E1 Fleet'!$D$100</f>
        <v/>
      </c>
      <c r="U159" s="350">
        <f>J159*$D159*'E1 Fleet'!$D$100</f>
        <v/>
      </c>
      <c r="V159" s="350">
        <f>K159*$D159*'E1 Fleet'!$D$100</f>
        <v/>
      </c>
      <c r="W159" s="350">
        <f>L159*$D159*'E1 Fleet'!$D$100</f>
        <v/>
      </c>
      <c r="X159" s="350">
        <f>M159*$D159*'E1 Fleet'!$D$100</f>
        <v/>
      </c>
      <c r="Y159" s="350">
        <f>N159*$D159*'E1 Fleet'!$D$100</f>
        <v/>
      </c>
    </row>
    <row r="160">
      <c r="A160" t="inlineStr">
        <is>
          <t>Van</t>
        </is>
      </c>
      <c r="B160" s="456" t="n">
        <v>15</v>
      </c>
      <c r="C160" s="456" t="n">
        <v>3</v>
      </c>
      <c r="D160" s="348">
        <f>IF($B160=0,'E1 Fleet'!$D$93,1)*EXP(-'E1 Fleet'!$D$94*MAX($B160-6,0))</f>
        <v/>
      </c>
      <c r="E160" s="350">
        <f>IFERROR(INDEX('D Fleet'!$F$5:$F$63,MATCH(E$3-$B160,'D Fleet'!$B$5:$B$63,0)),0)*IFERROR(INDEX('D Fleet'!$K$5:$K$36,INT(($B160/E$5))+1)+(($B160/E$5)-INT(($B160/E$5)))*(INDEX('D Fleet'!$K$5:$K$36,INT(($B160/E$5))+2)-INDEX('D Fleet'!$K$5:$K$36,INT(($B160/E$5))+1)),0)</f>
        <v/>
      </c>
      <c r="F160" s="350">
        <f>IFERROR(INDEX('D Fleet'!$F$5:$F$63,MATCH(F$3-$B160,'D Fleet'!$B$5:$B$63,0)),0)*IFERROR(INDEX('D Fleet'!$K$5:$K$36,INT(($B160/F$5))+1)+(($B160/F$5)-INT(($B160/F$5)))*(INDEX('D Fleet'!$K$5:$K$36,INT(($B160/F$5))+2)-INDEX('D Fleet'!$K$5:$K$36,INT(($B160/F$5))+1)),0)</f>
        <v/>
      </c>
      <c r="G160" s="350">
        <f>IFERROR(INDEX('D Fleet'!$F$5:$F$63,MATCH(G$3-$B160,'D Fleet'!$B$5:$B$63,0)),0)*IFERROR(INDEX('D Fleet'!$K$5:$K$36,INT(($B160/G$5))+1)+(($B160/G$5)-INT(($B160/G$5)))*(INDEX('D Fleet'!$K$5:$K$36,INT(($B160/G$5))+2)-INDEX('D Fleet'!$K$5:$K$36,INT(($B160/G$5))+1)),0)</f>
        <v/>
      </c>
      <c r="H160" s="350">
        <f>IFERROR(INDEX('D Fleet'!$F$5:$F$63,MATCH(H$3-$B160,'D Fleet'!$B$5:$B$63,0)),0)*IFERROR(INDEX('D Fleet'!$K$5:$K$36,INT(($B160/H$5))+1)+(($B160/H$5)-INT(($B160/H$5)))*(INDEX('D Fleet'!$K$5:$K$36,INT(($B160/H$5))+2)-INDEX('D Fleet'!$K$5:$K$36,INT(($B160/H$5))+1)),0)</f>
        <v/>
      </c>
      <c r="I160" s="350">
        <f>IFERROR(INDEX('D Fleet'!$F$5:$F$63,MATCH(I$3-$B160,'D Fleet'!$B$5:$B$63,0)),0)*IFERROR(INDEX('D Fleet'!$K$5:$K$36,INT(($B160/I$5))+1)+(($B160/I$5)-INT(($B160/I$5)))*(INDEX('D Fleet'!$K$5:$K$36,INT(($B160/I$5))+2)-INDEX('D Fleet'!$K$5:$K$36,INT(($B160/I$5))+1)),0)</f>
        <v/>
      </c>
      <c r="J160" s="350">
        <f>IFERROR(INDEX('D Fleet'!$F$5:$F$63,MATCH(J$3-$B160,'D Fleet'!$B$5:$B$63,0)),0)*IFERROR(INDEX('D Fleet'!$K$5:$K$36,INT(($B160/J$5))+1)+(($B160/J$5)-INT(($B160/J$5)))*(INDEX('D Fleet'!$K$5:$K$36,INT(($B160/J$5))+2)-INDEX('D Fleet'!$K$5:$K$36,INT(($B160/J$5))+1)),0)</f>
        <v/>
      </c>
      <c r="K160" s="350">
        <f>IFERROR(INDEX('D Fleet'!$F$5:$F$63,MATCH(K$3-$B160,'D Fleet'!$B$5:$B$63,0)),0)*IFERROR(INDEX('D Fleet'!$K$5:$K$36,INT(($B160/K$5))+1)+(($B160/K$5)-INT(($B160/K$5)))*(INDEX('D Fleet'!$K$5:$K$36,INT(($B160/K$5))+2)-INDEX('D Fleet'!$K$5:$K$36,INT(($B160/K$5))+1)),0)</f>
        <v/>
      </c>
      <c r="L160" s="350">
        <f>IFERROR(INDEX('D Fleet'!$F$5:$F$63,MATCH(L$3-$B160,'D Fleet'!$B$5:$B$63,0)),0)*IFERROR(INDEX('D Fleet'!$K$5:$K$36,INT(($B160/L$5))+1)+(($B160/L$5)-INT(($B160/L$5)))*(INDEX('D Fleet'!$K$5:$K$36,INT(($B160/L$5))+2)-INDEX('D Fleet'!$K$5:$K$36,INT(($B160/L$5))+1)),0)</f>
        <v/>
      </c>
      <c r="M160" s="350">
        <f>IFERROR(INDEX('D Fleet'!$F$5:$F$63,MATCH(M$3-$B160,'D Fleet'!$B$5:$B$63,0)),0)*IFERROR(INDEX('D Fleet'!$K$5:$K$36,INT(($B160/M$5))+1)+(($B160/M$5)-INT(($B160/M$5)))*(INDEX('D Fleet'!$K$5:$K$36,INT(($B160/M$5))+2)-INDEX('D Fleet'!$K$5:$K$36,INT(($B160/M$5))+1)),0)</f>
        <v/>
      </c>
      <c r="N160" s="350">
        <f>IFERROR(INDEX('D Fleet'!$F$5:$F$63,MATCH(N$3-$B160,'D Fleet'!$B$5:$B$63,0)),0)*IFERROR(INDEX('D Fleet'!$K$5:$K$36,INT(($B160/N$5))+1)+(($B160/N$5)-INT(($B160/N$5)))*(INDEX('D Fleet'!$K$5:$K$36,INT(($B160/N$5))+2)-INDEX('D Fleet'!$K$5:$K$36,INT(($B160/N$5))+1)),0)</f>
        <v/>
      </c>
      <c r="P160" s="350">
        <f>E160*$D160*'E1 Fleet'!$D$100</f>
        <v/>
      </c>
      <c r="Q160" s="350">
        <f>F160*$D160*'E1 Fleet'!$D$100</f>
        <v/>
      </c>
      <c r="R160" s="350">
        <f>G160*$D160*'E1 Fleet'!$D$100</f>
        <v/>
      </c>
      <c r="S160" s="350">
        <f>H160*$D160*'E1 Fleet'!$D$100</f>
        <v/>
      </c>
      <c r="T160" s="350">
        <f>I160*$D160*'E1 Fleet'!$D$100</f>
        <v/>
      </c>
      <c r="U160" s="350">
        <f>J160*$D160*'E1 Fleet'!$D$100</f>
        <v/>
      </c>
      <c r="V160" s="350">
        <f>K160*$D160*'E1 Fleet'!$D$100</f>
        <v/>
      </c>
      <c r="W160" s="350">
        <f>L160*$D160*'E1 Fleet'!$D$100</f>
        <v/>
      </c>
      <c r="X160" s="350">
        <f>M160*$D160*'E1 Fleet'!$D$100</f>
        <v/>
      </c>
      <c r="Y160" s="350">
        <f>N160*$D160*'E1 Fleet'!$D$100</f>
        <v/>
      </c>
    </row>
    <row r="161">
      <c r="A161" t="inlineStr">
        <is>
          <t>Van</t>
        </is>
      </c>
      <c r="B161" s="456" t="n">
        <v>16</v>
      </c>
      <c r="C161" s="456" t="n">
        <v>3</v>
      </c>
      <c r="D161" s="348">
        <f>IF($B161=0,'E1 Fleet'!$D$93,1)*EXP(-'E1 Fleet'!$D$94*MAX($B161-6,0))</f>
        <v/>
      </c>
      <c r="E161" s="350">
        <f>IFERROR(INDEX('D Fleet'!$F$5:$F$63,MATCH(E$3-$B161,'D Fleet'!$B$5:$B$63,0)),0)*IFERROR(INDEX('D Fleet'!$K$5:$K$36,INT(($B161/E$5))+1)+(($B161/E$5)-INT(($B161/E$5)))*(INDEX('D Fleet'!$K$5:$K$36,INT(($B161/E$5))+2)-INDEX('D Fleet'!$K$5:$K$36,INT(($B161/E$5))+1)),0)</f>
        <v/>
      </c>
      <c r="F161" s="350">
        <f>IFERROR(INDEX('D Fleet'!$F$5:$F$63,MATCH(F$3-$B161,'D Fleet'!$B$5:$B$63,0)),0)*IFERROR(INDEX('D Fleet'!$K$5:$K$36,INT(($B161/F$5))+1)+(($B161/F$5)-INT(($B161/F$5)))*(INDEX('D Fleet'!$K$5:$K$36,INT(($B161/F$5))+2)-INDEX('D Fleet'!$K$5:$K$36,INT(($B161/F$5))+1)),0)</f>
        <v/>
      </c>
      <c r="G161" s="350">
        <f>IFERROR(INDEX('D Fleet'!$F$5:$F$63,MATCH(G$3-$B161,'D Fleet'!$B$5:$B$63,0)),0)*IFERROR(INDEX('D Fleet'!$K$5:$K$36,INT(($B161/G$5))+1)+(($B161/G$5)-INT(($B161/G$5)))*(INDEX('D Fleet'!$K$5:$K$36,INT(($B161/G$5))+2)-INDEX('D Fleet'!$K$5:$K$36,INT(($B161/G$5))+1)),0)</f>
        <v/>
      </c>
      <c r="H161" s="350">
        <f>IFERROR(INDEX('D Fleet'!$F$5:$F$63,MATCH(H$3-$B161,'D Fleet'!$B$5:$B$63,0)),0)*IFERROR(INDEX('D Fleet'!$K$5:$K$36,INT(($B161/H$5))+1)+(($B161/H$5)-INT(($B161/H$5)))*(INDEX('D Fleet'!$K$5:$K$36,INT(($B161/H$5))+2)-INDEX('D Fleet'!$K$5:$K$36,INT(($B161/H$5))+1)),0)</f>
        <v/>
      </c>
      <c r="I161" s="350">
        <f>IFERROR(INDEX('D Fleet'!$F$5:$F$63,MATCH(I$3-$B161,'D Fleet'!$B$5:$B$63,0)),0)*IFERROR(INDEX('D Fleet'!$K$5:$K$36,INT(($B161/I$5))+1)+(($B161/I$5)-INT(($B161/I$5)))*(INDEX('D Fleet'!$K$5:$K$36,INT(($B161/I$5))+2)-INDEX('D Fleet'!$K$5:$K$36,INT(($B161/I$5))+1)),0)</f>
        <v/>
      </c>
      <c r="J161" s="350">
        <f>IFERROR(INDEX('D Fleet'!$F$5:$F$63,MATCH(J$3-$B161,'D Fleet'!$B$5:$B$63,0)),0)*IFERROR(INDEX('D Fleet'!$K$5:$K$36,INT(($B161/J$5))+1)+(($B161/J$5)-INT(($B161/J$5)))*(INDEX('D Fleet'!$K$5:$K$36,INT(($B161/J$5))+2)-INDEX('D Fleet'!$K$5:$K$36,INT(($B161/J$5))+1)),0)</f>
        <v/>
      </c>
      <c r="K161" s="350">
        <f>IFERROR(INDEX('D Fleet'!$F$5:$F$63,MATCH(K$3-$B161,'D Fleet'!$B$5:$B$63,0)),0)*IFERROR(INDEX('D Fleet'!$K$5:$K$36,INT(($B161/K$5))+1)+(($B161/K$5)-INT(($B161/K$5)))*(INDEX('D Fleet'!$K$5:$K$36,INT(($B161/K$5))+2)-INDEX('D Fleet'!$K$5:$K$36,INT(($B161/K$5))+1)),0)</f>
        <v/>
      </c>
      <c r="L161" s="350">
        <f>IFERROR(INDEX('D Fleet'!$F$5:$F$63,MATCH(L$3-$B161,'D Fleet'!$B$5:$B$63,0)),0)*IFERROR(INDEX('D Fleet'!$K$5:$K$36,INT(($B161/L$5))+1)+(($B161/L$5)-INT(($B161/L$5)))*(INDEX('D Fleet'!$K$5:$K$36,INT(($B161/L$5))+2)-INDEX('D Fleet'!$K$5:$K$36,INT(($B161/L$5))+1)),0)</f>
        <v/>
      </c>
      <c r="M161" s="350">
        <f>IFERROR(INDEX('D Fleet'!$F$5:$F$63,MATCH(M$3-$B161,'D Fleet'!$B$5:$B$63,0)),0)*IFERROR(INDEX('D Fleet'!$K$5:$K$36,INT(($B161/M$5))+1)+(($B161/M$5)-INT(($B161/M$5)))*(INDEX('D Fleet'!$K$5:$K$36,INT(($B161/M$5))+2)-INDEX('D Fleet'!$K$5:$K$36,INT(($B161/M$5))+1)),0)</f>
        <v/>
      </c>
      <c r="N161" s="350">
        <f>IFERROR(INDEX('D Fleet'!$F$5:$F$63,MATCH(N$3-$B161,'D Fleet'!$B$5:$B$63,0)),0)*IFERROR(INDEX('D Fleet'!$K$5:$K$36,INT(($B161/N$5))+1)+(($B161/N$5)-INT(($B161/N$5)))*(INDEX('D Fleet'!$K$5:$K$36,INT(($B161/N$5))+2)-INDEX('D Fleet'!$K$5:$K$36,INT(($B161/N$5))+1)),0)</f>
        <v/>
      </c>
      <c r="P161" s="350">
        <f>E161*$D161*'E1 Fleet'!$D$100</f>
        <v/>
      </c>
      <c r="Q161" s="350">
        <f>F161*$D161*'E1 Fleet'!$D$100</f>
        <v/>
      </c>
      <c r="R161" s="350">
        <f>G161*$D161*'E1 Fleet'!$D$100</f>
        <v/>
      </c>
      <c r="S161" s="350">
        <f>H161*$D161*'E1 Fleet'!$D$100</f>
        <v/>
      </c>
      <c r="T161" s="350">
        <f>I161*$D161*'E1 Fleet'!$D$100</f>
        <v/>
      </c>
      <c r="U161" s="350">
        <f>J161*$D161*'E1 Fleet'!$D$100</f>
        <v/>
      </c>
      <c r="V161" s="350">
        <f>K161*$D161*'E1 Fleet'!$D$100</f>
        <v/>
      </c>
      <c r="W161" s="350">
        <f>L161*$D161*'E1 Fleet'!$D$100</f>
        <v/>
      </c>
      <c r="X161" s="350">
        <f>M161*$D161*'E1 Fleet'!$D$100</f>
        <v/>
      </c>
      <c r="Y161" s="350">
        <f>N161*$D161*'E1 Fleet'!$D$100</f>
        <v/>
      </c>
    </row>
    <row r="162">
      <c r="A162" t="inlineStr">
        <is>
          <t>Van</t>
        </is>
      </c>
      <c r="B162" s="456" t="n">
        <v>17</v>
      </c>
      <c r="C162" s="456" t="n">
        <v>3</v>
      </c>
      <c r="D162" s="348">
        <f>IF($B162=0,'E1 Fleet'!$D$93,1)*EXP(-'E1 Fleet'!$D$94*MAX($B162-6,0))</f>
        <v/>
      </c>
      <c r="E162" s="350">
        <f>IFERROR(INDEX('D Fleet'!$F$5:$F$63,MATCH(E$3-$B162,'D Fleet'!$B$5:$B$63,0)),0)*IFERROR(INDEX('D Fleet'!$K$5:$K$36,INT(($B162/E$5))+1)+(($B162/E$5)-INT(($B162/E$5)))*(INDEX('D Fleet'!$K$5:$K$36,INT(($B162/E$5))+2)-INDEX('D Fleet'!$K$5:$K$36,INT(($B162/E$5))+1)),0)</f>
        <v/>
      </c>
      <c r="F162" s="350">
        <f>IFERROR(INDEX('D Fleet'!$F$5:$F$63,MATCH(F$3-$B162,'D Fleet'!$B$5:$B$63,0)),0)*IFERROR(INDEX('D Fleet'!$K$5:$K$36,INT(($B162/F$5))+1)+(($B162/F$5)-INT(($B162/F$5)))*(INDEX('D Fleet'!$K$5:$K$36,INT(($B162/F$5))+2)-INDEX('D Fleet'!$K$5:$K$36,INT(($B162/F$5))+1)),0)</f>
        <v/>
      </c>
      <c r="G162" s="350">
        <f>IFERROR(INDEX('D Fleet'!$F$5:$F$63,MATCH(G$3-$B162,'D Fleet'!$B$5:$B$63,0)),0)*IFERROR(INDEX('D Fleet'!$K$5:$K$36,INT(($B162/G$5))+1)+(($B162/G$5)-INT(($B162/G$5)))*(INDEX('D Fleet'!$K$5:$K$36,INT(($B162/G$5))+2)-INDEX('D Fleet'!$K$5:$K$36,INT(($B162/G$5))+1)),0)</f>
        <v/>
      </c>
      <c r="H162" s="350">
        <f>IFERROR(INDEX('D Fleet'!$F$5:$F$63,MATCH(H$3-$B162,'D Fleet'!$B$5:$B$63,0)),0)*IFERROR(INDEX('D Fleet'!$K$5:$K$36,INT(($B162/H$5))+1)+(($B162/H$5)-INT(($B162/H$5)))*(INDEX('D Fleet'!$K$5:$K$36,INT(($B162/H$5))+2)-INDEX('D Fleet'!$K$5:$K$36,INT(($B162/H$5))+1)),0)</f>
        <v/>
      </c>
      <c r="I162" s="350">
        <f>IFERROR(INDEX('D Fleet'!$F$5:$F$63,MATCH(I$3-$B162,'D Fleet'!$B$5:$B$63,0)),0)*IFERROR(INDEX('D Fleet'!$K$5:$K$36,INT(($B162/I$5))+1)+(($B162/I$5)-INT(($B162/I$5)))*(INDEX('D Fleet'!$K$5:$K$36,INT(($B162/I$5))+2)-INDEX('D Fleet'!$K$5:$K$36,INT(($B162/I$5))+1)),0)</f>
        <v/>
      </c>
      <c r="J162" s="350">
        <f>IFERROR(INDEX('D Fleet'!$F$5:$F$63,MATCH(J$3-$B162,'D Fleet'!$B$5:$B$63,0)),0)*IFERROR(INDEX('D Fleet'!$K$5:$K$36,INT(($B162/J$5))+1)+(($B162/J$5)-INT(($B162/J$5)))*(INDEX('D Fleet'!$K$5:$K$36,INT(($B162/J$5))+2)-INDEX('D Fleet'!$K$5:$K$36,INT(($B162/J$5))+1)),0)</f>
        <v/>
      </c>
      <c r="K162" s="350">
        <f>IFERROR(INDEX('D Fleet'!$F$5:$F$63,MATCH(K$3-$B162,'D Fleet'!$B$5:$B$63,0)),0)*IFERROR(INDEX('D Fleet'!$K$5:$K$36,INT(($B162/K$5))+1)+(($B162/K$5)-INT(($B162/K$5)))*(INDEX('D Fleet'!$K$5:$K$36,INT(($B162/K$5))+2)-INDEX('D Fleet'!$K$5:$K$36,INT(($B162/K$5))+1)),0)</f>
        <v/>
      </c>
      <c r="L162" s="350">
        <f>IFERROR(INDEX('D Fleet'!$F$5:$F$63,MATCH(L$3-$B162,'D Fleet'!$B$5:$B$63,0)),0)*IFERROR(INDEX('D Fleet'!$K$5:$K$36,INT(($B162/L$5))+1)+(($B162/L$5)-INT(($B162/L$5)))*(INDEX('D Fleet'!$K$5:$K$36,INT(($B162/L$5))+2)-INDEX('D Fleet'!$K$5:$K$36,INT(($B162/L$5))+1)),0)</f>
        <v/>
      </c>
      <c r="M162" s="350">
        <f>IFERROR(INDEX('D Fleet'!$F$5:$F$63,MATCH(M$3-$B162,'D Fleet'!$B$5:$B$63,0)),0)*IFERROR(INDEX('D Fleet'!$K$5:$K$36,INT(($B162/M$5))+1)+(($B162/M$5)-INT(($B162/M$5)))*(INDEX('D Fleet'!$K$5:$K$36,INT(($B162/M$5))+2)-INDEX('D Fleet'!$K$5:$K$36,INT(($B162/M$5))+1)),0)</f>
        <v/>
      </c>
      <c r="N162" s="350">
        <f>IFERROR(INDEX('D Fleet'!$F$5:$F$63,MATCH(N$3-$B162,'D Fleet'!$B$5:$B$63,0)),0)*IFERROR(INDEX('D Fleet'!$K$5:$K$36,INT(($B162/N$5))+1)+(($B162/N$5)-INT(($B162/N$5)))*(INDEX('D Fleet'!$K$5:$K$36,INT(($B162/N$5))+2)-INDEX('D Fleet'!$K$5:$K$36,INT(($B162/N$5))+1)),0)</f>
        <v/>
      </c>
      <c r="P162" s="350">
        <f>E162*$D162*'E1 Fleet'!$D$100</f>
        <v/>
      </c>
      <c r="Q162" s="350">
        <f>F162*$D162*'E1 Fleet'!$D$100</f>
        <v/>
      </c>
      <c r="R162" s="350">
        <f>G162*$D162*'E1 Fleet'!$D$100</f>
        <v/>
      </c>
      <c r="S162" s="350">
        <f>H162*$D162*'E1 Fleet'!$D$100</f>
        <v/>
      </c>
      <c r="T162" s="350">
        <f>I162*$D162*'E1 Fleet'!$D$100</f>
        <v/>
      </c>
      <c r="U162" s="350">
        <f>J162*$D162*'E1 Fleet'!$D$100</f>
        <v/>
      </c>
      <c r="V162" s="350">
        <f>K162*$D162*'E1 Fleet'!$D$100</f>
        <v/>
      </c>
      <c r="W162" s="350">
        <f>L162*$D162*'E1 Fleet'!$D$100</f>
        <v/>
      </c>
      <c r="X162" s="350">
        <f>M162*$D162*'E1 Fleet'!$D$100</f>
        <v/>
      </c>
      <c r="Y162" s="350">
        <f>N162*$D162*'E1 Fleet'!$D$100</f>
        <v/>
      </c>
    </row>
    <row r="163">
      <c r="A163" t="inlineStr">
        <is>
          <t>Van</t>
        </is>
      </c>
      <c r="B163" s="456" t="n">
        <v>18</v>
      </c>
      <c r="C163" s="456" t="n">
        <v>3</v>
      </c>
      <c r="D163" s="348">
        <f>IF($B163=0,'E1 Fleet'!$D$93,1)*EXP(-'E1 Fleet'!$D$94*MAX($B163-6,0))</f>
        <v/>
      </c>
      <c r="E163" s="350">
        <f>IFERROR(INDEX('D Fleet'!$F$5:$F$63,MATCH(E$3-$B163,'D Fleet'!$B$5:$B$63,0)),0)*IFERROR(INDEX('D Fleet'!$K$5:$K$36,INT(($B163/E$5))+1)+(($B163/E$5)-INT(($B163/E$5)))*(INDEX('D Fleet'!$K$5:$K$36,INT(($B163/E$5))+2)-INDEX('D Fleet'!$K$5:$K$36,INT(($B163/E$5))+1)),0)</f>
        <v/>
      </c>
      <c r="F163" s="350">
        <f>IFERROR(INDEX('D Fleet'!$F$5:$F$63,MATCH(F$3-$B163,'D Fleet'!$B$5:$B$63,0)),0)*IFERROR(INDEX('D Fleet'!$K$5:$K$36,INT(($B163/F$5))+1)+(($B163/F$5)-INT(($B163/F$5)))*(INDEX('D Fleet'!$K$5:$K$36,INT(($B163/F$5))+2)-INDEX('D Fleet'!$K$5:$K$36,INT(($B163/F$5))+1)),0)</f>
        <v/>
      </c>
      <c r="G163" s="350">
        <f>IFERROR(INDEX('D Fleet'!$F$5:$F$63,MATCH(G$3-$B163,'D Fleet'!$B$5:$B$63,0)),0)*IFERROR(INDEX('D Fleet'!$K$5:$K$36,INT(($B163/G$5))+1)+(($B163/G$5)-INT(($B163/G$5)))*(INDEX('D Fleet'!$K$5:$K$36,INT(($B163/G$5))+2)-INDEX('D Fleet'!$K$5:$K$36,INT(($B163/G$5))+1)),0)</f>
        <v/>
      </c>
      <c r="H163" s="350">
        <f>IFERROR(INDEX('D Fleet'!$F$5:$F$63,MATCH(H$3-$B163,'D Fleet'!$B$5:$B$63,0)),0)*IFERROR(INDEX('D Fleet'!$K$5:$K$36,INT(($B163/H$5))+1)+(($B163/H$5)-INT(($B163/H$5)))*(INDEX('D Fleet'!$K$5:$K$36,INT(($B163/H$5))+2)-INDEX('D Fleet'!$K$5:$K$36,INT(($B163/H$5))+1)),0)</f>
        <v/>
      </c>
      <c r="I163" s="350">
        <f>IFERROR(INDEX('D Fleet'!$F$5:$F$63,MATCH(I$3-$B163,'D Fleet'!$B$5:$B$63,0)),0)*IFERROR(INDEX('D Fleet'!$K$5:$K$36,INT(($B163/I$5))+1)+(($B163/I$5)-INT(($B163/I$5)))*(INDEX('D Fleet'!$K$5:$K$36,INT(($B163/I$5))+2)-INDEX('D Fleet'!$K$5:$K$36,INT(($B163/I$5))+1)),0)</f>
        <v/>
      </c>
      <c r="J163" s="350">
        <f>IFERROR(INDEX('D Fleet'!$F$5:$F$63,MATCH(J$3-$B163,'D Fleet'!$B$5:$B$63,0)),0)*IFERROR(INDEX('D Fleet'!$K$5:$K$36,INT(($B163/J$5))+1)+(($B163/J$5)-INT(($B163/J$5)))*(INDEX('D Fleet'!$K$5:$K$36,INT(($B163/J$5))+2)-INDEX('D Fleet'!$K$5:$K$36,INT(($B163/J$5))+1)),0)</f>
        <v/>
      </c>
      <c r="K163" s="350">
        <f>IFERROR(INDEX('D Fleet'!$F$5:$F$63,MATCH(K$3-$B163,'D Fleet'!$B$5:$B$63,0)),0)*IFERROR(INDEX('D Fleet'!$K$5:$K$36,INT(($B163/K$5))+1)+(($B163/K$5)-INT(($B163/K$5)))*(INDEX('D Fleet'!$K$5:$K$36,INT(($B163/K$5))+2)-INDEX('D Fleet'!$K$5:$K$36,INT(($B163/K$5))+1)),0)</f>
        <v/>
      </c>
      <c r="L163" s="350">
        <f>IFERROR(INDEX('D Fleet'!$F$5:$F$63,MATCH(L$3-$B163,'D Fleet'!$B$5:$B$63,0)),0)*IFERROR(INDEX('D Fleet'!$K$5:$K$36,INT(($B163/L$5))+1)+(($B163/L$5)-INT(($B163/L$5)))*(INDEX('D Fleet'!$K$5:$K$36,INT(($B163/L$5))+2)-INDEX('D Fleet'!$K$5:$K$36,INT(($B163/L$5))+1)),0)</f>
        <v/>
      </c>
      <c r="M163" s="350">
        <f>IFERROR(INDEX('D Fleet'!$F$5:$F$63,MATCH(M$3-$B163,'D Fleet'!$B$5:$B$63,0)),0)*IFERROR(INDEX('D Fleet'!$K$5:$K$36,INT(($B163/M$5))+1)+(($B163/M$5)-INT(($B163/M$5)))*(INDEX('D Fleet'!$K$5:$K$36,INT(($B163/M$5))+2)-INDEX('D Fleet'!$K$5:$K$36,INT(($B163/M$5))+1)),0)</f>
        <v/>
      </c>
      <c r="N163" s="350">
        <f>IFERROR(INDEX('D Fleet'!$F$5:$F$63,MATCH(N$3-$B163,'D Fleet'!$B$5:$B$63,0)),0)*IFERROR(INDEX('D Fleet'!$K$5:$K$36,INT(($B163/N$5))+1)+(($B163/N$5)-INT(($B163/N$5)))*(INDEX('D Fleet'!$K$5:$K$36,INT(($B163/N$5))+2)-INDEX('D Fleet'!$K$5:$K$36,INT(($B163/N$5))+1)),0)</f>
        <v/>
      </c>
      <c r="P163" s="350">
        <f>E163*$D163*'E1 Fleet'!$D$100</f>
        <v/>
      </c>
      <c r="Q163" s="350">
        <f>F163*$D163*'E1 Fleet'!$D$100</f>
        <v/>
      </c>
      <c r="R163" s="350">
        <f>G163*$D163*'E1 Fleet'!$D$100</f>
        <v/>
      </c>
      <c r="S163" s="350">
        <f>H163*$D163*'E1 Fleet'!$D$100</f>
        <v/>
      </c>
      <c r="T163" s="350">
        <f>I163*$D163*'E1 Fleet'!$D$100</f>
        <v/>
      </c>
      <c r="U163" s="350">
        <f>J163*$D163*'E1 Fleet'!$D$100</f>
        <v/>
      </c>
      <c r="V163" s="350">
        <f>K163*$D163*'E1 Fleet'!$D$100</f>
        <v/>
      </c>
      <c r="W163" s="350">
        <f>L163*$D163*'E1 Fleet'!$D$100</f>
        <v/>
      </c>
      <c r="X163" s="350">
        <f>M163*$D163*'E1 Fleet'!$D$100</f>
        <v/>
      </c>
      <c r="Y163" s="350">
        <f>N163*$D163*'E1 Fleet'!$D$100</f>
        <v/>
      </c>
    </row>
    <row r="164">
      <c r="A164" t="inlineStr">
        <is>
          <t>Van</t>
        </is>
      </c>
      <c r="B164" s="456" t="n">
        <v>19</v>
      </c>
      <c r="C164" s="456" t="n">
        <v>3</v>
      </c>
      <c r="D164" s="348">
        <f>IF($B164=0,'E1 Fleet'!$D$93,1)*EXP(-'E1 Fleet'!$D$94*MAX($B164-6,0))</f>
        <v/>
      </c>
      <c r="E164" s="350">
        <f>IFERROR(INDEX('D Fleet'!$F$5:$F$63,MATCH(E$3-$B164,'D Fleet'!$B$5:$B$63,0)),0)*IFERROR(INDEX('D Fleet'!$K$5:$K$36,INT(($B164/E$5))+1)+(($B164/E$5)-INT(($B164/E$5)))*(INDEX('D Fleet'!$K$5:$K$36,INT(($B164/E$5))+2)-INDEX('D Fleet'!$K$5:$K$36,INT(($B164/E$5))+1)),0)</f>
        <v/>
      </c>
      <c r="F164" s="350">
        <f>IFERROR(INDEX('D Fleet'!$F$5:$F$63,MATCH(F$3-$B164,'D Fleet'!$B$5:$B$63,0)),0)*IFERROR(INDEX('D Fleet'!$K$5:$K$36,INT(($B164/F$5))+1)+(($B164/F$5)-INT(($B164/F$5)))*(INDEX('D Fleet'!$K$5:$K$36,INT(($B164/F$5))+2)-INDEX('D Fleet'!$K$5:$K$36,INT(($B164/F$5))+1)),0)</f>
        <v/>
      </c>
      <c r="G164" s="350">
        <f>IFERROR(INDEX('D Fleet'!$F$5:$F$63,MATCH(G$3-$B164,'D Fleet'!$B$5:$B$63,0)),0)*IFERROR(INDEX('D Fleet'!$K$5:$K$36,INT(($B164/G$5))+1)+(($B164/G$5)-INT(($B164/G$5)))*(INDEX('D Fleet'!$K$5:$K$36,INT(($B164/G$5))+2)-INDEX('D Fleet'!$K$5:$K$36,INT(($B164/G$5))+1)),0)</f>
        <v/>
      </c>
      <c r="H164" s="350">
        <f>IFERROR(INDEX('D Fleet'!$F$5:$F$63,MATCH(H$3-$B164,'D Fleet'!$B$5:$B$63,0)),0)*IFERROR(INDEX('D Fleet'!$K$5:$K$36,INT(($B164/H$5))+1)+(($B164/H$5)-INT(($B164/H$5)))*(INDEX('D Fleet'!$K$5:$K$36,INT(($B164/H$5))+2)-INDEX('D Fleet'!$K$5:$K$36,INT(($B164/H$5))+1)),0)</f>
        <v/>
      </c>
      <c r="I164" s="350">
        <f>IFERROR(INDEX('D Fleet'!$F$5:$F$63,MATCH(I$3-$B164,'D Fleet'!$B$5:$B$63,0)),0)*IFERROR(INDEX('D Fleet'!$K$5:$K$36,INT(($B164/I$5))+1)+(($B164/I$5)-INT(($B164/I$5)))*(INDEX('D Fleet'!$K$5:$K$36,INT(($B164/I$5))+2)-INDEX('D Fleet'!$K$5:$K$36,INT(($B164/I$5))+1)),0)</f>
        <v/>
      </c>
      <c r="J164" s="350">
        <f>IFERROR(INDEX('D Fleet'!$F$5:$F$63,MATCH(J$3-$B164,'D Fleet'!$B$5:$B$63,0)),0)*IFERROR(INDEX('D Fleet'!$K$5:$K$36,INT(($B164/J$5))+1)+(($B164/J$5)-INT(($B164/J$5)))*(INDEX('D Fleet'!$K$5:$K$36,INT(($B164/J$5))+2)-INDEX('D Fleet'!$K$5:$K$36,INT(($B164/J$5))+1)),0)</f>
        <v/>
      </c>
      <c r="K164" s="350">
        <f>IFERROR(INDEX('D Fleet'!$F$5:$F$63,MATCH(K$3-$B164,'D Fleet'!$B$5:$B$63,0)),0)*IFERROR(INDEX('D Fleet'!$K$5:$K$36,INT(($B164/K$5))+1)+(($B164/K$5)-INT(($B164/K$5)))*(INDEX('D Fleet'!$K$5:$K$36,INT(($B164/K$5))+2)-INDEX('D Fleet'!$K$5:$K$36,INT(($B164/K$5))+1)),0)</f>
        <v/>
      </c>
      <c r="L164" s="350">
        <f>IFERROR(INDEX('D Fleet'!$F$5:$F$63,MATCH(L$3-$B164,'D Fleet'!$B$5:$B$63,0)),0)*IFERROR(INDEX('D Fleet'!$K$5:$K$36,INT(($B164/L$5))+1)+(($B164/L$5)-INT(($B164/L$5)))*(INDEX('D Fleet'!$K$5:$K$36,INT(($B164/L$5))+2)-INDEX('D Fleet'!$K$5:$K$36,INT(($B164/L$5))+1)),0)</f>
        <v/>
      </c>
      <c r="M164" s="350">
        <f>IFERROR(INDEX('D Fleet'!$F$5:$F$63,MATCH(M$3-$B164,'D Fleet'!$B$5:$B$63,0)),0)*IFERROR(INDEX('D Fleet'!$K$5:$K$36,INT(($B164/M$5))+1)+(($B164/M$5)-INT(($B164/M$5)))*(INDEX('D Fleet'!$K$5:$K$36,INT(($B164/M$5))+2)-INDEX('D Fleet'!$K$5:$K$36,INT(($B164/M$5))+1)),0)</f>
        <v/>
      </c>
      <c r="N164" s="350">
        <f>IFERROR(INDEX('D Fleet'!$F$5:$F$63,MATCH(N$3-$B164,'D Fleet'!$B$5:$B$63,0)),0)*IFERROR(INDEX('D Fleet'!$K$5:$K$36,INT(($B164/N$5))+1)+(($B164/N$5)-INT(($B164/N$5)))*(INDEX('D Fleet'!$K$5:$K$36,INT(($B164/N$5))+2)-INDEX('D Fleet'!$K$5:$K$36,INT(($B164/N$5))+1)),0)</f>
        <v/>
      </c>
      <c r="P164" s="350">
        <f>E164*$D164*'E1 Fleet'!$D$100</f>
        <v/>
      </c>
      <c r="Q164" s="350">
        <f>F164*$D164*'E1 Fleet'!$D$100</f>
        <v/>
      </c>
      <c r="R164" s="350">
        <f>G164*$D164*'E1 Fleet'!$D$100</f>
        <v/>
      </c>
      <c r="S164" s="350">
        <f>H164*$D164*'E1 Fleet'!$D$100</f>
        <v/>
      </c>
      <c r="T164" s="350">
        <f>I164*$D164*'E1 Fleet'!$D$100</f>
        <v/>
      </c>
      <c r="U164" s="350">
        <f>J164*$D164*'E1 Fleet'!$D$100</f>
        <v/>
      </c>
      <c r="V164" s="350">
        <f>K164*$D164*'E1 Fleet'!$D$100</f>
        <v/>
      </c>
      <c r="W164" s="350">
        <f>L164*$D164*'E1 Fleet'!$D$100</f>
        <v/>
      </c>
      <c r="X164" s="350">
        <f>M164*$D164*'E1 Fleet'!$D$100</f>
        <v/>
      </c>
      <c r="Y164" s="350">
        <f>N164*$D164*'E1 Fleet'!$D$100</f>
        <v/>
      </c>
    </row>
    <row r="165">
      <c r="A165" t="inlineStr">
        <is>
          <t>Van</t>
        </is>
      </c>
      <c r="B165" s="456" t="n">
        <v>20</v>
      </c>
      <c r="C165" s="456" t="n">
        <v>3</v>
      </c>
      <c r="D165" s="348">
        <f>IF($B165=0,'E1 Fleet'!$D$93,1)*EXP(-'E1 Fleet'!$D$94*MAX($B165-6,0))</f>
        <v/>
      </c>
      <c r="E165" s="350">
        <f>IFERROR(INDEX('D Fleet'!$F$5:$F$63,MATCH(E$3-$B165,'D Fleet'!$B$5:$B$63,0)),0)*IFERROR(INDEX('D Fleet'!$K$5:$K$36,INT(($B165/E$5))+1)+(($B165/E$5)-INT(($B165/E$5)))*(INDEX('D Fleet'!$K$5:$K$36,INT(($B165/E$5))+2)-INDEX('D Fleet'!$K$5:$K$36,INT(($B165/E$5))+1)),0)</f>
        <v/>
      </c>
      <c r="F165" s="350">
        <f>IFERROR(INDEX('D Fleet'!$F$5:$F$63,MATCH(F$3-$B165,'D Fleet'!$B$5:$B$63,0)),0)*IFERROR(INDEX('D Fleet'!$K$5:$K$36,INT(($B165/F$5))+1)+(($B165/F$5)-INT(($B165/F$5)))*(INDEX('D Fleet'!$K$5:$K$36,INT(($B165/F$5))+2)-INDEX('D Fleet'!$K$5:$K$36,INT(($B165/F$5))+1)),0)</f>
        <v/>
      </c>
      <c r="G165" s="350">
        <f>IFERROR(INDEX('D Fleet'!$F$5:$F$63,MATCH(G$3-$B165,'D Fleet'!$B$5:$B$63,0)),0)*IFERROR(INDEX('D Fleet'!$K$5:$K$36,INT(($B165/G$5))+1)+(($B165/G$5)-INT(($B165/G$5)))*(INDEX('D Fleet'!$K$5:$K$36,INT(($B165/G$5))+2)-INDEX('D Fleet'!$K$5:$K$36,INT(($B165/G$5))+1)),0)</f>
        <v/>
      </c>
      <c r="H165" s="350">
        <f>IFERROR(INDEX('D Fleet'!$F$5:$F$63,MATCH(H$3-$B165,'D Fleet'!$B$5:$B$63,0)),0)*IFERROR(INDEX('D Fleet'!$K$5:$K$36,INT(($B165/H$5))+1)+(($B165/H$5)-INT(($B165/H$5)))*(INDEX('D Fleet'!$K$5:$K$36,INT(($B165/H$5))+2)-INDEX('D Fleet'!$K$5:$K$36,INT(($B165/H$5))+1)),0)</f>
        <v/>
      </c>
      <c r="I165" s="350">
        <f>IFERROR(INDEX('D Fleet'!$F$5:$F$63,MATCH(I$3-$B165,'D Fleet'!$B$5:$B$63,0)),0)*IFERROR(INDEX('D Fleet'!$K$5:$K$36,INT(($B165/I$5))+1)+(($B165/I$5)-INT(($B165/I$5)))*(INDEX('D Fleet'!$K$5:$K$36,INT(($B165/I$5))+2)-INDEX('D Fleet'!$K$5:$K$36,INT(($B165/I$5))+1)),0)</f>
        <v/>
      </c>
      <c r="J165" s="350">
        <f>IFERROR(INDEX('D Fleet'!$F$5:$F$63,MATCH(J$3-$B165,'D Fleet'!$B$5:$B$63,0)),0)*IFERROR(INDEX('D Fleet'!$K$5:$K$36,INT(($B165/J$5))+1)+(($B165/J$5)-INT(($B165/J$5)))*(INDEX('D Fleet'!$K$5:$K$36,INT(($B165/J$5))+2)-INDEX('D Fleet'!$K$5:$K$36,INT(($B165/J$5))+1)),0)</f>
        <v/>
      </c>
      <c r="K165" s="350">
        <f>IFERROR(INDEX('D Fleet'!$F$5:$F$63,MATCH(K$3-$B165,'D Fleet'!$B$5:$B$63,0)),0)*IFERROR(INDEX('D Fleet'!$K$5:$K$36,INT(($B165/K$5))+1)+(($B165/K$5)-INT(($B165/K$5)))*(INDEX('D Fleet'!$K$5:$K$36,INT(($B165/K$5))+2)-INDEX('D Fleet'!$K$5:$K$36,INT(($B165/K$5))+1)),0)</f>
        <v/>
      </c>
      <c r="L165" s="350">
        <f>IFERROR(INDEX('D Fleet'!$F$5:$F$63,MATCH(L$3-$B165,'D Fleet'!$B$5:$B$63,0)),0)*IFERROR(INDEX('D Fleet'!$K$5:$K$36,INT(($B165/L$5))+1)+(($B165/L$5)-INT(($B165/L$5)))*(INDEX('D Fleet'!$K$5:$K$36,INT(($B165/L$5))+2)-INDEX('D Fleet'!$K$5:$K$36,INT(($B165/L$5))+1)),0)</f>
        <v/>
      </c>
      <c r="M165" s="350">
        <f>IFERROR(INDEX('D Fleet'!$F$5:$F$63,MATCH(M$3-$B165,'D Fleet'!$B$5:$B$63,0)),0)*IFERROR(INDEX('D Fleet'!$K$5:$K$36,INT(($B165/M$5))+1)+(($B165/M$5)-INT(($B165/M$5)))*(INDEX('D Fleet'!$K$5:$K$36,INT(($B165/M$5))+2)-INDEX('D Fleet'!$K$5:$K$36,INT(($B165/M$5))+1)),0)</f>
        <v/>
      </c>
      <c r="N165" s="350">
        <f>IFERROR(INDEX('D Fleet'!$F$5:$F$63,MATCH(N$3-$B165,'D Fleet'!$B$5:$B$63,0)),0)*IFERROR(INDEX('D Fleet'!$K$5:$K$36,INT(($B165/N$5))+1)+(($B165/N$5)-INT(($B165/N$5)))*(INDEX('D Fleet'!$K$5:$K$36,INT(($B165/N$5))+2)-INDEX('D Fleet'!$K$5:$K$36,INT(($B165/N$5))+1)),0)</f>
        <v/>
      </c>
      <c r="P165" s="350">
        <f>E165*$D165*'E1 Fleet'!$D$100</f>
        <v/>
      </c>
      <c r="Q165" s="350">
        <f>F165*$D165*'E1 Fleet'!$D$100</f>
        <v/>
      </c>
      <c r="R165" s="350">
        <f>G165*$D165*'E1 Fleet'!$D$100</f>
        <v/>
      </c>
      <c r="S165" s="350">
        <f>H165*$D165*'E1 Fleet'!$D$100</f>
        <v/>
      </c>
      <c r="T165" s="350">
        <f>I165*$D165*'E1 Fleet'!$D$100</f>
        <v/>
      </c>
      <c r="U165" s="350">
        <f>J165*$D165*'E1 Fleet'!$D$100</f>
        <v/>
      </c>
      <c r="V165" s="350">
        <f>K165*$D165*'E1 Fleet'!$D$100</f>
        <v/>
      </c>
      <c r="W165" s="350">
        <f>L165*$D165*'E1 Fleet'!$D$100</f>
        <v/>
      </c>
      <c r="X165" s="350">
        <f>M165*$D165*'E1 Fleet'!$D$100</f>
        <v/>
      </c>
      <c r="Y165" s="350">
        <f>N165*$D165*'E1 Fleet'!$D$100</f>
        <v/>
      </c>
    </row>
    <row r="166">
      <c r="A166" t="inlineStr">
        <is>
          <t>Van</t>
        </is>
      </c>
      <c r="B166" s="456" t="n">
        <v>21</v>
      </c>
      <c r="C166" s="456" t="n">
        <v>3</v>
      </c>
      <c r="D166" s="348">
        <f>IF($B166=0,'E1 Fleet'!$D$93,1)*EXP(-'E1 Fleet'!$D$94*MAX($B166-6,0))</f>
        <v/>
      </c>
      <c r="E166" s="350">
        <f>IFERROR(INDEX('D Fleet'!$F$5:$F$63,MATCH(E$3-$B166,'D Fleet'!$B$5:$B$63,0)),0)*IFERROR(INDEX('D Fleet'!$K$5:$K$36,INT(($B166/E$5))+1)+(($B166/E$5)-INT(($B166/E$5)))*(INDEX('D Fleet'!$K$5:$K$36,INT(($B166/E$5))+2)-INDEX('D Fleet'!$K$5:$K$36,INT(($B166/E$5))+1)),0)</f>
        <v/>
      </c>
      <c r="F166" s="350">
        <f>IFERROR(INDEX('D Fleet'!$F$5:$F$63,MATCH(F$3-$B166,'D Fleet'!$B$5:$B$63,0)),0)*IFERROR(INDEX('D Fleet'!$K$5:$K$36,INT(($B166/F$5))+1)+(($B166/F$5)-INT(($B166/F$5)))*(INDEX('D Fleet'!$K$5:$K$36,INT(($B166/F$5))+2)-INDEX('D Fleet'!$K$5:$K$36,INT(($B166/F$5))+1)),0)</f>
        <v/>
      </c>
      <c r="G166" s="350">
        <f>IFERROR(INDEX('D Fleet'!$F$5:$F$63,MATCH(G$3-$B166,'D Fleet'!$B$5:$B$63,0)),0)*IFERROR(INDEX('D Fleet'!$K$5:$K$36,INT(($B166/G$5))+1)+(($B166/G$5)-INT(($B166/G$5)))*(INDEX('D Fleet'!$K$5:$K$36,INT(($B166/G$5))+2)-INDEX('D Fleet'!$K$5:$K$36,INT(($B166/G$5))+1)),0)</f>
        <v/>
      </c>
      <c r="H166" s="350">
        <f>IFERROR(INDEX('D Fleet'!$F$5:$F$63,MATCH(H$3-$B166,'D Fleet'!$B$5:$B$63,0)),0)*IFERROR(INDEX('D Fleet'!$K$5:$K$36,INT(($B166/H$5))+1)+(($B166/H$5)-INT(($B166/H$5)))*(INDEX('D Fleet'!$K$5:$K$36,INT(($B166/H$5))+2)-INDEX('D Fleet'!$K$5:$K$36,INT(($B166/H$5))+1)),0)</f>
        <v/>
      </c>
      <c r="I166" s="350">
        <f>IFERROR(INDEX('D Fleet'!$F$5:$F$63,MATCH(I$3-$B166,'D Fleet'!$B$5:$B$63,0)),0)*IFERROR(INDEX('D Fleet'!$K$5:$K$36,INT(($B166/I$5))+1)+(($B166/I$5)-INT(($B166/I$5)))*(INDEX('D Fleet'!$K$5:$K$36,INT(($B166/I$5))+2)-INDEX('D Fleet'!$K$5:$K$36,INT(($B166/I$5))+1)),0)</f>
        <v/>
      </c>
      <c r="J166" s="350">
        <f>IFERROR(INDEX('D Fleet'!$F$5:$F$63,MATCH(J$3-$B166,'D Fleet'!$B$5:$B$63,0)),0)*IFERROR(INDEX('D Fleet'!$K$5:$K$36,INT(($B166/J$5))+1)+(($B166/J$5)-INT(($B166/J$5)))*(INDEX('D Fleet'!$K$5:$K$36,INT(($B166/J$5))+2)-INDEX('D Fleet'!$K$5:$K$36,INT(($B166/J$5))+1)),0)</f>
        <v/>
      </c>
      <c r="K166" s="350">
        <f>IFERROR(INDEX('D Fleet'!$F$5:$F$63,MATCH(K$3-$B166,'D Fleet'!$B$5:$B$63,0)),0)*IFERROR(INDEX('D Fleet'!$K$5:$K$36,INT(($B166/K$5))+1)+(($B166/K$5)-INT(($B166/K$5)))*(INDEX('D Fleet'!$K$5:$K$36,INT(($B166/K$5))+2)-INDEX('D Fleet'!$K$5:$K$36,INT(($B166/K$5))+1)),0)</f>
        <v/>
      </c>
      <c r="L166" s="350">
        <f>IFERROR(INDEX('D Fleet'!$F$5:$F$63,MATCH(L$3-$B166,'D Fleet'!$B$5:$B$63,0)),0)*IFERROR(INDEX('D Fleet'!$K$5:$K$36,INT(($B166/L$5))+1)+(($B166/L$5)-INT(($B166/L$5)))*(INDEX('D Fleet'!$K$5:$K$36,INT(($B166/L$5))+2)-INDEX('D Fleet'!$K$5:$K$36,INT(($B166/L$5))+1)),0)</f>
        <v/>
      </c>
      <c r="M166" s="350">
        <f>IFERROR(INDEX('D Fleet'!$F$5:$F$63,MATCH(M$3-$B166,'D Fleet'!$B$5:$B$63,0)),0)*IFERROR(INDEX('D Fleet'!$K$5:$K$36,INT(($B166/M$5))+1)+(($B166/M$5)-INT(($B166/M$5)))*(INDEX('D Fleet'!$K$5:$K$36,INT(($B166/M$5))+2)-INDEX('D Fleet'!$K$5:$K$36,INT(($B166/M$5))+1)),0)</f>
        <v/>
      </c>
      <c r="N166" s="350">
        <f>IFERROR(INDEX('D Fleet'!$F$5:$F$63,MATCH(N$3-$B166,'D Fleet'!$B$5:$B$63,0)),0)*IFERROR(INDEX('D Fleet'!$K$5:$K$36,INT(($B166/N$5))+1)+(($B166/N$5)-INT(($B166/N$5)))*(INDEX('D Fleet'!$K$5:$K$36,INT(($B166/N$5))+2)-INDEX('D Fleet'!$K$5:$K$36,INT(($B166/N$5))+1)),0)</f>
        <v/>
      </c>
      <c r="P166" s="350">
        <f>E166*$D166*'E1 Fleet'!$D$100</f>
        <v/>
      </c>
      <c r="Q166" s="350">
        <f>F166*$D166*'E1 Fleet'!$D$100</f>
        <v/>
      </c>
      <c r="R166" s="350">
        <f>G166*$D166*'E1 Fleet'!$D$100</f>
        <v/>
      </c>
      <c r="S166" s="350">
        <f>H166*$D166*'E1 Fleet'!$D$100</f>
        <v/>
      </c>
      <c r="T166" s="350">
        <f>I166*$D166*'E1 Fleet'!$D$100</f>
        <v/>
      </c>
      <c r="U166" s="350">
        <f>J166*$D166*'E1 Fleet'!$D$100</f>
        <v/>
      </c>
      <c r="V166" s="350">
        <f>K166*$D166*'E1 Fleet'!$D$100</f>
        <v/>
      </c>
      <c r="W166" s="350">
        <f>L166*$D166*'E1 Fleet'!$D$100</f>
        <v/>
      </c>
      <c r="X166" s="350">
        <f>M166*$D166*'E1 Fleet'!$D$100</f>
        <v/>
      </c>
      <c r="Y166" s="350">
        <f>N166*$D166*'E1 Fleet'!$D$100</f>
        <v/>
      </c>
    </row>
    <row r="167">
      <c r="A167" t="inlineStr">
        <is>
          <t>Van</t>
        </is>
      </c>
      <c r="B167" s="456" t="n">
        <v>22</v>
      </c>
      <c r="C167" s="456" t="n">
        <v>3</v>
      </c>
      <c r="D167" s="348">
        <f>IF($B167=0,'E1 Fleet'!$D$93,1)*EXP(-'E1 Fleet'!$D$94*MAX($B167-6,0))</f>
        <v/>
      </c>
      <c r="E167" s="350">
        <f>IFERROR(INDEX('D Fleet'!$F$5:$F$63,MATCH(E$3-$B167,'D Fleet'!$B$5:$B$63,0)),0)*IFERROR(INDEX('D Fleet'!$K$5:$K$36,INT(($B167/E$5))+1)+(($B167/E$5)-INT(($B167/E$5)))*(INDEX('D Fleet'!$K$5:$K$36,INT(($B167/E$5))+2)-INDEX('D Fleet'!$K$5:$K$36,INT(($B167/E$5))+1)),0)</f>
        <v/>
      </c>
      <c r="F167" s="350">
        <f>IFERROR(INDEX('D Fleet'!$F$5:$F$63,MATCH(F$3-$B167,'D Fleet'!$B$5:$B$63,0)),0)*IFERROR(INDEX('D Fleet'!$K$5:$K$36,INT(($B167/F$5))+1)+(($B167/F$5)-INT(($B167/F$5)))*(INDEX('D Fleet'!$K$5:$K$36,INT(($B167/F$5))+2)-INDEX('D Fleet'!$K$5:$K$36,INT(($B167/F$5))+1)),0)</f>
        <v/>
      </c>
      <c r="G167" s="350">
        <f>IFERROR(INDEX('D Fleet'!$F$5:$F$63,MATCH(G$3-$B167,'D Fleet'!$B$5:$B$63,0)),0)*IFERROR(INDEX('D Fleet'!$K$5:$K$36,INT(($B167/G$5))+1)+(($B167/G$5)-INT(($B167/G$5)))*(INDEX('D Fleet'!$K$5:$K$36,INT(($B167/G$5))+2)-INDEX('D Fleet'!$K$5:$K$36,INT(($B167/G$5))+1)),0)</f>
        <v/>
      </c>
      <c r="H167" s="350">
        <f>IFERROR(INDEX('D Fleet'!$F$5:$F$63,MATCH(H$3-$B167,'D Fleet'!$B$5:$B$63,0)),0)*IFERROR(INDEX('D Fleet'!$K$5:$K$36,INT(($B167/H$5))+1)+(($B167/H$5)-INT(($B167/H$5)))*(INDEX('D Fleet'!$K$5:$K$36,INT(($B167/H$5))+2)-INDEX('D Fleet'!$K$5:$K$36,INT(($B167/H$5))+1)),0)</f>
        <v/>
      </c>
      <c r="I167" s="350">
        <f>IFERROR(INDEX('D Fleet'!$F$5:$F$63,MATCH(I$3-$B167,'D Fleet'!$B$5:$B$63,0)),0)*IFERROR(INDEX('D Fleet'!$K$5:$K$36,INT(($B167/I$5))+1)+(($B167/I$5)-INT(($B167/I$5)))*(INDEX('D Fleet'!$K$5:$K$36,INT(($B167/I$5))+2)-INDEX('D Fleet'!$K$5:$K$36,INT(($B167/I$5))+1)),0)</f>
        <v/>
      </c>
      <c r="J167" s="350">
        <f>IFERROR(INDEX('D Fleet'!$F$5:$F$63,MATCH(J$3-$B167,'D Fleet'!$B$5:$B$63,0)),0)*IFERROR(INDEX('D Fleet'!$K$5:$K$36,INT(($B167/J$5))+1)+(($B167/J$5)-INT(($B167/J$5)))*(INDEX('D Fleet'!$K$5:$K$36,INT(($B167/J$5))+2)-INDEX('D Fleet'!$K$5:$K$36,INT(($B167/J$5))+1)),0)</f>
        <v/>
      </c>
      <c r="K167" s="350">
        <f>IFERROR(INDEX('D Fleet'!$F$5:$F$63,MATCH(K$3-$B167,'D Fleet'!$B$5:$B$63,0)),0)*IFERROR(INDEX('D Fleet'!$K$5:$K$36,INT(($B167/K$5))+1)+(($B167/K$5)-INT(($B167/K$5)))*(INDEX('D Fleet'!$K$5:$K$36,INT(($B167/K$5))+2)-INDEX('D Fleet'!$K$5:$K$36,INT(($B167/K$5))+1)),0)</f>
        <v/>
      </c>
      <c r="L167" s="350">
        <f>IFERROR(INDEX('D Fleet'!$F$5:$F$63,MATCH(L$3-$B167,'D Fleet'!$B$5:$B$63,0)),0)*IFERROR(INDEX('D Fleet'!$K$5:$K$36,INT(($B167/L$5))+1)+(($B167/L$5)-INT(($B167/L$5)))*(INDEX('D Fleet'!$K$5:$K$36,INT(($B167/L$5))+2)-INDEX('D Fleet'!$K$5:$K$36,INT(($B167/L$5))+1)),0)</f>
        <v/>
      </c>
      <c r="M167" s="350">
        <f>IFERROR(INDEX('D Fleet'!$F$5:$F$63,MATCH(M$3-$B167,'D Fleet'!$B$5:$B$63,0)),0)*IFERROR(INDEX('D Fleet'!$K$5:$K$36,INT(($B167/M$5))+1)+(($B167/M$5)-INT(($B167/M$5)))*(INDEX('D Fleet'!$K$5:$K$36,INT(($B167/M$5))+2)-INDEX('D Fleet'!$K$5:$K$36,INT(($B167/M$5))+1)),0)</f>
        <v/>
      </c>
      <c r="N167" s="350">
        <f>IFERROR(INDEX('D Fleet'!$F$5:$F$63,MATCH(N$3-$B167,'D Fleet'!$B$5:$B$63,0)),0)*IFERROR(INDEX('D Fleet'!$K$5:$K$36,INT(($B167/N$5))+1)+(($B167/N$5)-INT(($B167/N$5)))*(INDEX('D Fleet'!$K$5:$K$36,INT(($B167/N$5))+2)-INDEX('D Fleet'!$K$5:$K$36,INT(($B167/N$5))+1)),0)</f>
        <v/>
      </c>
      <c r="P167" s="350">
        <f>E167*$D167*'E1 Fleet'!$D$100</f>
        <v/>
      </c>
      <c r="Q167" s="350">
        <f>F167*$D167*'E1 Fleet'!$D$100</f>
        <v/>
      </c>
      <c r="R167" s="350">
        <f>G167*$D167*'E1 Fleet'!$D$100</f>
        <v/>
      </c>
      <c r="S167" s="350">
        <f>H167*$D167*'E1 Fleet'!$D$100</f>
        <v/>
      </c>
      <c r="T167" s="350">
        <f>I167*$D167*'E1 Fleet'!$D$100</f>
        <v/>
      </c>
      <c r="U167" s="350">
        <f>J167*$D167*'E1 Fleet'!$D$100</f>
        <v/>
      </c>
      <c r="V167" s="350">
        <f>K167*$D167*'E1 Fleet'!$D$100</f>
        <v/>
      </c>
      <c r="W167" s="350">
        <f>L167*$D167*'E1 Fleet'!$D$100</f>
        <v/>
      </c>
      <c r="X167" s="350">
        <f>M167*$D167*'E1 Fleet'!$D$100</f>
        <v/>
      </c>
      <c r="Y167" s="350">
        <f>N167*$D167*'E1 Fleet'!$D$100</f>
        <v/>
      </c>
    </row>
    <row r="168">
      <c r="A168" t="inlineStr">
        <is>
          <t>Van</t>
        </is>
      </c>
      <c r="B168" s="456" t="n">
        <v>23</v>
      </c>
      <c r="C168" s="456" t="n">
        <v>3</v>
      </c>
      <c r="D168" s="348">
        <f>IF($B168=0,'E1 Fleet'!$D$93,1)*EXP(-'E1 Fleet'!$D$94*MAX($B168-6,0))</f>
        <v/>
      </c>
      <c r="E168" s="350">
        <f>IFERROR(INDEX('D Fleet'!$F$5:$F$63,MATCH(E$3-$B168,'D Fleet'!$B$5:$B$63,0)),0)*IFERROR(INDEX('D Fleet'!$K$5:$K$36,INT(($B168/E$5))+1)+(($B168/E$5)-INT(($B168/E$5)))*(INDEX('D Fleet'!$K$5:$K$36,INT(($B168/E$5))+2)-INDEX('D Fleet'!$K$5:$K$36,INT(($B168/E$5))+1)),0)</f>
        <v/>
      </c>
      <c r="F168" s="350">
        <f>IFERROR(INDEX('D Fleet'!$F$5:$F$63,MATCH(F$3-$B168,'D Fleet'!$B$5:$B$63,0)),0)*IFERROR(INDEX('D Fleet'!$K$5:$K$36,INT(($B168/F$5))+1)+(($B168/F$5)-INT(($B168/F$5)))*(INDEX('D Fleet'!$K$5:$K$36,INT(($B168/F$5))+2)-INDEX('D Fleet'!$K$5:$K$36,INT(($B168/F$5))+1)),0)</f>
        <v/>
      </c>
      <c r="G168" s="350">
        <f>IFERROR(INDEX('D Fleet'!$F$5:$F$63,MATCH(G$3-$B168,'D Fleet'!$B$5:$B$63,0)),0)*IFERROR(INDEX('D Fleet'!$K$5:$K$36,INT(($B168/G$5))+1)+(($B168/G$5)-INT(($B168/G$5)))*(INDEX('D Fleet'!$K$5:$K$36,INT(($B168/G$5))+2)-INDEX('D Fleet'!$K$5:$K$36,INT(($B168/G$5))+1)),0)</f>
        <v/>
      </c>
      <c r="H168" s="350">
        <f>IFERROR(INDEX('D Fleet'!$F$5:$F$63,MATCH(H$3-$B168,'D Fleet'!$B$5:$B$63,0)),0)*IFERROR(INDEX('D Fleet'!$K$5:$K$36,INT(($B168/H$5))+1)+(($B168/H$5)-INT(($B168/H$5)))*(INDEX('D Fleet'!$K$5:$K$36,INT(($B168/H$5))+2)-INDEX('D Fleet'!$K$5:$K$36,INT(($B168/H$5))+1)),0)</f>
        <v/>
      </c>
      <c r="I168" s="350">
        <f>IFERROR(INDEX('D Fleet'!$F$5:$F$63,MATCH(I$3-$B168,'D Fleet'!$B$5:$B$63,0)),0)*IFERROR(INDEX('D Fleet'!$K$5:$K$36,INT(($B168/I$5))+1)+(($B168/I$5)-INT(($B168/I$5)))*(INDEX('D Fleet'!$K$5:$K$36,INT(($B168/I$5))+2)-INDEX('D Fleet'!$K$5:$K$36,INT(($B168/I$5))+1)),0)</f>
        <v/>
      </c>
      <c r="J168" s="350">
        <f>IFERROR(INDEX('D Fleet'!$F$5:$F$63,MATCH(J$3-$B168,'D Fleet'!$B$5:$B$63,0)),0)*IFERROR(INDEX('D Fleet'!$K$5:$K$36,INT(($B168/J$5))+1)+(($B168/J$5)-INT(($B168/J$5)))*(INDEX('D Fleet'!$K$5:$K$36,INT(($B168/J$5))+2)-INDEX('D Fleet'!$K$5:$K$36,INT(($B168/J$5))+1)),0)</f>
        <v/>
      </c>
      <c r="K168" s="350">
        <f>IFERROR(INDEX('D Fleet'!$F$5:$F$63,MATCH(K$3-$B168,'D Fleet'!$B$5:$B$63,0)),0)*IFERROR(INDEX('D Fleet'!$K$5:$K$36,INT(($B168/K$5))+1)+(($B168/K$5)-INT(($B168/K$5)))*(INDEX('D Fleet'!$K$5:$K$36,INT(($B168/K$5))+2)-INDEX('D Fleet'!$K$5:$K$36,INT(($B168/K$5))+1)),0)</f>
        <v/>
      </c>
      <c r="L168" s="350">
        <f>IFERROR(INDEX('D Fleet'!$F$5:$F$63,MATCH(L$3-$B168,'D Fleet'!$B$5:$B$63,0)),0)*IFERROR(INDEX('D Fleet'!$K$5:$K$36,INT(($B168/L$5))+1)+(($B168/L$5)-INT(($B168/L$5)))*(INDEX('D Fleet'!$K$5:$K$36,INT(($B168/L$5))+2)-INDEX('D Fleet'!$K$5:$K$36,INT(($B168/L$5))+1)),0)</f>
        <v/>
      </c>
      <c r="M168" s="350">
        <f>IFERROR(INDEX('D Fleet'!$F$5:$F$63,MATCH(M$3-$B168,'D Fleet'!$B$5:$B$63,0)),0)*IFERROR(INDEX('D Fleet'!$K$5:$K$36,INT(($B168/M$5))+1)+(($B168/M$5)-INT(($B168/M$5)))*(INDEX('D Fleet'!$K$5:$K$36,INT(($B168/M$5))+2)-INDEX('D Fleet'!$K$5:$K$36,INT(($B168/M$5))+1)),0)</f>
        <v/>
      </c>
      <c r="N168" s="350">
        <f>IFERROR(INDEX('D Fleet'!$F$5:$F$63,MATCH(N$3-$B168,'D Fleet'!$B$5:$B$63,0)),0)*IFERROR(INDEX('D Fleet'!$K$5:$K$36,INT(($B168/N$5))+1)+(($B168/N$5)-INT(($B168/N$5)))*(INDEX('D Fleet'!$K$5:$K$36,INT(($B168/N$5))+2)-INDEX('D Fleet'!$K$5:$K$36,INT(($B168/N$5))+1)),0)</f>
        <v/>
      </c>
      <c r="P168" s="350">
        <f>E168*$D168*'E1 Fleet'!$D$100</f>
        <v/>
      </c>
      <c r="Q168" s="350">
        <f>F168*$D168*'E1 Fleet'!$D$100</f>
        <v/>
      </c>
      <c r="R168" s="350">
        <f>G168*$D168*'E1 Fleet'!$D$100</f>
        <v/>
      </c>
      <c r="S168" s="350">
        <f>H168*$D168*'E1 Fleet'!$D$100</f>
        <v/>
      </c>
      <c r="T168" s="350">
        <f>I168*$D168*'E1 Fleet'!$D$100</f>
        <v/>
      </c>
      <c r="U168" s="350">
        <f>J168*$D168*'E1 Fleet'!$D$100</f>
        <v/>
      </c>
      <c r="V168" s="350">
        <f>K168*$D168*'E1 Fleet'!$D$100</f>
        <v/>
      </c>
      <c r="W168" s="350">
        <f>L168*$D168*'E1 Fleet'!$D$100</f>
        <v/>
      </c>
      <c r="X168" s="350">
        <f>M168*$D168*'E1 Fleet'!$D$100</f>
        <v/>
      </c>
      <c r="Y168" s="350">
        <f>N168*$D168*'E1 Fleet'!$D$100</f>
        <v/>
      </c>
    </row>
    <row r="169">
      <c r="A169" t="inlineStr">
        <is>
          <t>Van</t>
        </is>
      </c>
      <c r="B169" s="456" t="n">
        <v>24</v>
      </c>
      <c r="C169" s="456" t="n">
        <v>3</v>
      </c>
      <c r="D169" s="348">
        <f>IF($B169=0,'E1 Fleet'!$D$93,1)*EXP(-'E1 Fleet'!$D$94*MAX($B169-6,0))</f>
        <v/>
      </c>
      <c r="E169" s="350">
        <f>IFERROR(INDEX('D Fleet'!$F$5:$F$63,MATCH(E$3-$B169,'D Fleet'!$B$5:$B$63,0)),0)*IFERROR(INDEX('D Fleet'!$K$5:$K$36,INT(($B169/E$5))+1)+(($B169/E$5)-INT(($B169/E$5)))*(INDEX('D Fleet'!$K$5:$K$36,INT(($B169/E$5))+2)-INDEX('D Fleet'!$K$5:$K$36,INT(($B169/E$5))+1)),0)</f>
        <v/>
      </c>
      <c r="F169" s="350">
        <f>IFERROR(INDEX('D Fleet'!$F$5:$F$63,MATCH(F$3-$B169,'D Fleet'!$B$5:$B$63,0)),0)*IFERROR(INDEX('D Fleet'!$K$5:$K$36,INT(($B169/F$5))+1)+(($B169/F$5)-INT(($B169/F$5)))*(INDEX('D Fleet'!$K$5:$K$36,INT(($B169/F$5))+2)-INDEX('D Fleet'!$K$5:$K$36,INT(($B169/F$5))+1)),0)</f>
        <v/>
      </c>
      <c r="G169" s="350">
        <f>IFERROR(INDEX('D Fleet'!$F$5:$F$63,MATCH(G$3-$B169,'D Fleet'!$B$5:$B$63,0)),0)*IFERROR(INDEX('D Fleet'!$K$5:$K$36,INT(($B169/G$5))+1)+(($B169/G$5)-INT(($B169/G$5)))*(INDEX('D Fleet'!$K$5:$K$36,INT(($B169/G$5))+2)-INDEX('D Fleet'!$K$5:$K$36,INT(($B169/G$5))+1)),0)</f>
        <v/>
      </c>
      <c r="H169" s="350">
        <f>IFERROR(INDEX('D Fleet'!$F$5:$F$63,MATCH(H$3-$B169,'D Fleet'!$B$5:$B$63,0)),0)*IFERROR(INDEX('D Fleet'!$K$5:$K$36,INT(($B169/H$5))+1)+(($B169/H$5)-INT(($B169/H$5)))*(INDEX('D Fleet'!$K$5:$K$36,INT(($B169/H$5))+2)-INDEX('D Fleet'!$K$5:$K$36,INT(($B169/H$5))+1)),0)</f>
        <v/>
      </c>
      <c r="I169" s="350">
        <f>IFERROR(INDEX('D Fleet'!$F$5:$F$63,MATCH(I$3-$B169,'D Fleet'!$B$5:$B$63,0)),0)*IFERROR(INDEX('D Fleet'!$K$5:$K$36,INT(($B169/I$5))+1)+(($B169/I$5)-INT(($B169/I$5)))*(INDEX('D Fleet'!$K$5:$K$36,INT(($B169/I$5))+2)-INDEX('D Fleet'!$K$5:$K$36,INT(($B169/I$5))+1)),0)</f>
        <v/>
      </c>
      <c r="J169" s="350">
        <f>IFERROR(INDEX('D Fleet'!$F$5:$F$63,MATCH(J$3-$B169,'D Fleet'!$B$5:$B$63,0)),0)*IFERROR(INDEX('D Fleet'!$K$5:$K$36,INT(($B169/J$5))+1)+(($B169/J$5)-INT(($B169/J$5)))*(INDEX('D Fleet'!$K$5:$K$36,INT(($B169/J$5))+2)-INDEX('D Fleet'!$K$5:$K$36,INT(($B169/J$5))+1)),0)</f>
        <v/>
      </c>
      <c r="K169" s="350">
        <f>IFERROR(INDEX('D Fleet'!$F$5:$F$63,MATCH(K$3-$B169,'D Fleet'!$B$5:$B$63,0)),0)*IFERROR(INDEX('D Fleet'!$K$5:$K$36,INT(($B169/K$5))+1)+(($B169/K$5)-INT(($B169/K$5)))*(INDEX('D Fleet'!$K$5:$K$36,INT(($B169/K$5))+2)-INDEX('D Fleet'!$K$5:$K$36,INT(($B169/K$5))+1)),0)</f>
        <v/>
      </c>
      <c r="L169" s="350">
        <f>IFERROR(INDEX('D Fleet'!$F$5:$F$63,MATCH(L$3-$B169,'D Fleet'!$B$5:$B$63,0)),0)*IFERROR(INDEX('D Fleet'!$K$5:$K$36,INT(($B169/L$5))+1)+(($B169/L$5)-INT(($B169/L$5)))*(INDEX('D Fleet'!$K$5:$K$36,INT(($B169/L$5))+2)-INDEX('D Fleet'!$K$5:$K$36,INT(($B169/L$5))+1)),0)</f>
        <v/>
      </c>
      <c r="M169" s="350">
        <f>IFERROR(INDEX('D Fleet'!$F$5:$F$63,MATCH(M$3-$B169,'D Fleet'!$B$5:$B$63,0)),0)*IFERROR(INDEX('D Fleet'!$K$5:$K$36,INT(($B169/M$5))+1)+(($B169/M$5)-INT(($B169/M$5)))*(INDEX('D Fleet'!$K$5:$K$36,INT(($B169/M$5))+2)-INDEX('D Fleet'!$K$5:$K$36,INT(($B169/M$5))+1)),0)</f>
        <v/>
      </c>
      <c r="N169" s="350">
        <f>IFERROR(INDEX('D Fleet'!$F$5:$F$63,MATCH(N$3-$B169,'D Fleet'!$B$5:$B$63,0)),0)*IFERROR(INDEX('D Fleet'!$K$5:$K$36,INT(($B169/N$5))+1)+(($B169/N$5)-INT(($B169/N$5)))*(INDEX('D Fleet'!$K$5:$K$36,INT(($B169/N$5))+2)-INDEX('D Fleet'!$K$5:$K$36,INT(($B169/N$5))+1)),0)</f>
        <v/>
      </c>
      <c r="P169" s="350">
        <f>E169*$D169*'E1 Fleet'!$D$100</f>
        <v/>
      </c>
      <c r="Q169" s="350">
        <f>F169*$D169*'E1 Fleet'!$D$100</f>
        <v/>
      </c>
      <c r="R169" s="350">
        <f>G169*$D169*'E1 Fleet'!$D$100</f>
        <v/>
      </c>
      <c r="S169" s="350">
        <f>H169*$D169*'E1 Fleet'!$D$100</f>
        <v/>
      </c>
      <c r="T169" s="350">
        <f>I169*$D169*'E1 Fleet'!$D$100</f>
        <v/>
      </c>
      <c r="U169" s="350">
        <f>J169*$D169*'E1 Fleet'!$D$100</f>
        <v/>
      </c>
      <c r="V169" s="350">
        <f>K169*$D169*'E1 Fleet'!$D$100</f>
        <v/>
      </c>
      <c r="W169" s="350">
        <f>L169*$D169*'E1 Fleet'!$D$100</f>
        <v/>
      </c>
      <c r="X169" s="350">
        <f>M169*$D169*'E1 Fleet'!$D$100</f>
        <v/>
      </c>
      <c r="Y169" s="350">
        <f>N169*$D169*'E1 Fleet'!$D$100</f>
        <v/>
      </c>
    </row>
    <row r="170">
      <c r="A170" t="inlineStr">
        <is>
          <t>Van</t>
        </is>
      </c>
      <c r="B170" s="456" t="n">
        <v>25</v>
      </c>
      <c r="C170" s="456" t="n">
        <v>3</v>
      </c>
      <c r="D170" s="348">
        <f>IF($B170=0,'E1 Fleet'!$D$93,1)*EXP(-'E1 Fleet'!$D$94*MAX($B170-6,0))</f>
        <v/>
      </c>
      <c r="E170" s="350">
        <f>IFERROR(INDEX('D Fleet'!$F$5:$F$63,MATCH(E$3-$B170,'D Fleet'!$B$5:$B$63,0)),0)*IFERROR(INDEX('D Fleet'!$K$5:$K$36,INT(($B170/E$5))+1)+(($B170/E$5)-INT(($B170/E$5)))*(INDEX('D Fleet'!$K$5:$K$36,INT(($B170/E$5))+2)-INDEX('D Fleet'!$K$5:$K$36,INT(($B170/E$5))+1)),0)</f>
        <v/>
      </c>
      <c r="F170" s="350">
        <f>IFERROR(INDEX('D Fleet'!$F$5:$F$63,MATCH(F$3-$B170,'D Fleet'!$B$5:$B$63,0)),0)*IFERROR(INDEX('D Fleet'!$K$5:$K$36,INT(($B170/F$5))+1)+(($B170/F$5)-INT(($B170/F$5)))*(INDEX('D Fleet'!$K$5:$K$36,INT(($B170/F$5))+2)-INDEX('D Fleet'!$K$5:$K$36,INT(($B170/F$5))+1)),0)</f>
        <v/>
      </c>
      <c r="G170" s="350">
        <f>IFERROR(INDEX('D Fleet'!$F$5:$F$63,MATCH(G$3-$B170,'D Fleet'!$B$5:$B$63,0)),0)*IFERROR(INDEX('D Fleet'!$K$5:$K$36,INT(($B170/G$5))+1)+(($B170/G$5)-INT(($B170/G$5)))*(INDEX('D Fleet'!$K$5:$K$36,INT(($B170/G$5))+2)-INDEX('D Fleet'!$K$5:$K$36,INT(($B170/G$5))+1)),0)</f>
        <v/>
      </c>
      <c r="H170" s="350">
        <f>IFERROR(INDEX('D Fleet'!$F$5:$F$63,MATCH(H$3-$B170,'D Fleet'!$B$5:$B$63,0)),0)*IFERROR(INDEX('D Fleet'!$K$5:$K$36,INT(($B170/H$5))+1)+(($B170/H$5)-INT(($B170/H$5)))*(INDEX('D Fleet'!$K$5:$K$36,INT(($B170/H$5))+2)-INDEX('D Fleet'!$K$5:$K$36,INT(($B170/H$5))+1)),0)</f>
        <v/>
      </c>
      <c r="I170" s="350">
        <f>IFERROR(INDEX('D Fleet'!$F$5:$F$63,MATCH(I$3-$B170,'D Fleet'!$B$5:$B$63,0)),0)*IFERROR(INDEX('D Fleet'!$K$5:$K$36,INT(($B170/I$5))+1)+(($B170/I$5)-INT(($B170/I$5)))*(INDEX('D Fleet'!$K$5:$K$36,INT(($B170/I$5))+2)-INDEX('D Fleet'!$K$5:$K$36,INT(($B170/I$5))+1)),0)</f>
        <v/>
      </c>
      <c r="J170" s="350">
        <f>IFERROR(INDEX('D Fleet'!$F$5:$F$63,MATCH(J$3-$B170,'D Fleet'!$B$5:$B$63,0)),0)*IFERROR(INDEX('D Fleet'!$K$5:$K$36,INT(($B170/J$5))+1)+(($B170/J$5)-INT(($B170/J$5)))*(INDEX('D Fleet'!$K$5:$K$36,INT(($B170/J$5))+2)-INDEX('D Fleet'!$K$5:$K$36,INT(($B170/J$5))+1)),0)</f>
        <v/>
      </c>
      <c r="K170" s="350">
        <f>IFERROR(INDEX('D Fleet'!$F$5:$F$63,MATCH(K$3-$B170,'D Fleet'!$B$5:$B$63,0)),0)*IFERROR(INDEX('D Fleet'!$K$5:$K$36,INT(($B170/K$5))+1)+(($B170/K$5)-INT(($B170/K$5)))*(INDEX('D Fleet'!$K$5:$K$36,INT(($B170/K$5))+2)-INDEX('D Fleet'!$K$5:$K$36,INT(($B170/K$5))+1)),0)</f>
        <v/>
      </c>
      <c r="L170" s="350">
        <f>IFERROR(INDEX('D Fleet'!$F$5:$F$63,MATCH(L$3-$B170,'D Fleet'!$B$5:$B$63,0)),0)*IFERROR(INDEX('D Fleet'!$K$5:$K$36,INT(($B170/L$5))+1)+(($B170/L$5)-INT(($B170/L$5)))*(INDEX('D Fleet'!$K$5:$K$36,INT(($B170/L$5))+2)-INDEX('D Fleet'!$K$5:$K$36,INT(($B170/L$5))+1)),0)</f>
        <v/>
      </c>
      <c r="M170" s="350">
        <f>IFERROR(INDEX('D Fleet'!$F$5:$F$63,MATCH(M$3-$B170,'D Fleet'!$B$5:$B$63,0)),0)*IFERROR(INDEX('D Fleet'!$K$5:$K$36,INT(($B170/M$5))+1)+(($B170/M$5)-INT(($B170/M$5)))*(INDEX('D Fleet'!$K$5:$K$36,INT(($B170/M$5))+2)-INDEX('D Fleet'!$K$5:$K$36,INT(($B170/M$5))+1)),0)</f>
        <v/>
      </c>
      <c r="N170" s="350">
        <f>IFERROR(INDEX('D Fleet'!$F$5:$F$63,MATCH(N$3-$B170,'D Fleet'!$B$5:$B$63,0)),0)*IFERROR(INDEX('D Fleet'!$K$5:$K$36,INT(($B170/N$5))+1)+(($B170/N$5)-INT(($B170/N$5)))*(INDEX('D Fleet'!$K$5:$K$36,INT(($B170/N$5))+2)-INDEX('D Fleet'!$K$5:$K$36,INT(($B170/N$5))+1)),0)</f>
        <v/>
      </c>
      <c r="P170" s="350">
        <f>E170*$D170*'E1 Fleet'!$D$100</f>
        <v/>
      </c>
      <c r="Q170" s="350">
        <f>F170*$D170*'E1 Fleet'!$D$100</f>
        <v/>
      </c>
      <c r="R170" s="350">
        <f>G170*$D170*'E1 Fleet'!$D$100</f>
        <v/>
      </c>
      <c r="S170" s="350">
        <f>H170*$D170*'E1 Fleet'!$D$100</f>
        <v/>
      </c>
      <c r="T170" s="350">
        <f>I170*$D170*'E1 Fleet'!$D$100</f>
        <v/>
      </c>
      <c r="U170" s="350">
        <f>J170*$D170*'E1 Fleet'!$D$100</f>
        <v/>
      </c>
      <c r="V170" s="350">
        <f>K170*$D170*'E1 Fleet'!$D$100</f>
        <v/>
      </c>
      <c r="W170" s="350">
        <f>L170*$D170*'E1 Fleet'!$D$100</f>
        <v/>
      </c>
      <c r="X170" s="350">
        <f>M170*$D170*'E1 Fleet'!$D$100</f>
        <v/>
      </c>
      <c r="Y170" s="350">
        <f>N170*$D170*'E1 Fleet'!$D$100</f>
        <v/>
      </c>
    </row>
    <row r="171">
      <c r="A171" t="inlineStr">
        <is>
          <t>Van</t>
        </is>
      </c>
      <c r="B171" s="456" t="n">
        <v>26</v>
      </c>
      <c r="C171" s="456" t="n">
        <v>3</v>
      </c>
      <c r="D171" s="348">
        <f>IF($B171=0,'E1 Fleet'!$D$93,1)*EXP(-'E1 Fleet'!$D$94*MAX($B171-6,0))</f>
        <v/>
      </c>
      <c r="E171" s="350">
        <f>IFERROR(INDEX('D Fleet'!$F$5:$F$63,MATCH(E$3-$B171,'D Fleet'!$B$5:$B$63,0)),0)*IFERROR(INDEX('D Fleet'!$K$5:$K$36,INT(($B171/E$5))+1)+(($B171/E$5)-INT(($B171/E$5)))*(INDEX('D Fleet'!$K$5:$K$36,INT(($B171/E$5))+2)-INDEX('D Fleet'!$K$5:$K$36,INT(($B171/E$5))+1)),0)</f>
        <v/>
      </c>
      <c r="F171" s="350">
        <f>IFERROR(INDEX('D Fleet'!$F$5:$F$63,MATCH(F$3-$B171,'D Fleet'!$B$5:$B$63,0)),0)*IFERROR(INDEX('D Fleet'!$K$5:$K$36,INT(($B171/F$5))+1)+(($B171/F$5)-INT(($B171/F$5)))*(INDEX('D Fleet'!$K$5:$K$36,INT(($B171/F$5))+2)-INDEX('D Fleet'!$K$5:$K$36,INT(($B171/F$5))+1)),0)</f>
        <v/>
      </c>
      <c r="G171" s="350">
        <f>IFERROR(INDEX('D Fleet'!$F$5:$F$63,MATCH(G$3-$B171,'D Fleet'!$B$5:$B$63,0)),0)*IFERROR(INDEX('D Fleet'!$K$5:$K$36,INT(($B171/G$5))+1)+(($B171/G$5)-INT(($B171/G$5)))*(INDEX('D Fleet'!$K$5:$K$36,INT(($B171/G$5))+2)-INDEX('D Fleet'!$K$5:$K$36,INT(($B171/G$5))+1)),0)</f>
        <v/>
      </c>
      <c r="H171" s="350">
        <f>IFERROR(INDEX('D Fleet'!$F$5:$F$63,MATCH(H$3-$B171,'D Fleet'!$B$5:$B$63,0)),0)*IFERROR(INDEX('D Fleet'!$K$5:$K$36,INT(($B171/H$5))+1)+(($B171/H$5)-INT(($B171/H$5)))*(INDEX('D Fleet'!$K$5:$K$36,INT(($B171/H$5))+2)-INDEX('D Fleet'!$K$5:$K$36,INT(($B171/H$5))+1)),0)</f>
        <v/>
      </c>
      <c r="I171" s="350">
        <f>IFERROR(INDEX('D Fleet'!$F$5:$F$63,MATCH(I$3-$B171,'D Fleet'!$B$5:$B$63,0)),0)*IFERROR(INDEX('D Fleet'!$K$5:$K$36,INT(($B171/I$5))+1)+(($B171/I$5)-INT(($B171/I$5)))*(INDEX('D Fleet'!$K$5:$K$36,INT(($B171/I$5))+2)-INDEX('D Fleet'!$K$5:$K$36,INT(($B171/I$5))+1)),0)</f>
        <v/>
      </c>
      <c r="J171" s="350">
        <f>IFERROR(INDEX('D Fleet'!$F$5:$F$63,MATCH(J$3-$B171,'D Fleet'!$B$5:$B$63,0)),0)*IFERROR(INDEX('D Fleet'!$K$5:$K$36,INT(($B171/J$5))+1)+(($B171/J$5)-INT(($B171/J$5)))*(INDEX('D Fleet'!$K$5:$K$36,INT(($B171/J$5))+2)-INDEX('D Fleet'!$K$5:$K$36,INT(($B171/J$5))+1)),0)</f>
        <v/>
      </c>
      <c r="K171" s="350">
        <f>IFERROR(INDEX('D Fleet'!$F$5:$F$63,MATCH(K$3-$B171,'D Fleet'!$B$5:$B$63,0)),0)*IFERROR(INDEX('D Fleet'!$K$5:$K$36,INT(($B171/K$5))+1)+(($B171/K$5)-INT(($B171/K$5)))*(INDEX('D Fleet'!$K$5:$K$36,INT(($B171/K$5))+2)-INDEX('D Fleet'!$K$5:$K$36,INT(($B171/K$5))+1)),0)</f>
        <v/>
      </c>
      <c r="L171" s="350">
        <f>IFERROR(INDEX('D Fleet'!$F$5:$F$63,MATCH(L$3-$B171,'D Fleet'!$B$5:$B$63,0)),0)*IFERROR(INDEX('D Fleet'!$K$5:$K$36,INT(($B171/L$5))+1)+(($B171/L$5)-INT(($B171/L$5)))*(INDEX('D Fleet'!$K$5:$K$36,INT(($B171/L$5))+2)-INDEX('D Fleet'!$K$5:$K$36,INT(($B171/L$5))+1)),0)</f>
        <v/>
      </c>
      <c r="M171" s="350">
        <f>IFERROR(INDEX('D Fleet'!$F$5:$F$63,MATCH(M$3-$B171,'D Fleet'!$B$5:$B$63,0)),0)*IFERROR(INDEX('D Fleet'!$K$5:$K$36,INT(($B171/M$5))+1)+(($B171/M$5)-INT(($B171/M$5)))*(INDEX('D Fleet'!$K$5:$K$36,INT(($B171/M$5))+2)-INDEX('D Fleet'!$K$5:$K$36,INT(($B171/M$5))+1)),0)</f>
        <v/>
      </c>
      <c r="N171" s="350">
        <f>IFERROR(INDEX('D Fleet'!$F$5:$F$63,MATCH(N$3-$B171,'D Fleet'!$B$5:$B$63,0)),0)*IFERROR(INDEX('D Fleet'!$K$5:$K$36,INT(($B171/N$5))+1)+(($B171/N$5)-INT(($B171/N$5)))*(INDEX('D Fleet'!$K$5:$K$36,INT(($B171/N$5))+2)-INDEX('D Fleet'!$K$5:$K$36,INT(($B171/N$5))+1)),0)</f>
        <v/>
      </c>
      <c r="P171" s="350">
        <f>E171*$D171*'E1 Fleet'!$D$100</f>
        <v/>
      </c>
      <c r="Q171" s="350">
        <f>F171*$D171*'E1 Fleet'!$D$100</f>
        <v/>
      </c>
      <c r="R171" s="350">
        <f>G171*$D171*'E1 Fleet'!$D$100</f>
        <v/>
      </c>
      <c r="S171" s="350">
        <f>H171*$D171*'E1 Fleet'!$D$100</f>
        <v/>
      </c>
      <c r="T171" s="350">
        <f>I171*$D171*'E1 Fleet'!$D$100</f>
        <v/>
      </c>
      <c r="U171" s="350">
        <f>J171*$D171*'E1 Fleet'!$D$100</f>
        <v/>
      </c>
      <c r="V171" s="350">
        <f>K171*$D171*'E1 Fleet'!$D$100</f>
        <v/>
      </c>
      <c r="W171" s="350">
        <f>L171*$D171*'E1 Fleet'!$D$100</f>
        <v/>
      </c>
      <c r="X171" s="350">
        <f>M171*$D171*'E1 Fleet'!$D$100</f>
        <v/>
      </c>
      <c r="Y171" s="350">
        <f>N171*$D171*'E1 Fleet'!$D$100</f>
        <v/>
      </c>
    </row>
    <row r="172">
      <c r="A172" t="inlineStr">
        <is>
          <t>Van</t>
        </is>
      </c>
      <c r="B172" s="456" t="n">
        <v>27</v>
      </c>
      <c r="C172" s="456" t="n">
        <v>3</v>
      </c>
      <c r="D172" s="348">
        <f>IF($B172=0,'E1 Fleet'!$D$93,1)*EXP(-'E1 Fleet'!$D$94*MAX($B172-6,0))</f>
        <v/>
      </c>
      <c r="E172" s="350">
        <f>IFERROR(INDEX('D Fleet'!$F$5:$F$63,MATCH(E$3-$B172,'D Fleet'!$B$5:$B$63,0)),0)*IFERROR(INDEX('D Fleet'!$K$5:$K$36,INT(($B172/E$5))+1)+(($B172/E$5)-INT(($B172/E$5)))*(INDEX('D Fleet'!$K$5:$K$36,INT(($B172/E$5))+2)-INDEX('D Fleet'!$K$5:$K$36,INT(($B172/E$5))+1)),0)</f>
        <v/>
      </c>
      <c r="F172" s="350">
        <f>IFERROR(INDEX('D Fleet'!$F$5:$F$63,MATCH(F$3-$B172,'D Fleet'!$B$5:$B$63,0)),0)*IFERROR(INDEX('D Fleet'!$K$5:$K$36,INT(($B172/F$5))+1)+(($B172/F$5)-INT(($B172/F$5)))*(INDEX('D Fleet'!$K$5:$K$36,INT(($B172/F$5))+2)-INDEX('D Fleet'!$K$5:$K$36,INT(($B172/F$5))+1)),0)</f>
        <v/>
      </c>
      <c r="G172" s="350">
        <f>IFERROR(INDEX('D Fleet'!$F$5:$F$63,MATCH(G$3-$B172,'D Fleet'!$B$5:$B$63,0)),0)*IFERROR(INDEX('D Fleet'!$K$5:$K$36,INT(($B172/G$5))+1)+(($B172/G$5)-INT(($B172/G$5)))*(INDEX('D Fleet'!$K$5:$K$36,INT(($B172/G$5))+2)-INDEX('D Fleet'!$K$5:$K$36,INT(($B172/G$5))+1)),0)</f>
        <v/>
      </c>
      <c r="H172" s="350">
        <f>IFERROR(INDEX('D Fleet'!$F$5:$F$63,MATCH(H$3-$B172,'D Fleet'!$B$5:$B$63,0)),0)*IFERROR(INDEX('D Fleet'!$K$5:$K$36,INT(($B172/H$5))+1)+(($B172/H$5)-INT(($B172/H$5)))*(INDEX('D Fleet'!$K$5:$K$36,INT(($B172/H$5))+2)-INDEX('D Fleet'!$K$5:$K$36,INT(($B172/H$5))+1)),0)</f>
        <v/>
      </c>
      <c r="I172" s="350">
        <f>IFERROR(INDEX('D Fleet'!$F$5:$F$63,MATCH(I$3-$B172,'D Fleet'!$B$5:$B$63,0)),0)*IFERROR(INDEX('D Fleet'!$K$5:$K$36,INT(($B172/I$5))+1)+(($B172/I$5)-INT(($B172/I$5)))*(INDEX('D Fleet'!$K$5:$K$36,INT(($B172/I$5))+2)-INDEX('D Fleet'!$K$5:$K$36,INT(($B172/I$5))+1)),0)</f>
        <v/>
      </c>
      <c r="J172" s="350">
        <f>IFERROR(INDEX('D Fleet'!$F$5:$F$63,MATCH(J$3-$B172,'D Fleet'!$B$5:$B$63,0)),0)*IFERROR(INDEX('D Fleet'!$K$5:$K$36,INT(($B172/J$5))+1)+(($B172/J$5)-INT(($B172/J$5)))*(INDEX('D Fleet'!$K$5:$K$36,INT(($B172/J$5))+2)-INDEX('D Fleet'!$K$5:$K$36,INT(($B172/J$5))+1)),0)</f>
        <v/>
      </c>
      <c r="K172" s="350">
        <f>IFERROR(INDEX('D Fleet'!$F$5:$F$63,MATCH(K$3-$B172,'D Fleet'!$B$5:$B$63,0)),0)*IFERROR(INDEX('D Fleet'!$K$5:$K$36,INT(($B172/K$5))+1)+(($B172/K$5)-INT(($B172/K$5)))*(INDEX('D Fleet'!$K$5:$K$36,INT(($B172/K$5))+2)-INDEX('D Fleet'!$K$5:$K$36,INT(($B172/K$5))+1)),0)</f>
        <v/>
      </c>
      <c r="L172" s="350">
        <f>IFERROR(INDEX('D Fleet'!$F$5:$F$63,MATCH(L$3-$B172,'D Fleet'!$B$5:$B$63,0)),0)*IFERROR(INDEX('D Fleet'!$K$5:$K$36,INT(($B172/L$5))+1)+(($B172/L$5)-INT(($B172/L$5)))*(INDEX('D Fleet'!$K$5:$K$36,INT(($B172/L$5))+2)-INDEX('D Fleet'!$K$5:$K$36,INT(($B172/L$5))+1)),0)</f>
        <v/>
      </c>
      <c r="M172" s="350">
        <f>IFERROR(INDEX('D Fleet'!$F$5:$F$63,MATCH(M$3-$B172,'D Fleet'!$B$5:$B$63,0)),0)*IFERROR(INDEX('D Fleet'!$K$5:$K$36,INT(($B172/M$5))+1)+(($B172/M$5)-INT(($B172/M$5)))*(INDEX('D Fleet'!$K$5:$K$36,INT(($B172/M$5))+2)-INDEX('D Fleet'!$K$5:$K$36,INT(($B172/M$5))+1)),0)</f>
        <v/>
      </c>
      <c r="N172" s="350">
        <f>IFERROR(INDEX('D Fleet'!$F$5:$F$63,MATCH(N$3-$B172,'D Fleet'!$B$5:$B$63,0)),0)*IFERROR(INDEX('D Fleet'!$K$5:$K$36,INT(($B172/N$5))+1)+(($B172/N$5)-INT(($B172/N$5)))*(INDEX('D Fleet'!$K$5:$K$36,INT(($B172/N$5))+2)-INDEX('D Fleet'!$K$5:$K$36,INT(($B172/N$5))+1)),0)</f>
        <v/>
      </c>
      <c r="P172" s="350">
        <f>E172*$D172*'E1 Fleet'!$D$100</f>
        <v/>
      </c>
      <c r="Q172" s="350">
        <f>F172*$D172*'E1 Fleet'!$D$100</f>
        <v/>
      </c>
      <c r="R172" s="350">
        <f>G172*$D172*'E1 Fleet'!$D$100</f>
        <v/>
      </c>
      <c r="S172" s="350">
        <f>H172*$D172*'E1 Fleet'!$D$100</f>
        <v/>
      </c>
      <c r="T172" s="350">
        <f>I172*$D172*'E1 Fleet'!$D$100</f>
        <v/>
      </c>
      <c r="U172" s="350">
        <f>J172*$D172*'E1 Fleet'!$D$100</f>
        <v/>
      </c>
      <c r="V172" s="350">
        <f>K172*$D172*'E1 Fleet'!$D$100</f>
        <v/>
      </c>
      <c r="W172" s="350">
        <f>L172*$D172*'E1 Fleet'!$D$100</f>
        <v/>
      </c>
      <c r="X172" s="350">
        <f>M172*$D172*'E1 Fleet'!$D$100</f>
        <v/>
      </c>
      <c r="Y172" s="350">
        <f>N172*$D172*'E1 Fleet'!$D$100</f>
        <v/>
      </c>
    </row>
    <row r="173">
      <c r="A173" t="inlineStr">
        <is>
          <t>Van</t>
        </is>
      </c>
      <c r="B173" s="456" t="n">
        <v>28</v>
      </c>
      <c r="C173" s="456" t="n">
        <v>3</v>
      </c>
      <c r="D173" s="348">
        <f>IF($B173=0,'E1 Fleet'!$D$93,1)*EXP(-'E1 Fleet'!$D$94*MAX($B173-6,0))</f>
        <v/>
      </c>
      <c r="E173" s="350">
        <f>IFERROR(INDEX('D Fleet'!$F$5:$F$63,MATCH(E$3-$B173,'D Fleet'!$B$5:$B$63,0)),0)*IFERROR(INDEX('D Fleet'!$K$5:$K$36,INT(($B173/E$5))+1)+(($B173/E$5)-INT(($B173/E$5)))*(INDEX('D Fleet'!$K$5:$K$36,INT(($B173/E$5))+2)-INDEX('D Fleet'!$K$5:$K$36,INT(($B173/E$5))+1)),0)</f>
        <v/>
      </c>
      <c r="F173" s="350">
        <f>IFERROR(INDEX('D Fleet'!$F$5:$F$63,MATCH(F$3-$B173,'D Fleet'!$B$5:$B$63,0)),0)*IFERROR(INDEX('D Fleet'!$K$5:$K$36,INT(($B173/F$5))+1)+(($B173/F$5)-INT(($B173/F$5)))*(INDEX('D Fleet'!$K$5:$K$36,INT(($B173/F$5))+2)-INDEX('D Fleet'!$K$5:$K$36,INT(($B173/F$5))+1)),0)</f>
        <v/>
      </c>
      <c r="G173" s="350">
        <f>IFERROR(INDEX('D Fleet'!$F$5:$F$63,MATCH(G$3-$B173,'D Fleet'!$B$5:$B$63,0)),0)*IFERROR(INDEX('D Fleet'!$K$5:$K$36,INT(($B173/G$5))+1)+(($B173/G$5)-INT(($B173/G$5)))*(INDEX('D Fleet'!$K$5:$K$36,INT(($B173/G$5))+2)-INDEX('D Fleet'!$K$5:$K$36,INT(($B173/G$5))+1)),0)</f>
        <v/>
      </c>
      <c r="H173" s="350">
        <f>IFERROR(INDEX('D Fleet'!$F$5:$F$63,MATCH(H$3-$B173,'D Fleet'!$B$5:$B$63,0)),0)*IFERROR(INDEX('D Fleet'!$K$5:$K$36,INT(($B173/H$5))+1)+(($B173/H$5)-INT(($B173/H$5)))*(INDEX('D Fleet'!$K$5:$K$36,INT(($B173/H$5))+2)-INDEX('D Fleet'!$K$5:$K$36,INT(($B173/H$5))+1)),0)</f>
        <v/>
      </c>
      <c r="I173" s="350">
        <f>IFERROR(INDEX('D Fleet'!$F$5:$F$63,MATCH(I$3-$B173,'D Fleet'!$B$5:$B$63,0)),0)*IFERROR(INDEX('D Fleet'!$K$5:$K$36,INT(($B173/I$5))+1)+(($B173/I$5)-INT(($B173/I$5)))*(INDEX('D Fleet'!$K$5:$K$36,INT(($B173/I$5))+2)-INDEX('D Fleet'!$K$5:$K$36,INT(($B173/I$5))+1)),0)</f>
        <v/>
      </c>
      <c r="J173" s="350">
        <f>IFERROR(INDEX('D Fleet'!$F$5:$F$63,MATCH(J$3-$B173,'D Fleet'!$B$5:$B$63,0)),0)*IFERROR(INDEX('D Fleet'!$K$5:$K$36,INT(($B173/J$5))+1)+(($B173/J$5)-INT(($B173/J$5)))*(INDEX('D Fleet'!$K$5:$K$36,INT(($B173/J$5))+2)-INDEX('D Fleet'!$K$5:$K$36,INT(($B173/J$5))+1)),0)</f>
        <v/>
      </c>
      <c r="K173" s="350">
        <f>IFERROR(INDEX('D Fleet'!$F$5:$F$63,MATCH(K$3-$B173,'D Fleet'!$B$5:$B$63,0)),0)*IFERROR(INDEX('D Fleet'!$K$5:$K$36,INT(($B173/K$5))+1)+(($B173/K$5)-INT(($B173/K$5)))*(INDEX('D Fleet'!$K$5:$K$36,INT(($B173/K$5))+2)-INDEX('D Fleet'!$K$5:$K$36,INT(($B173/K$5))+1)),0)</f>
        <v/>
      </c>
      <c r="L173" s="350">
        <f>IFERROR(INDEX('D Fleet'!$F$5:$F$63,MATCH(L$3-$B173,'D Fleet'!$B$5:$B$63,0)),0)*IFERROR(INDEX('D Fleet'!$K$5:$K$36,INT(($B173/L$5))+1)+(($B173/L$5)-INT(($B173/L$5)))*(INDEX('D Fleet'!$K$5:$K$36,INT(($B173/L$5))+2)-INDEX('D Fleet'!$K$5:$K$36,INT(($B173/L$5))+1)),0)</f>
        <v/>
      </c>
      <c r="M173" s="350">
        <f>IFERROR(INDEX('D Fleet'!$F$5:$F$63,MATCH(M$3-$B173,'D Fleet'!$B$5:$B$63,0)),0)*IFERROR(INDEX('D Fleet'!$K$5:$K$36,INT(($B173/M$5))+1)+(($B173/M$5)-INT(($B173/M$5)))*(INDEX('D Fleet'!$K$5:$K$36,INT(($B173/M$5))+2)-INDEX('D Fleet'!$K$5:$K$36,INT(($B173/M$5))+1)),0)</f>
        <v/>
      </c>
      <c r="N173" s="350">
        <f>IFERROR(INDEX('D Fleet'!$F$5:$F$63,MATCH(N$3-$B173,'D Fleet'!$B$5:$B$63,0)),0)*IFERROR(INDEX('D Fleet'!$K$5:$K$36,INT(($B173/N$5))+1)+(($B173/N$5)-INT(($B173/N$5)))*(INDEX('D Fleet'!$K$5:$K$36,INT(($B173/N$5))+2)-INDEX('D Fleet'!$K$5:$K$36,INT(($B173/N$5))+1)),0)</f>
        <v/>
      </c>
      <c r="P173" s="350">
        <f>E173*$D173*'E1 Fleet'!$D$100</f>
        <v/>
      </c>
      <c r="Q173" s="350">
        <f>F173*$D173*'E1 Fleet'!$D$100</f>
        <v/>
      </c>
      <c r="R173" s="350">
        <f>G173*$D173*'E1 Fleet'!$D$100</f>
        <v/>
      </c>
      <c r="S173" s="350">
        <f>H173*$D173*'E1 Fleet'!$D$100</f>
        <v/>
      </c>
      <c r="T173" s="350">
        <f>I173*$D173*'E1 Fleet'!$D$100</f>
        <v/>
      </c>
      <c r="U173" s="350">
        <f>J173*$D173*'E1 Fleet'!$D$100</f>
        <v/>
      </c>
      <c r="V173" s="350">
        <f>K173*$D173*'E1 Fleet'!$D$100</f>
        <v/>
      </c>
      <c r="W173" s="350">
        <f>L173*$D173*'E1 Fleet'!$D$100</f>
        <v/>
      </c>
      <c r="X173" s="350">
        <f>M173*$D173*'E1 Fleet'!$D$100</f>
        <v/>
      </c>
      <c r="Y173" s="350">
        <f>N173*$D173*'E1 Fleet'!$D$100</f>
        <v/>
      </c>
    </row>
    <row r="174">
      <c r="A174" t="inlineStr">
        <is>
          <t>Van</t>
        </is>
      </c>
      <c r="B174" s="456" t="n">
        <v>29</v>
      </c>
      <c r="C174" s="456" t="n">
        <v>3</v>
      </c>
      <c r="D174" s="348">
        <f>IF($B174=0,'E1 Fleet'!$D$93,1)*EXP(-'E1 Fleet'!$D$94*MAX($B174-6,0))</f>
        <v/>
      </c>
      <c r="E174" s="350">
        <f>IFERROR(INDEX('D Fleet'!$F$5:$F$63,MATCH(E$3-$B174,'D Fleet'!$B$5:$B$63,0)),0)*IFERROR(INDEX('D Fleet'!$K$5:$K$36,INT(($B174/E$5))+1)+(($B174/E$5)-INT(($B174/E$5)))*(INDEX('D Fleet'!$K$5:$K$36,INT(($B174/E$5))+2)-INDEX('D Fleet'!$K$5:$K$36,INT(($B174/E$5))+1)),0)</f>
        <v/>
      </c>
      <c r="F174" s="350">
        <f>IFERROR(INDEX('D Fleet'!$F$5:$F$63,MATCH(F$3-$B174,'D Fleet'!$B$5:$B$63,0)),0)*IFERROR(INDEX('D Fleet'!$K$5:$K$36,INT(($B174/F$5))+1)+(($B174/F$5)-INT(($B174/F$5)))*(INDEX('D Fleet'!$K$5:$K$36,INT(($B174/F$5))+2)-INDEX('D Fleet'!$K$5:$K$36,INT(($B174/F$5))+1)),0)</f>
        <v/>
      </c>
      <c r="G174" s="350">
        <f>IFERROR(INDEX('D Fleet'!$F$5:$F$63,MATCH(G$3-$B174,'D Fleet'!$B$5:$B$63,0)),0)*IFERROR(INDEX('D Fleet'!$K$5:$K$36,INT(($B174/G$5))+1)+(($B174/G$5)-INT(($B174/G$5)))*(INDEX('D Fleet'!$K$5:$K$36,INT(($B174/G$5))+2)-INDEX('D Fleet'!$K$5:$K$36,INT(($B174/G$5))+1)),0)</f>
        <v/>
      </c>
      <c r="H174" s="350">
        <f>IFERROR(INDEX('D Fleet'!$F$5:$F$63,MATCH(H$3-$B174,'D Fleet'!$B$5:$B$63,0)),0)*IFERROR(INDEX('D Fleet'!$K$5:$K$36,INT(($B174/H$5))+1)+(($B174/H$5)-INT(($B174/H$5)))*(INDEX('D Fleet'!$K$5:$K$36,INT(($B174/H$5))+2)-INDEX('D Fleet'!$K$5:$K$36,INT(($B174/H$5))+1)),0)</f>
        <v/>
      </c>
      <c r="I174" s="350">
        <f>IFERROR(INDEX('D Fleet'!$F$5:$F$63,MATCH(I$3-$B174,'D Fleet'!$B$5:$B$63,0)),0)*IFERROR(INDEX('D Fleet'!$K$5:$K$36,INT(($B174/I$5))+1)+(($B174/I$5)-INT(($B174/I$5)))*(INDEX('D Fleet'!$K$5:$K$36,INT(($B174/I$5))+2)-INDEX('D Fleet'!$K$5:$K$36,INT(($B174/I$5))+1)),0)</f>
        <v/>
      </c>
      <c r="J174" s="350">
        <f>IFERROR(INDEX('D Fleet'!$F$5:$F$63,MATCH(J$3-$B174,'D Fleet'!$B$5:$B$63,0)),0)*IFERROR(INDEX('D Fleet'!$K$5:$K$36,INT(($B174/J$5))+1)+(($B174/J$5)-INT(($B174/J$5)))*(INDEX('D Fleet'!$K$5:$K$36,INT(($B174/J$5))+2)-INDEX('D Fleet'!$K$5:$K$36,INT(($B174/J$5))+1)),0)</f>
        <v/>
      </c>
      <c r="K174" s="350">
        <f>IFERROR(INDEX('D Fleet'!$F$5:$F$63,MATCH(K$3-$B174,'D Fleet'!$B$5:$B$63,0)),0)*IFERROR(INDEX('D Fleet'!$K$5:$K$36,INT(($B174/K$5))+1)+(($B174/K$5)-INT(($B174/K$5)))*(INDEX('D Fleet'!$K$5:$K$36,INT(($B174/K$5))+2)-INDEX('D Fleet'!$K$5:$K$36,INT(($B174/K$5))+1)),0)</f>
        <v/>
      </c>
      <c r="L174" s="350">
        <f>IFERROR(INDEX('D Fleet'!$F$5:$F$63,MATCH(L$3-$B174,'D Fleet'!$B$5:$B$63,0)),0)*IFERROR(INDEX('D Fleet'!$K$5:$K$36,INT(($B174/L$5))+1)+(($B174/L$5)-INT(($B174/L$5)))*(INDEX('D Fleet'!$K$5:$K$36,INT(($B174/L$5))+2)-INDEX('D Fleet'!$K$5:$K$36,INT(($B174/L$5))+1)),0)</f>
        <v/>
      </c>
      <c r="M174" s="350">
        <f>IFERROR(INDEX('D Fleet'!$F$5:$F$63,MATCH(M$3-$B174,'D Fleet'!$B$5:$B$63,0)),0)*IFERROR(INDEX('D Fleet'!$K$5:$K$36,INT(($B174/M$5))+1)+(($B174/M$5)-INT(($B174/M$5)))*(INDEX('D Fleet'!$K$5:$K$36,INT(($B174/M$5))+2)-INDEX('D Fleet'!$K$5:$K$36,INT(($B174/M$5))+1)),0)</f>
        <v/>
      </c>
      <c r="N174" s="350">
        <f>IFERROR(INDEX('D Fleet'!$F$5:$F$63,MATCH(N$3-$B174,'D Fleet'!$B$5:$B$63,0)),0)*IFERROR(INDEX('D Fleet'!$K$5:$K$36,INT(($B174/N$5))+1)+(($B174/N$5)-INT(($B174/N$5)))*(INDEX('D Fleet'!$K$5:$K$36,INT(($B174/N$5))+2)-INDEX('D Fleet'!$K$5:$K$36,INT(($B174/N$5))+1)),0)</f>
        <v/>
      </c>
      <c r="P174" s="350">
        <f>E174*$D174*'E1 Fleet'!$D$100</f>
        <v/>
      </c>
      <c r="Q174" s="350">
        <f>F174*$D174*'E1 Fleet'!$D$100</f>
        <v/>
      </c>
      <c r="R174" s="350">
        <f>G174*$D174*'E1 Fleet'!$D$100</f>
        <v/>
      </c>
      <c r="S174" s="350">
        <f>H174*$D174*'E1 Fleet'!$D$100</f>
        <v/>
      </c>
      <c r="T174" s="350">
        <f>I174*$D174*'E1 Fleet'!$D$100</f>
        <v/>
      </c>
      <c r="U174" s="350">
        <f>J174*$D174*'E1 Fleet'!$D$100</f>
        <v/>
      </c>
      <c r="V174" s="350">
        <f>K174*$D174*'E1 Fleet'!$D$100</f>
        <v/>
      </c>
      <c r="W174" s="350">
        <f>L174*$D174*'E1 Fleet'!$D$100</f>
        <v/>
      </c>
      <c r="X174" s="350">
        <f>M174*$D174*'E1 Fleet'!$D$100</f>
        <v/>
      </c>
      <c r="Y174" s="350">
        <f>N174*$D174*'E1 Fleet'!$D$100</f>
        <v/>
      </c>
    </row>
    <row r="175">
      <c r="A175" t="inlineStr">
        <is>
          <t>Van</t>
        </is>
      </c>
      <c r="B175" s="456" t="n">
        <v>30</v>
      </c>
      <c r="C175" s="456" t="n">
        <v>3</v>
      </c>
      <c r="D175" s="348">
        <f>IF($B175=0,'E1 Fleet'!$D$93,1)*EXP(-'E1 Fleet'!$D$94*MAX($B175-6,0))</f>
        <v/>
      </c>
      <c r="E175" s="350">
        <f>IFERROR(INDEX('D Fleet'!$F$5:$F$63,MATCH(E$3-$B175,'D Fleet'!$B$5:$B$63,0)),0)*IFERROR(INDEX('D Fleet'!$K$5:$K$36,INT(($B175/E$5))+1)+(($B175/E$5)-INT(($B175/E$5)))*(INDEX('D Fleet'!$K$5:$K$36,INT(($B175/E$5))+2)-INDEX('D Fleet'!$K$5:$K$36,INT(($B175/E$5))+1)),0)</f>
        <v/>
      </c>
      <c r="F175" s="350">
        <f>IFERROR(INDEX('D Fleet'!$F$5:$F$63,MATCH(F$3-$B175,'D Fleet'!$B$5:$B$63,0)),0)*IFERROR(INDEX('D Fleet'!$K$5:$K$36,INT(($B175/F$5))+1)+(($B175/F$5)-INT(($B175/F$5)))*(INDEX('D Fleet'!$K$5:$K$36,INT(($B175/F$5))+2)-INDEX('D Fleet'!$K$5:$K$36,INT(($B175/F$5))+1)),0)</f>
        <v/>
      </c>
      <c r="G175" s="350">
        <f>IFERROR(INDEX('D Fleet'!$F$5:$F$63,MATCH(G$3-$B175,'D Fleet'!$B$5:$B$63,0)),0)*IFERROR(INDEX('D Fleet'!$K$5:$K$36,INT(($B175/G$5))+1)+(($B175/G$5)-INT(($B175/G$5)))*(INDEX('D Fleet'!$K$5:$K$36,INT(($B175/G$5))+2)-INDEX('D Fleet'!$K$5:$K$36,INT(($B175/G$5))+1)),0)</f>
        <v/>
      </c>
      <c r="H175" s="350">
        <f>IFERROR(INDEX('D Fleet'!$F$5:$F$63,MATCH(H$3-$B175,'D Fleet'!$B$5:$B$63,0)),0)*IFERROR(INDEX('D Fleet'!$K$5:$K$36,INT(($B175/H$5))+1)+(($B175/H$5)-INT(($B175/H$5)))*(INDEX('D Fleet'!$K$5:$K$36,INT(($B175/H$5))+2)-INDEX('D Fleet'!$K$5:$K$36,INT(($B175/H$5))+1)),0)</f>
        <v/>
      </c>
      <c r="I175" s="350">
        <f>IFERROR(INDEX('D Fleet'!$F$5:$F$63,MATCH(I$3-$B175,'D Fleet'!$B$5:$B$63,0)),0)*IFERROR(INDEX('D Fleet'!$K$5:$K$36,INT(($B175/I$5))+1)+(($B175/I$5)-INT(($B175/I$5)))*(INDEX('D Fleet'!$K$5:$K$36,INT(($B175/I$5))+2)-INDEX('D Fleet'!$K$5:$K$36,INT(($B175/I$5))+1)),0)</f>
        <v/>
      </c>
      <c r="J175" s="350">
        <f>IFERROR(INDEX('D Fleet'!$F$5:$F$63,MATCH(J$3-$B175,'D Fleet'!$B$5:$B$63,0)),0)*IFERROR(INDEX('D Fleet'!$K$5:$K$36,INT(($B175/J$5))+1)+(($B175/J$5)-INT(($B175/J$5)))*(INDEX('D Fleet'!$K$5:$K$36,INT(($B175/J$5))+2)-INDEX('D Fleet'!$K$5:$K$36,INT(($B175/J$5))+1)),0)</f>
        <v/>
      </c>
      <c r="K175" s="350">
        <f>IFERROR(INDEX('D Fleet'!$F$5:$F$63,MATCH(K$3-$B175,'D Fleet'!$B$5:$B$63,0)),0)*IFERROR(INDEX('D Fleet'!$K$5:$K$36,INT(($B175/K$5))+1)+(($B175/K$5)-INT(($B175/K$5)))*(INDEX('D Fleet'!$K$5:$K$36,INT(($B175/K$5))+2)-INDEX('D Fleet'!$K$5:$K$36,INT(($B175/K$5))+1)),0)</f>
        <v/>
      </c>
      <c r="L175" s="350">
        <f>IFERROR(INDEX('D Fleet'!$F$5:$F$63,MATCH(L$3-$B175,'D Fleet'!$B$5:$B$63,0)),0)*IFERROR(INDEX('D Fleet'!$K$5:$K$36,INT(($B175/L$5))+1)+(($B175/L$5)-INT(($B175/L$5)))*(INDEX('D Fleet'!$K$5:$K$36,INT(($B175/L$5))+2)-INDEX('D Fleet'!$K$5:$K$36,INT(($B175/L$5))+1)),0)</f>
        <v/>
      </c>
      <c r="M175" s="350">
        <f>IFERROR(INDEX('D Fleet'!$F$5:$F$63,MATCH(M$3-$B175,'D Fleet'!$B$5:$B$63,0)),0)*IFERROR(INDEX('D Fleet'!$K$5:$K$36,INT(($B175/M$5))+1)+(($B175/M$5)-INT(($B175/M$5)))*(INDEX('D Fleet'!$K$5:$K$36,INT(($B175/M$5))+2)-INDEX('D Fleet'!$K$5:$K$36,INT(($B175/M$5))+1)),0)</f>
        <v/>
      </c>
      <c r="N175" s="350">
        <f>IFERROR(INDEX('D Fleet'!$F$5:$F$63,MATCH(N$3-$B175,'D Fleet'!$B$5:$B$63,0)),0)*IFERROR(INDEX('D Fleet'!$K$5:$K$36,INT(($B175/N$5))+1)+(($B175/N$5)-INT(($B175/N$5)))*(INDEX('D Fleet'!$K$5:$K$36,INT(($B175/N$5))+2)-INDEX('D Fleet'!$K$5:$K$36,INT(($B175/N$5))+1)),0)</f>
        <v/>
      </c>
      <c r="P175" s="350">
        <f>E175*$D175*'E1 Fleet'!$D$100</f>
        <v/>
      </c>
      <c r="Q175" s="350">
        <f>F175*$D175*'E1 Fleet'!$D$100</f>
        <v/>
      </c>
      <c r="R175" s="350">
        <f>G175*$D175*'E1 Fleet'!$D$100</f>
        <v/>
      </c>
      <c r="S175" s="350">
        <f>H175*$D175*'E1 Fleet'!$D$100</f>
        <v/>
      </c>
      <c r="T175" s="350">
        <f>I175*$D175*'E1 Fleet'!$D$100</f>
        <v/>
      </c>
      <c r="U175" s="350">
        <f>J175*$D175*'E1 Fleet'!$D$100</f>
        <v/>
      </c>
      <c r="V175" s="350">
        <f>K175*$D175*'E1 Fleet'!$D$100</f>
        <v/>
      </c>
      <c r="W175" s="350">
        <f>L175*$D175*'E1 Fleet'!$D$100</f>
        <v/>
      </c>
      <c r="X175" s="350">
        <f>M175*$D175*'E1 Fleet'!$D$100</f>
        <v/>
      </c>
      <c r="Y175" s="350">
        <f>N175*$D175*'E1 Fleet'!$D$100</f>
        <v/>
      </c>
    </row>
    <row r="176">
      <c r="A176" t="inlineStr">
        <is>
          <t>Van</t>
        </is>
      </c>
      <c r="B176" s="456" t="n">
        <v>31</v>
      </c>
      <c r="C176" s="456" t="n">
        <v>3</v>
      </c>
      <c r="D176" s="348">
        <f>IF($B176=0,'E1 Fleet'!$D$93,1)*EXP(-'E1 Fleet'!$D$94*MAX($B176-6,0))</f>
        <v/>
      </c>
      <c r="E176" s="350">
        <f>IFERROR(INDEX('D Fleet'!$F$5:$F$63,MATCH(E$3-$B176,'D Fleet'!$B$5:$B$63,0)),0)*IFERROR(INDEX('D Fleet'!$K$5:$K$36,INT(($B176/E$5))+1)+(($B176/E$5)-INT(($B176/E$5)))*(INDEX('D Fleet'!$K$5:$K$36,INT(($B176/E$5))+2)-INDEX('D Fleet'!$K$5:$K$36,INT(($B176/E$5))+1)),0)</f>
        <v/>
      </c>
      <c r="F176" s="350">
        <f>IFERROR(INDEX('D Fleet'!$F$5:$F$63,MATCH(F$3-$B176,'D Fleet'!$B$5:$B$63,0)),0)*IFERROR(INDEX('D Fleet'!$K$5:$K$36,INT(($B176/F$5))+1)+(($B176/F$5)-INT(($B176/F$5)))*(INDEX('D Fleet'!$K$5:$K$36,INT(($B176/F$5))+2)-INDEX('D Fleet'!$K$5:$K$36,INT(($B176/F$5))+1)),0)</f>
        <v/>
      </c>
      <c r="G176" s="350">
        <f>IFERROR(INDEX('D Fleet'!$F$5:$F$63,MATCH(G$3-$B176,'D Fleet'!$B$5:$B$63,0)),0)*IFERROR(INDEX('D Fleet'!$K$5:$K$36,INT(($B176/G$5))+1)+(($B176/G$5)-INT(($B176/G$5)))*(INDEX('D Fleet'!$K$5:$K$36,INT(($B176/G$5))+2)-INDEX('D Fleet'!$K$5:$K$36,INT(($B176/G$5))+1)),0)</f>
        <v/>
      </c>
      <c r="H176" s="350">
        <f>IFERROR(INDEX('D Fleet'!$F$5:$F$63,MATCH(H$3-$B176,'D Fleet'!$B$5:$B$63,0)),0)*IFERROR(INDEX('D Fleet'!$K$5:$K$36,INT(($B176/H$5))+1)+(($B176/H$5)-INT(($B176/H$5)))*(INDEX('D Fleet'!$K$5:$K$36,INT(($B176/H$5))+2)-INDEX('D Fleet'!$K$5:$K$36,INT(($B176/H$5))+1)),0)</f>
        <v/>
      </c>
      <c r="I176" s="350">
        <f>IFERROR(INDEX('D Fleet'!$F$5:$F$63,MATCH(I$3-$B176,'D Fleet'!$B$5:$B$63,0)),0)*IFERROR(INDEX('D Fleet'!$K$5:$K$36,INT(($B176/I$5))+1)+(($B176/I$5)-INT(($B176/I$5)))*(INDEX('D Fleet'!$K$5:$K$36,INT(($B176/I$5))+2)-INDEX('D Fleet'!$K$5:$K$36,INT(($B176/I$5))+1)),0)</f>
        <v/>
      </c>
      <c r="J176" s="350">
        <f>IFERROR(INDEX('D Fleet'!$F$5:$F$63,MATCH(J$3-$B176,'D Fleet'!$B$5:$B$63,0)),0)*IFERROR(INDEX('D Fleet'!$K$5:$K$36,INT(($B176/J$5))+1)+(($B176/J$5)-INT(($B176/J$5)))*(INDEX('D Fleet'!$K$5:$K$36,INT(($B176/J$5))+2)-INDEX('D Fleet'!$K$5:$K$36,INT(($B176/J$5))+1)),0)</f>
        <v/>
      </c>
      <c r="K176" s="350">
        <f>IFERROR(INDEX('D Fleet'!$F$5:$F$63,MATCH(K$3-$B176,'D Fleet'!$B$5:$B$63,0)),0)*IFERROR(INDEX('D Fleet'!$K$5:$K$36,INT(($B176/K$5))+1)+(($B176/K$5)-INT(($B176/K$5)))*(INDEX('D Fleet'!$K$5:$K$36,INT(($B176/K$5))+2)-INDEX('D Fleet'!$K$5:$K$36,INT(($B176/K$5))+1)),0)</f>
        <v/>
      </c>
      <c r="L176" s="350">
        <f>IFERROR(INDEX('D Fleet'!$F$5:$F$63,MATCH(L$3-$B176,'D Fleet'!$B$5:$B$63,0)),0)*IFERROR(INDEX('D Fleet'!$K$5:$K$36,INT(($B176/L$5))+1)+(($B176/L$5)-INT(($B176/L$5)))*(INDEX('D Fleet'!$K$5:$K$36,INT(($B176/L$5))+2)-INDEX('D Fleet'!$K$5:$K$36,INT(($B176/L$5))+1)),0)</f>
        <v/>
      </c>
      <c r="M176" s="350">
        <f>IFERROR(INDEX('D Fleet'!$F$5:$F$63,MATCH(M$3-$B176,'D Fleet'!$B$5:$B$63,0)),0)*IFERROR(INDEX('D Fleet'!$K$5:$K$36,INT(($B176/M$5))+1)+(($B176/M$5)-INT(($B176/M$5)))*(INDEX('D Fleet'!$K$5:$K$36,INT(($B176/M$5))+2)-INDEX('D Fleet'!$K$5:$K$36,INT(($B176/M$5))+1)),0)</f>
        <v/>
      </c>
      <c r="N176" s="350">
        <f>IFERROR(INDEX('D Fleet'!$F$5:$F$63,MATCH(N$3-$B176,'D Fleet'!$B$5:$B$63,0)),0)*IFERROR(INDEX('D Fleet'!$K$5:$K$36,INT(($B176/N$5))+1)+(($B176/N$5)-INT(($B176/N$5)))*(INDEX('D Fleet'!$K$5:$K$36,INT(($B176/N$5))+2)-INDEX('D Fleet'!$K$5:$K$36,INT(($B176/N$5))+1)),0)</f>
        <v/>
      </c>
      <c r="P176" s="350">
        <f>E176*$D176*'E1 Fleet'!$D$100</f>
        <v/>
      </c>
      <c r="Q176" s="350">
        <f>F176*$D176*'E1 Fleet'!$D$100</f>
        <v/>
      </c>
      <c r="R176" s="350">
        <f>G176*$D176*'E1 Fleet'!$D$100</f>
        <v/>
      </c>
      <c r="S176" s="350">
        <f>H176*$D176*'E1 Fleet'!$D$100</f>
        <v/>
      </c>
      <c r="T176" s="350">
        <f>I176*$D176*'E1 Fleet'!$D$100</f>
        <v/>
      </c>
      <c r="U176" s="350">
        <f>J176*$D176*'E1 Fleet'!$D$100</f>
        <v/>
      </c>
      <c r="V176" s="350">
        <f>K176*$D176*'E1 Fleet'!$D$100</f>
        <v/>
      </c>
      <c r="W176" s="350">
        <f>L176*$D176*'E1 Fleet'!$D$100</f>
        <v/>
      </c>
      <c r="X176" s="350">
        <f>M176*$D176*'E1 Fleet'!$D$100</f>
        <v/>
      </c>
      <c r="Y176" s="350">
        <f>N176*$D176*'E1 Fleet'!$D$100</f>
        <v/>
      </c>
    </row>
    <row r="177">
      <c r="A177" t="inlineStr">
        <is>
          <t>Van</t>
        </is>
      </c>
      <c r="B177" s="456" t="n">
        <v>32</v>
      </c>
      <c r="C177" s="456" t="n">
        <v>3</v>
      </c>
      <c r="D177" s="348">
        <f>IF($B177=0,'E1 Fleet'!$D$93,1)*EXP(-'E1 Fleet'!$D$94*MAX($B177-6,0))</f>
        <v/>
      </c>
      <c r="E177" s="350">
        <f>IFERROR(INDEX('D Fleet'!$F$5:$F$63,MATCH(E$3-$B177,'D Fleet'!$B$5:$B$63,0)),0)*IFERROR(INDEX('D Fleet'!$K$5:$K$36,INT(($B177/E$5))+1)+(($B177/E$5)-INT(($B177/E$5)))*(INDEX('D Fleet'!$K$5:$K$36,INT(($B177/E$5))+2)-INDEX('D Fleet'!$K$5:$K$36,INT(($B177/E$5))+1)),0)</f>
        <v/>
      </c>
      <c r="F177" s="350">
        <f>IFERROR(INDEX('D Fleet'!$F$5:$F$63,MATCH(F$3-$B177,'D Fleet'!$B$5:$B$63,0)),0)*IFERROR(INDEX('D Fleet'!$K$5:$K$36,INT(($B177/F$5))+1)+(($B177/F$5)-INT(($B177/F$5)))*(INDEX('D Fleet'!$K$5:$K$36,INT(($B177/F$5))+2)-INDEX('D Fleet'!$K$5:$K$36,INT(($B177/F$5))+1)),0)</f>
        <v/>
      </c>
      <c r="G177" s="350">
        <f>IFERROR(INDEX('D Fleet'!$F$5:$F$63,MATCH(G$3-$B177,'D Fleet'!$B$5:$B$63,0)),0)*IFERROR(INDEX('D Fleet'!$K$5:$K$36,INT(($B177/G$5))+1)+(($B177/G$5)-INT(($B177/G$5)))*(INDEX('D Fleet'!$K$5:$K$36,INT(($B177/G$5))+2)-INDEX('D Fleet'!$K$5:$K$36,INT(($B177/G$5))+1)),0)</f>
        <v/>
      </c>
      <c r="H177" s="350">
        <f>IFERROR(INDEX('D Fleet'!$F$5:$F$63,MATCH(H$3-$B177,'D Fleet'!$B$5:$B$63,0)),0)*IFERROR(INDEX('D Fleet'!$K$5:$K$36,INT(($B177/H$5))+1)+(($B177/H$5)-INT(($B177/H$5)))*(INDEX('D Fleet'!$K$5:$K$36,INT(($B177/H$5))+2)-INDEX('D Fleet'!$K$5:$K$36,INT(($B177/H$5))+1)),0)</f>
        <v/>
      </c>
      <c r="I177" s="350">
        <f>IFERROR(INDEX('D Fleet'!$F$5:$F$63,MATCH(I$3-$B177,'D Fleet'!$B$5:$B$63,0)),0)*IFERROR(INDEX('D Fleet'!$K$5:$K$36,INT(($B177/I$5))+1)+(($B177/I$5)-INT(($B177/I$5)))*(INDEX('D Fleet'!$K$5:$K$36,INT(($B177/I$5))+2)-INDEX('D Fleet'!$K$5:$K$36,INT(($B177/I$5))+1)),0)</f>
        <v/>
      </c>
      <c r="J177" s="350">
        <f>IFERROR(INDEX('D Fleet'!$F$5:$F$63,MATCH(J$3-$B177,'D Fleet'!$B$5:$B$63,0)),0)*IFERROR(INDEX('D Fleet'!$K$5:$K$36,INT(($B177/J$5))+1)+(($B177/J$5)-INT(($B177/J$5)))*(INDEX('D Fleet'!$K$5:$K$36,INT(($B177/J$5))+2)-INDEX('D Fleet'!$K$5:$K$36,INT(($B177/J$5))+1)),0)</f>
        <v/>
      </c>
      <c r="K177" s="350">
        <f>IFERROR(INDEX('D Fleet'!$F$5:$F$63,MATCH(K$3-$B177,'D Fleet'!$B$5:$B$63,0)),0)*IFERROR(INDEX('D Fleet'!$K$5:$K$36,INT(($B177/K$5))+1)+(($B177/K$5)-INT(($B177/K$5)))*(INDEX('D Fleet'!$K$5:$K$36,INT(($B177/K$5))+2)-INDEX('D Fleet'!$K$5:$K$36,INT(($B177/K$5))+1)),0)</f>
        <v/>
      </c>
      <c r="L177" s="350">
        <f>IFERROR(INDEX('D Fleet'!$F$5:$F$63,MATCH(L$3-$B177,'D Fleet'!$B$5:$B$63,0)),0)*IFERROR(INDEX('D Fleet'!$K$5:$K$36,INT(($B177/L$5))+1)+(($B177/L$5)-INT(($B177/L$5)))*(INDEX('D Fleet'!$K$5:$K$36,INT(($B177/L$5))+2)-INDEX('D Fleet'!$K$5:$K$36,INT(($B177/L$5))+1)),0)</f>
        <v/>
      </c>
      <c r="M177" s="350">
        <f>IFERROR(INDEX('D Fleet'!$F$5:$F$63,MATCH(M$3-$B177,'D Fleet'!$B$5:$B$63,0)),0)*IFERROR(INDEX('D Fleet'!$K$5:$K$36,INT(($B177/M$5))+1)+(($B177/M$5)-INT(($B177/M$5)))*(INDEX('D Fleet'!$K$5:$K$36,INT(($B177/M$5))+2)-INDEX('D Fleet'!$K$5:$K$36,INT(($B177/M$5))+1)),0)</f>
        <v/>
      </c>
      <c r="N177" s="350">
        <f>IFERROR(INDEX('D Fleet'!$F$5:$F$63,MATCH(N$3-$B177,'D Fleet'!$B$5:$B$63,0)),0)*IFERROR(INDEX('D Fleet'!$K$5:$K$36,INT(($B177/N$5))+1)+(($B177/N$5)-INT(($B177/N$5)))*(INDEX('D Fleet'!$K$5:$K$36,INT(($B177/N$5))+2)-INDEX('D Fleet'!$K$5:$K$36,INT(($B177/N$5))+1)),0)</f>
        <v/>
      </c>
      <c r="P177" s="350">
        <f>E177*$D177*'E1 Fleet'!$D$100</f>
        <v/>
      </c>
      <c r="Q177" s="350">
        <f>F177*$D177*'E1 Fleet'!$D$100</f>
        <v/>
      </c>
      <c r="R177" s="350">
        <f>G177*$D177*'E1 Fleet'!$D$100</f>
        <v/>
      </c>
      <c r="S177" s="350">
        <f>H177*$D177*'E1 Fleet'!$D$100</f>
        <v/>
      </c>
      <c r="T177" s="350">
        <f>I177*$D177*'E1 Fleet'!$D$100</f>
        <v/>
      </c>
      <c r="U177" s="350">
        <f>J177*$D177*'E1 Fleet'!$D$100</f>
        <v/>
      </c>
      <c r="V177" s="350">
        <f>K177*$D177*'E1 Fleet'!$D$100</f>
        <v/>
      </c>
      <c r="W177" s="350">
        <f>L177*$D177*'E1 Fleet'!$D$100</f>
        <v/>
      </c>
      <c r="X177" s="350">
        <f>M177*$D177*'E1 Fleet'!$D$100</f>
        <v/>
      </c>
      <c r="Y177" s="350">
        <f>N177*$D177*'E1 Fleet'!$D$100</f>
        <v/>
      </c>
    </row>
    <row r="178">
      <c r="A178" t="inlineStr">
        <is>
          <t>Van</t>
        </is>
      </c>
      <c r="B178" s="456" t="n">
        <v>33</v>
      </c>
      <c r="C178" s="456" t="n">
        <v>3</v>
      </c>
      <c r="D178" s="348">
        <f>IF($B178=0,'E1 Fleet'!$D$93,1)*EXP(-'E1 Fleet'!$D$94*MAX($B178-6,0))</f>
        <v/>
      </c>
      <c r="E178" s="350">
        <f>IFERROR(INDEX('D Fleet'!$F$5:$F$63,MATCH(E$3-$B178,'D Fleet'!$B$5:$B$63,0)),0)*IFERROR(INDEX('D Fleet'!$K$5:$K$36,INT(($B178/E$5))+1)+(($B178/E$5)-INT(($B178/E$5)))*(INDEX('D Fleet'!$K$5:$K$36,INT(($B178/E$5))+2)-INDEX('D Fleet'!$K$5:$K$36,INT(($B178/E$5))+1)),0)</f>
        <v/>
      </c>
      <c r="F178" s="350">
        <f>IFERROR(INDEX('D Fleet'!$F$5:$F$63,MATCH(F$3-$B178,'D Fleet'!$B$5:$B$63,0)),0)*IFERROR(INDEX('D Fleet'!$K$5:$K$36,INT(($B178/F$5))+1)+(($B178/F$5)-INT(($B178/F$5)))*(INDEX('D Fleet'!$K$5:$K$36,INT(($B178/F$5))+2)-INDEX('D Fleet'!$K$5:$K$36,INT(($B178/F$5))+1)),0)</f>
        <v/>
      </c>
      <c r="G178" s="350">
        <f>IFERROR(INDEX('D Fleet'!$F$5:$F$63,MATCH(G$3-$B178,'D Fleet'!$B$5:$B$63,0)),0)*IFERROR(INDEX('D Fleet'!$K$5:$K$36,INT(($B178/G$5))+1)+(($B178/G$5)-INT(($B178/G$5)))*(INDEX('D Fleet'!$K$5:$K$36,INT(($B178/G$5))+2)-INDEX('D Fleet'!$K$5:$K$36,INT(($B178/G$5))+1)),0)</f>
        <v/>
      </c>
      <c r="H178" s="350">
        <f>IFERROR(INDEX('D Fleet'!$F$5:$F$63,MATCH(H$3-$B178,'D Fleet'!$B$5:$B$63,0)),0)*IFERROR(INDEX('D Fleet'!$K$5:$K$36,INT(($B178/H$5))+1)+(($B178/H$5)-INT(($B178/H$5)))*(INDEX('D Fleet'!$K$5:$K$36,INT(($B178/H$5))+2)-INDEX('D Fleet'!$K$5:$K$36,INT(($B178/H$5))+1)),0)</f>
        <v/>
      </c>
      <c r="I178" s="350">
        <f>IFERROR(INDEX('D Fleet'!$F$5:$F$63,MATCH(I$3-$B178,'D Fleet'!$B$5:$B$63,0)),0)*IFERROR(INDEX('D Fleet'!$K$5:$K$36,INT(($B178/I$5))+1)+(($B178/I$5)-INT(($B178/I$5)))*(INDEX('D Fleet'!$K$5:$K$36,INT(($B178/I$5))+2)-INDEX('D Fleet'!$K$5:$K$36,INT(($B178/I$5))+1)),0)</f>
        <v/>
      </c>
      <c r="J178" s="350">
        <f>IFERROR(INDEX('D Fleet'!$F$5:$F$63,MATCH(J$3-$B178,'D Fleet'!$B$5:$B$63,0)),0)*IFERROR(INDEX('D Fleet'!$K$5:$K$36,INT(($B178/J$5))+1)+(($B178/J$5)-INT(($B178/J$5)))*(INDEX('D Fleet'!$K$5:$K$36,INT(($B178/J$5))+2)-INDEX('D Fleet'!$K$5:$K$36,INT(($B178/J$5))+1)),0)</f>
        <v/>
      </c>
      <c r="K178" s="350">
        <f>IFERROR(INDEX('D Fleet'!$F$5:$F$63,MATCH(K$3-$B178,'D Fleet'!$B$5:$B$63,0)),0)*IFERROR(INDEX('D Fleet'!$K$5:$K$36,INT(($B178/K$5))+1)+(($B178/K$5)-INT(($B178/K$5)))*(INDEX('D Fleet'!$K$5:$K$36,INT(($B178/K$5))+2)-INDEX('D Fleet'!$K$5:$K$36,INT(($B178/K$5))+1)),0)</f>
        <v/>
      </c>
      <c r="L178" s="350">
        <f>IFERROR(INDEX('D Fleet'!$F$5:$F$63,MATCH(L$3-$B178,'D Fleet'!$B$5:$B$63,0)),0)*IFERROR(INDEX('D Fleet'!$K$5:$K$36,INT(($B178/L$5))+1)+(($B178/L$5)-INT(($B178/L$5)))*(INDEX('D Fleet'!$K$5:$K$36,INT(($B178/L$5))+2)-INDEX('D Fleet'!$K$5:$K$36,INT(($B178/L$5))+1)),0)</f>
        <v/>
      </c>
      <c r="M178" s="350">
        <f>IFERROR(INDEX('D Fleet'!$F$5:$F$63,MATCH(M$3-$B178,'D Fleet'!$B$5:$B$63,0)),0)*IFERROR(INDEX('D Fleet'!$K$5:$K$36,INT(($B178/M$5))+1)+(($B178/M$5)-INT(($B178/M$5)))*(INDEX('D Fleet'!$K$5:$K$36,INT(($B178/M$5))+2)-INDEX('D Fleet'!$K$5:$K$36,INT(($B178/M$5))+1)),0)</f>
        <v/>
      </c>
      <c r="N178" s="350">
        <f>IFERROR(INDEX('D Fleet'!$F$5:$F$63,MATCH(N$3-$B178,'D Fleet'!$B$5:$B$63,0)),0)*IFERROR(INDEX('D Fleet'!$K$5:$K$36,INT(($B178/N$5))+1)+(($B178/N$5)-INT(($B178/N$5)))*(INDEX('D Fleet'!$K$5:$K$36,INT(($B178/N$5))+2)-INDEX('D Fleet'!$K$5:$K$36,INT(($B178/N$5))+1)),0)</f>
        <v/>
      </c>
      <c r="P178" s="350">
        <f>E178*$D178*'E1 Fleet'!$D$100</f>
        <v/>
      </c>
      <c r="Q178" s="350">
        <f>F178*$D178*'E1 Fleet'!$D$100</f>
        <v/>
      </c>
      <c r="R178" s="350">
        <f>G178*$D178*'E1 Fleet'!$D$100</f>
        <v/>
      </c>
      <c r="S178" s="350">
        <f>H178*$D178*'E1 Fleet'!$D$100</f>
        <v/>
      </c>
      <c r="T178" s="350">
        <f>I178*$D178*'E1 Fleet'!$D$100</f>
        <v/>
      </c>
      <c r="U178" s="350">
        <f>J178*$D178*'E1 Fleet'!$D$100</f>
        <v/>
      </c>
      <c r="V178" s="350">
        <f>K178*$D178*'E1 Fleet'!$D$100</f>
        <v/>
      </c>
      <c r="W178" s="350">
        <f>L178*$D178*'E1 Fleet'!$D$100</f>
        <v/>
      </c>
      <c r="X178" s="350">
        <f>M178*$D178*'E1 Fleet'!$D$100</f>
        <v/>
      </c>
      <c r="Y178" s="350">
        <f>N178*$D178*'E1 Fleet'!$D$100</f>
        <v/>
      </c>
    </row>
    <row r="179">
      <c r="A179" t="inlineStr">
        <is>
          <t>Van</t>
        </is>
      </c>
      <c r="B179" s="456" t="n">
        <v>34</v>
      </c>
      <c r="C179" s="456" t="n">
        <v>3</v>
      </c>
      <c r="D179" s="348">
        <f>IF($B179=0,'E1 Fleet'!$D$93,1)*EXP(-'E1 Fleet'!$D$94*MAX($B179-6,0))</f>
        <v/>
      </c>
      <c r="E179" s="350">
        <f>IFERROR(INDEX('D Fleet'!$F$5:$F$63,MATCH(E$3-$B179,'D Fleet'!$B$5:$B$63,0)),0)*IFERROR(INDEX('D Fleet'!$K$5:$K$36,INT(($B179/E$5))+1)+(($B179/E$5)-INT(($B179/E$5)))*(INDEX('D Fleet'!$K$5:$K$36,INT(($B179/E$5))+2)-INDEX('D Fleet'!$K$5:$K$36,INT(($B179/E$5))+1)),0)</f>
        <v/>
      </c>
      <c r="F179" s="350">
        <f>IFERROR(INDEX('D Fleet'!$F$5:$F$63,MATCH(F$3-$B179,'D Fleet'!$B$5:$B$63,0)),0)*IFERROR(INDEX('D Fleet'!$K$5:$K$36,INT(($B179/F$5))+1)+(($B179/F$5)-INT(($B179/F$5)))*(INDEX('D Fleet'!$K$5:$K$36,INT(($B179/F$5))+2)-INDEX('D Fleet'!$K$5:$K$36,INT(($B179/F$5))+1)),0)</f>
        <v/>
      </c>
      <c r="G179" s="350">
        <f>IFERROR(INDEX('D Fleet'!$F$5:$F$63,MATCH(G$3-$B179,'D Fleet'!$B$5:$B$63,0)),0)*IFERROR(INDEX('D Fleet'!$K$5:$K$36,INT(($B179/G$5))+1)+(($B179/G$5)-INT(($B179/G$5)))*(INDEX('D Fleet'!$K$5:$K$36,INT(($B179/G$5))+2)-INDEX('D Fleet'!$K$5:$K$36,INT(($B179/G$5))+1)),0)</f>
        <v/>
      </c>
      <c r="H179" s="350">
        <f>IFERROR(INDEX('D Fleet'!$F$5:$F$63,MATCH(H$3-$B179,'D Fleet'!$B$5:$B$63,0)),0)*IFERROR(INDEX('D Fleet'!$K$5:$K$36,INT(($B179/H$5))+1)+(($B179/H$5)-INT(($B179/H$5)))*(INDEX('D Fleet'!$K$5:$K$36,INT(($B179/H$5))+2)-INDEX('D Fleet'!$K$5:$K$36,INT(($B179/H$5))+1)),0)</f>
        <v/>
      </c>
      <c r="I179" s="350">
        <f>IFERROR(INDEX('D Fleet'!$F$5:$F$63,MATCH(I$3-$B179,'D Fleet'!$B$5:$B$63,0)),0)*IFERROR(INDEX('D Fleet'!$K$5:$K$36,INT(($B179/I$5))+1)+(($B179/I$5)-INT(($B179/I$5)))*(INDEX('D Fleet'!$K$5:$K$36,INT(($B179/I$5))+2)-INDEX('D Fleet'!$K$5:$K$36,INT(($B179/I$5))+1)),0)</f>
        <v/>
      </c>
      <c r="J179" s="350">
        <f>IFERROR(INDEX('D Fleet'!$F$5:$F$63,MATCH(J$3-$B179,'D Fleet'!$B$5:$B$63,0)),0)*IFERROR(INDEX('D Fleet'!$K$5:$K$36,INT(($B179/J$5))+1)+(($B179/J$5)-INT(($B179/J$5)))*(INDEX('D Fleet'!$K$5:$K$36,INT(($B179/J$5))+2)-INDEX('D Fleet'!$K$5:$K$36,INT(($B179/J$5))+1)),0)</f>
        <v/>
      </c>
      <c r="K179" s="350">
        <f>IFERROR(INDEX('D Fleet'!$F$5:$F$63,MATCH(K$3-$B179,'D Fleet'!$B$5:$B$63,0)),0)*IFERROR(INDEX('D Fleet'!$K$5:$K$36,INT(($B179/K$5))+1)+(($B179/K$5)-INT(($B179/K$5)))*(INDEX('D Fleet'!$K$5:$K$36,INT(($B179/K$5))+2)-INDEX('D Fleet'!$K$5:$K$36,INT(($B179/K$5))+1)),0)</f>
        <v/>
      </c>
      <c r="L179" s="350">
        <f>IFERROR(INDEX('D Fleet'!$F$5:$F$63,MATCH(L$3-$B179,'D Fleet'!$B$5:$B$63,0)),0)*IFERROR(INDEX('D Fleet'!$K$5:$K$36,INT(($B179/L$5))+1)+(($B179/L$5)-INT(($B179/L$5)))*(INDEX('D Fleet'!$K$5:$K$36,INT(($B179/L$5))+2)-INDEX('D Fleet'!$K$5:$K$36,INT(($B179/L$5))+1)),0)</f>
        <v/>
      </c>
      <c r="M179" s="350">
        <f>IFERROR(INDEX('D Fleet'!$F$5:$F$63,MATCH(M$3-$B179,'D Fleet'!$B$5:$B$63,0)),0)*IFERROR(INDEX('D Fleet'!$K$5:$K$36,INT(($B179/M$5))+1)+(($B179/M$5)-INT(($B179/M$5)))*(INDEX('D Fleet'!$K$5:$K$36,INT(($B179/M$5))+2)-INDEX('D Fleet'!$K$5:$K$36,INT(($B179/M$5))+1)),0)</f>
        <v/>
      </c>
      <c r="N179" s="350">
        <f>IFERROR(INDEX('D Fleet'!$F$5:$F$63,MATCH(N$3-$B179,'D Fleet'!$B$5:$B$63,0)),0)*IFERROR(INDEX('D Fleet'!$K$5:$K$36,INT(($B179/N$5))+1)+(($B179/N$5)-INT(($B179/N$5)))*(INDEX('D Fleet'!$K$5:$K$36,INT(($B179/N$5))+2)-INDEX('D Fleet'!$K$5:$K$36,INT(($B179/N$5))+1)),0)</f>
        <v/>
      </c>
      <c r="P179" s="350">
        <f>E179*$D179*'E1 Fleet'!$D$100</f>
        <v/>
      </c>
      <c r="Q179" s="350">
        <f>F179*$D179*'E1 Fleet'!$D$100</f>
        <v/>
      </c>
      <c r="R179" s="350">
        <f>G179*$D179*'E1 Fleet'!$D$100</f>
        <v/>
      </c>
      <c r="S179" s="350">
        <f>H179*$D179*'E1 Fleet'!$D$100</f>
        <v/>
      </c>
      <c r="T179" s="350">
        <f>I179*$D179*'E1 Fleet'!$D$100</f>
        <v/>
      </c>
      <c r="U179" s="350">
        <f>J179*$D179*'E1 Fleet'!$D$100</f>
        <v/>
      </c>
      <c r="V179" s="350">
        <f>K179*$D179*'E1 Fleet'!$D$100</f>
        <v/>
      </c>
      <c r="W179" s="350">
        <f>L179*$D179*'E1 Fleet'!$D$100</f>
        <v/>
      </c>
      <c r="X179" s="350">
        <f>M179*$D179*'E1 Fleet'!$D$100</f>
        <v/>
      </c>
      <c r="Y179" s="350">
        <f>N179*$D179*'E1 Fleet'!$D$100</f>
        <v/>
      </c>
    </row>
    <row r="180">
      <c r="A180" t="inlineStr">
        <is>
          <t>Van</t>
        </is>
      </c>
      <c r="B180" s="456" t="n">
        <v>35</v>
      </c>
      <c r="C180" s="456" t="n">
        <v>3</v>
      </c>
      <c r="D180" s="348">
        <f>IF($B180=0,'E1 Fleet'!$D$93,1)*EXP(-'E1 Fleet'!$D$94*MAX($B180-6,0))</f>
        <v/>
      </c>
      <c r="E180" s="350">
        <f>IFERROR(INDEX('D Fleet'!$F$5:$F$63,MATCH(E$3-$B180,'D Fleet'!$B$5:$B$63,0)),0)*IFERROR(INDEX('D Fleet'!$K$5:$K$36,INT(($B180/E$5))+1)+(($B180/E$5)-INT(($B180/E$5)))*(INDEX('D Fleet'!$K$5:$K$36,INT(($B180/E$5))+2)-INDEX('D Fleet'!$K$5:$K$36,INT(($B180/E$5))+1)),0)</f>
        <v/>
      </c>
      <c r="F180" s="350">
        <f>IFERROR(INDEX('D Fleet'!$F$5:$F$63,MATCH(F$3-$B180,'D Fleet'!$B$5:$B$63,0)),0)*IFERROR(INDEX('D Fleet'!$K$5:$K$36,INT(($B180/F$5))+1)+(($B180/F$5)-INT(($B180/F$5)))*(INDEX('D Fleet'!$K$5:$K$36,INT(($B180/F$5))+2)-INDEX('D Fleet'!$K$5:$K$36,INT(($B180/F$5))+1)),0)</f>
        <v/>
      </c>
      <c r="G180" s="350">
        <f>IFERROR(INDEX('D Fleet'!$F$5:$F$63,MATCH(G$3-$B180,'D Fleet'!$B$5:$B$63,0)),0)*IFERROR(INDEX('D Fleet'!$K$5:$K$36,INT(($B180/G$5))+1)+(($B180/G$5)-INT(($B180/G$5)))*(INDEX('D Fleet'!$K$5:$K$36,INT(($B180/G$5))+2)-INDEX('D Fleet'!$K$5:$K$36,INT(($B180/G$5))+1)),0)</f>
        <v/>
      </c>
      <c r="H180" s="350">
        <f>IFERROR(INDEX('D Fleet'!$F$5:$F$63,MATCH(H$3-$B180,'D Fleet'!$B$5:$B$63,0)),0)*IFERROR(INDEX('D Fleet'!$K$5:$K$36,INT(($B180/H$5))+1)+(($B180/H$5)-INT(($B180/H$5)))*(INDEX('D Fleet'!$K$5:$K$36,INT(($B180/H$5))+2)-INDEX('D Fleet'!$K$5:$K$36,INT(($B180/H$5))+1)),0)</f>
        <v/>
      </c>
      <c r="I180" s="350">
        <f>IFERROR(INDEX('D Fleet'!$F$5:$F$63,MATCH(I$3-$B180,'D Fleet'!$B$5:$B$63,0)),0)*IFERROR(INDEX('D Fleet'!$K$5:$K$36,INT(($B180/I$5))+1)+(($B180/I$5)-INT(($B180/I$5)))*(INDEX('D Fleet'!$K$5:$K$36,INT(($B180/I$5))+2)-INDEX('D Fleet'!$K$5:$K$36,INT(($B180/I$5))+1)),0)</f>
        <v/>
      </c>
      <c r="J180" s="350">
        <f>IFERROR(INDEX('D Fleet'!$F$5:$F$63,MATCH(J$3-$B180,'D Fleet'!$B$5:$B$63,0)),0)*IFERROR(INDEX('D Fleet'!$K$5:$K$36,INT(($B180/J$5))+1)+(($B180/J$5)-INT(($B180/J$5)))*(INDEX('D Fleet'!$K$5:$K$36,INT(($B180/J$5))+2)-INDEX('D Fleet'!$K$5:$K$36,INT(($B180/J$5))+1)),0)</f>
        <v/>
      </c>
      <c r="K180" s="350">
        <f>IFERROR(INDEX('D Fleet'!$F$5:$F$63,MATCH(K$3-$B180,'D Fleet'!$B$5:$B$63,0)),0)*IFERROR(INDEX('D Fleet'!$K$5:$K$36,INT(($B180/K$5))+1)+(($B180/K$5)-INT(($B180/K$5)))*(INDEX('D Fleet'!$K$5:$K$36,INT(($B180/K$5))+2)-INDEX('D Fleet'!$K$5:$K$36,INT(($B180/K$5))+1)),0)</f>
        <v/>
      </c>
      <c r="L180" s="350">
        <f>IFERROR(INDEX('D Fleet'!$F$5:$F$63,MATCH(L$3-$B180,'D Fleet'!$B$5:$B$63,0)),0)*IFERROR(INDEX('D Fleet'!$K$5:$K$36,INT(($B180/L$5))+1)+(($B180/L$5)-INT(($B180/L$5)))*(INDEX('D Fleet'!$K$5:$K$36,INT(($B180/L$5))+2)-INDEX('D Fleet'!$K$5:$K$36,INT(($B180/L$5))+1)),0)</f>
        <v/>
      </c>
      <c r="M180" s="350">
        <f>IFERROR(INDEX('D Fleet'!$F$5:$F$63,MATCH(M$3-$B180,'D Fleet'!$B$5:$B$63,0)),0)*IFERROR(INDEX('D Fleet'!$K$5:$K$36,INT(($B180/M$5))+1)+(($B180/M$5)-INT(($B180/M$5)))*(INDEX('D Fleet'!$K$5:$K$36,INT(($B180/M$5))+2)-INDEX('D Fleet'!$K$5:$K$36,INT(($B180/M$5))+1)),0)</f>
        <v/>
      </c>
      <c r="N180" s="350">
        <f>IFERROR(INDEX('D Fleet'!$F$5:$F$63,MATCH(N$3-$B180,'D Fleet'!$B$5:$B$63,0)),0)*IFERROR(INDEX('D Fleet'!$K$5:$K$36,INT(($B180/N$5))+1)+(($B180/N$5)-INT(($B180/N$5)))*(INDEX('D Fleet'!$K$5:$K$36,INT(($B180/N$5))+2)-INDEX('D Fleet'!$K$5:$K$36,INT(($B180/N$5))+1)),0)</f>
        <v/>
      </c>
      <c r="P180" s="350">
        <f>E180*$D180*'E1 Fleet'!$D$100</f>
        <v/>
      </c>
      <c r="Q180" s="350">
        <f>F180*$D180*'E1 Fleet'!$D$100</f>
        <v/>
      </c>
      <c r="R180" s="350">
        <f>G180*$D180*'E1 Fleet'!$D$100</f>
        <v/>
      </c>
      <c r="S180" s="350">
        <f>H180*$D180*'E1 Fleet'!$D$100</f>
        <v/>
      </c>
      <c r="T180" s="350">
        <f>I180*$D180*'E1 Fleet'!$D$100</f>
        <v/>
      </c>
      <c r="U180" s="350">
        <f>J180*$D180*'E1 Fleet'!$D$100</f>
        <v/>
      </c>
      <c r="V180" s="350">
        <f>K180*$D180*'E1 Fleet'!$D$100</f>
        <v/>
      </c>
      <c r="W180" s="350">
        <f>L180*$D180*'E1 Fleet'!$D$100</f>
        <v/>
      </c>
      <c r="X180" s="350">
        <f>M180*$D180*'E1 Fleet'!$D$100</f>
        <v/>
      </c>
      <c r="Y180" s="350">
        <f>N180*$D180*'E1 Fleet'!$D$100</f>
        <v/>
      </c>
    </row>
    <row r="181">
      <c r="A181" t="inlineStr">
        <is>
          <t>Van</t>
        </is>
      </c>
      <c r="B181" s="456" t="n">
        <v>36</v>
      </c>
      <c r="C181" s="456" t="n">
        <v>3</v>
      </c>
      <c r="D181" s="348">
        <f>IF($B181=0,'E1 Fleet'!$D$93,1)*EXP(-'E1 Fleet'!$D$94*MAX($B181-6,0))</f>
        <v/>
      </c>
      <c r="E181" s="350">
        <f>IFERROR(INDEX('D Fleet'!$F$5:$F$63,MATCH(E$3-$B181,'D Fleet'!$B$5:$B$63,0)),0)*IFERROR(INDEX('D Fleet'!$K$5:$K$36,INT(($B181/E$5))+1)+(($B181/E$5)-INT(($B181/E$5)))*(INDEX('D Fleet'!$K$5:$K$36,INT(($B181/E$5))+2)-INDEX('D Fleet'!$K$5:$K$36,INT(($B181/E$5))+1)),0)</f>
        <v/>
      </c>
      <c r="F181" s="350">
        <f>IFERROR(INDEX('D Fleet'!$F$5:$F$63,MATCH(F$3-$B181,'D Fleet'!$B$5:$B$63,0)),0)*IFERROR(INDEX('D Fleet'!$K$5:$K$36,INT(($B181/F$5))+1)+(($B181/F$5)-INT(($B181/F$5)))*(INDEX('D Fleet'!$K$5:$K$36,INT(($B181/F$5))+2)-INDEX('D Fleet'!$K$5:$K$36,INT(($B181/F$5))+1)),0)</f>
        <v/>
      </c>
      <c r="G181" s="350">
        <f>IFERROR(INDEX('D Fleet'!$F$5:$F$63,MATCH(G$3-$B181,'D Fleet'!$B$5:$B$63,0)),0)*IFERROR(INDEX('D Fleet'!$K$5:$K$36,INT(($B181/G$5))+1)+(($B181/G$5)-INT(($B181/G$5)))*(INDEX('D Fleet'!$K$5:$K$36,INT(($B181/G$5))+2)-INDEX('D Fleet'!$K$5:$K$36,INT(($B181/G$5))+1)),0)</f>
        <v/>
      </c>
      <c r="H181" s="350">
        <f>IFERROR(INDEX('D Fleet'!$F$5:$F$63,MATCH(H$3-$B181,'D Fleet'!$B$5:$B$63,0)),0)*IFERROR(INDEX('D Fleet'!$K$5:$K$36,INT(($B181/H$5))+1)+(($B181/H$5)-INT(($B181/H$5)))*(INDEX('D Fleet'!$K$5:$K$36,INT(($B181/H$5))+2)-INDEX('D Fleet'!$K$5:$K$36,INT(($B181/H$5))+1)),0)</f>
        <v/>
      </c>
      <c r="I181" s="350">
        <f>IFERROR(INDEX('D Fleet'!$F$5:$F$63,MATCH(I$3-$B181,'D Fleet'!$B$5:$B$63,0)),0)*IFERROR(INDEX('D Fleet'!$K$5:$K$36,INT(($B181/I$5))+1)+(($B181/I$5)-INT(($B181/I$5)))*(INDEX('D Fleet'!$K$5:$K$36,INT(($B181/I$5))+2)-INDEX('D Fleet'!$K$5:$K$36,INT(($B181/I$5))+1)),0)</f>
        <v/>
      </c>
      <c r="J181" s="350">
        <f>IFERROR(INDEX('D Fleet'!$F$5:$F$63,MATCH(J$3-$B181,'D Fleet'!$B$5:$B$63,0)),0)*IFERROR(INDEX('D Fleet'!$K$5:$K$36,INT(($B181/J$5))+1)+(($B181/J$5)-INT(($B181/J$5)))*(INDEX('D Fleet'!$K$5:$K$36,INT(($B181/J$5))+2)-INDEX('D Fleet'!$K$5:$K$36,INT(($B181/J$5))+1)),0)</f>
        <v/>
      </c>
      <c r="K181" s="350">
        <f>IFERROR(INDEX('D Fleet'!$F$5:$F$63,MATCH(K$3-$B181,'D Fleet'!$B$5:$B$63,0)),0)*IFERROR(INDEX('D Fleet'!$K$5:$K$36,INT(($B181/K$5))+1)+(($B181/K$5)-INT(($B181/K$5)))*(INDEX('D Fleet'!$K$5:$K$36,INT(($B181/K$5))+2)-INDEX('D Fleet'!$K$5:$K$36,INT(($B181/K$5))+1)),0)</f>
        <v/>
      </c>
      <c r="L181" s="350">
        <f>IFERROR(INDEX('D Fleet'!$F$5:$F$63,MATCH(L$3-$B181,'D Fleet'!$B$5:$B$63,0)),0)*IFERROR(INDEX('D Fleet'!$K$5:$K$36,INT(($B181/L$5))+1)+(($B181/L$5)-INT(($B181/L$5)))*(INDEX('D Fleet'!$K$5:$K$36,INT(($B181/L$5))+2)-INDEX('D Fleet'!$K$5:$K$36,INT(($B181/L$5))+1)),0)</f>
        <v/>
      </c>
      <c r="M181" s="350">
        <f>IFERROR(INDEX('D Fleet'!$F$5:$F$63,MATCH(M$3-$B181,'D Fleet'!$B$5:$B$63,0)),0)*IFERROR(INDEX('D Fleet'!$K$5:$K$36,INT(($B181/M$5))+1)+(($B181/M$5)-INT(($B181/M$5)))*(INDEX('D Fleet'!$K$5:$K$36,INT(($B181/M$5))+2)-INDEX('D Fleet'!$K$5:$K$36,INT(($B181/M$5))+1)),0)</f>
        <v/>
      </c>
      <c r="N181" s="350">
        <f>IFERROR(INDEX('D Fleet'!$F$5:$F$63,MATCH(N$3-$B181,'D Fleet'!$B$5:$B$63,0)),0)*IFERROR(INDEX('D Fleet'!$K$5:$K$36,INT(($B181/N$5))+1)+(($B181/N$5)-INT(($B181/N$5)))*(INDEX('D Fleet'!$K$5:$K$36,INT(($B181/N$5))+2)-INDEX('D Fleet'!$K$5:$K$36,INT(($B181/N$5))+1)),0)</f>
        <v/>
      </c>
      <c r="P181" s="350">
        <f>E181*$D181*'E1 Fleet'!$D$100</f>
        <v/>
      </c>
      <c r="Q181" s="350">
        <f>F181*$D181*'E1 Fleet'!$D$100</f>
        <v/>
      </c>
      <c r="R181" s="350">
        <f>G181*$D181*'E1 Fleet'!$D$100</f>
        <v/>
      </c>
      <c r="S181" s="350">
        <f>H181*$D181*'E1 Fleet'!$D$100</f>
        <v/>
      </c>
      <c r="T181" s="350">
        <f>I181*$D181*'E1 Fleet'!$D$100</f>
        <v/>
      </c>
      <c r="U181" s="350">
        <f>J181*$D181*'E1 Fleet'!$D$100</f>
        <v/>
      </c>
      <c r="V181" s="350">
        <f>K181*$D181*'E1 Fleet'!$D$100</f>
        <v/>
      </c>
      <c r="W181" s="350">
        <f>L181*$D181*'E1 Fleet'!$D$100</f>
        <v/>
      </c>
      <c r="X181" s="350">
        <f>M181*$D181*'E1 Fleet'!$D$100</f>
        <v/>
      </c>
      <c r="Y181" s="350">
        <f>N181*$D181*'E1 Fleet'!$D$100</f>
        <v/>
      </c>
    </row>
    <row r="182">
      <c r="A182" t="inlineStr">
        <is>
          <t>Van</t>
        </is>
      </c>
      <c r="B182" s="456" t="n">
        <v>37</v>
      </c>
      <c r="C182" s="456" t="n">
        <v>3</v>
      </c>
      <c r="D182" s="348">
        <f>IF($B182=0,'E1 Fleet'!$D$93,1)*EXP(-'E1 Fleet'!$D$94*MAX($B182-6,0))</f>
        <v/>
      </c>
      <c r="E182" s="350">
        <f>IFERROR(INDEX('D Fleet'!$F$5:$F$63,MATCH(E$3-$B182,'D Fleet'!$B$5:$B$63,0)),0)*IFERROR(INDEX('D Fleet'!$K$5:$K$36,INT(($B182/E$5))+1)+(($B182/E$5)-INT(($B182/E$5)))*(INDEX('D Fleet'!$K$5:$K$36,INT(($B182/E$5))+2)-INDEX('D Fleet'!$K$5:$K$36,INT(($B182/E$5))+1)),0)</f>
        <v/>
      </c>
      <c r="F182" s="350">
        <f>IFERROR(INDEX('D Fleet'!$F$5:$F$63,MATCH(F$3-$B182,'D Fleet'!$B$5:$B$63,0)),0)*IFERROR(INDEX('D Fleet'!$K$5:$K$36,INT(($B182/F$5))+1)+(($B182/F$5)-INT(($B182/F$5)))*(INDEX('D Fleet'!$K$5:$K$36,INT(($B182/F$5))+2)-INDEX('D Fleet'!$K$5:$K$36,INT(($B182/F$5))+1)),0)</f>
        <v/>
      </c>
      <c r="G182" s="350">
        <f>IFERROR(INDEX('D Fleet'!$F$5:$F$63,MATCH(G$3-$B182,'D Fleet'!$B$5:$B$63,0)),0)*IFERROR(INDEX('D Fleet'!$K$5:$K$36,INT(($B182/G$5))+1)+(($B182/G$5)-INT(($B182/G$5)))*(INDEX('D Fleet'!$K$5:$K$36,INT(($B182/G$5))+2)-INDEX('D Fleet'!$K$5:$K$36,INT(($B182/G$5))+1)),0)</f>
        <v/>
      </c>
      <c r="H182" s="350">
        <f>IFERROR(INDEX('D Fleet'!$F$5:$F$63,MATCH(H$3-$B182,'D Fleet'!$B$5:$B$63,0)),0)*IFERROR(INDEX('D Fleet'!$K$5:$K$36,INT(($B182/H$5))+1)+(($B182/H$5)-INT(($B182/H$5)))*(INDEX('D Fleet'!$K$5:$K$36,INT(($B182/H$5))+2)-INDEX('D Fleet'!$K$5:$K$36,INT(($B182/H$5))+1)),0)</f>
        <v/>
      </c>
      <c r="I182" s="350">
        <f>IFERROR(INDEX('D Fleet'!$F$5:$F$63,MATCH(I$3-$B182,'D Fleet'!$B$5:$B$63,0)),0)*IFERROR(INDEX('D Fleet'!$K$5:$K$36,INT(($B182/I$5))+1)+(($B182/I$5)-INT(($B182/I$5)))*(INDEX('D Fleet'!$K$5:$K$36,INT(($B182/I$5))+2)-INDEX('D Fleet'!$K$5:$K$36,INT(($B182/I$5))+1)),0)</f>
        <v/>
      </c>
      <c r="J182" s="350">
        <f>IFERROR(INDEX('D Fleet'!$F$5:$F$63,MATCH(J$3-$B182,'D Fleet'!$B$5:$B$63,0)),0)*IFERROR(INDEX('D Fleet'!$K$5:$K$36,INT(($B182/J$5))+1)+(($B182/J$5)-INT(($B182/J$5)))*(INDEX('D Fleet'!$K$5:$K$36,INT(($B182/J$5))+2)-INDEX('D Fleet'!$K$5:$K$36,INT(($B182/J$5))+1)),0)</f>
        <v/>
      </c>
      <c r="K182" s="350">
        <f>IFERROR(INDEX('D Fleet'!$F$5:$F$63,MATCH(K$3-$B182,'D Fleet'!$B$5:$B$63,0)),0)*IFERROR(INDEX('D Fleet'!$K$5:$K$36,INT(($B182/K$5))+1)+(($B182/K$5)-INT(($B182/K$5)))*(INDEX('D Fleet'!$K$5:$K$36,INT(($B182/K$5))+2)-INDEX('D Fleet'!$K$5:$K$36,INT(($B182/K$5))+1)),0)</f>
        <v/>
      </c>
      <c r="L182" s="350">
        <f>IFERROR(INDEX('D Fleet'!$F$5:$F$63,MATCH(L$3-$B182,'D Fleet'!$B$5:$B$63,0)),0)*IFERROR(INDEX('D Fleet'!$K$5:$K$36,INT(($B182/L$5))+1)+(($B182/L$5)-INT(($B182/L$5)))*(INDEX('D Fleet'!$K$5:$K$36,INT(($B182/L$5))+2)-INDEX('D Fleet'!$K$5:$K$36,INT(($B182/L$5))+1)),0)</f>
        <v/>
      </c>
      <c r="M182" s="350">
        <f>IFERROR(INDEX('D Fleet'!$F$5:$F$63,MATCH(M$3-$B182,'D Fleet'!$B$5:$B$63,0)),0)*IFERROR(INDEX('D Fleet'!$K$5:$K$36,INT(($B182/M$5))+1)+(($B182/M$5)-INT(($B182/M$5)))*(INDEX('D Fleet'!$K$5:$K$36,INT(($B182/M$5))+2)-INDEX('D Fleet'!$K$5:$K$36,INT(($B182/M$5))+1)),0)</f>
        <v/>
      </c>
      <c r="N182" s="350">
        <f>IFERROR(INDEX('D Fleet'!$F$5:$F$63,MATCH(N$3-$B182,'D Fleet'!$B$5:$B$63,0)),0)*IFERROR(INDEX('D Fleet'!$K$5:$K$36,INT(($B182/N$5))+1)+(($B182/N$5)-INT(($B182/N$5)))*(INDEX('D Fleet'!$K$5:$K$36,INT(($B182/N$5))+2)-INDEX('D Fleet'!$K$5:$K$36,INT(($B182/N$5))+1)),0)</f>
        <v/>
      </c>
      <c r="P182" s="350">
        <f>E182*$D182*'E1 Fleet'!$D$100</f>
        <v/>
      </c>
      <c r="Q182" s="350">
        <f>F182*$D182*'E1 Fleet'!$D$100</f>
        <v/>
      </c>
      <c r="R182" s="350">
        <f>G182*$D182*'E1 Fleet'!$D$100</f>
        <v/>
      </c>
      <c r="S182" s="350">
        <f>H182*$D182*'E1 Fleet'!$D$100</f>
        <v/>
      </c>
      <c r="T182" s="350">
        <f>I182*$D182*'E1 Fleet'!$D$100</f>
        <v/>
      </c>
      <c r="U182" s="350">
        <f>J182*$D182*'E1 Fleet'!$D$100</f>
        <v/>
      </c>
      <c r="V182" s="350">
        <f>K182*$D182*'E1 Fleet'!$D$100</f>
        <v/>
      </c>
      <c r="W182" s="350">
        <f>L182*$D182*'E1 Fleet'!$D$100</f>
        <v/>
      </c>
      <c r="X182" s="350">
        <f>M182*$D182*'E1 Fleet'!$D$100</f>
        <v/>
      </c>
      <c r="Y182" s="350">
        <f>N182*$D182*'E1 Fleet'!$D$100</f>
        <v/>
      </c>
    </row>
    <row r="183">
      <c r="A183" t="inlineStr">
        <is>
          <t>Van</t>
        </is>
      </c>
      <c r="B183" s="456" t="n">
        <v>38</v>
      </c>
      <c r="C183" s="456" t="n">
        <v>3</v>
      </c>
      <c r="D183" s="348">
        <f>IF($B183=0,'E1 Fleet'!$D$93,1)*EXP(-'E1 Fleet'!$D$94*MAX($B183-6,0))</f>
        <v/>
      </c>
      <c r="E183" s="350">
        <f>IFERROR(INDEX('D Fleet'!$F$5:$F$63,MATCH(E$3-$B183,'D Fleet'!$B$5:$B$63,0)),0)*IFERROR(INDEX('D Fleet'!$K$5:$K$36,INT(($B183/E$5))+1)+(($B183/E$5)-INT(($B183/E$5)))*(INDEX('D Fleet'!$K$5:$K$36,INT(($B183/E$5))+2)-INDEX('D Fleet'!$K$5:$K$36,INT(($B183/E$5))+1)),0)</f>
        <v/>
      </c>
      <c r="F183" s="350">
        <f>IFERROR(INDEX('D Fleet'!$F$5:$F$63,MATCH(F$3-$B183,'D Fleet'!$B$5:$B$63,0)),0)*IFERROR(INDEX('D Fleet'!$K$5:$K$36,INT(($B183/F$5))+1)+(($B183/F$5)-INT(($B183/F$5)))*(INDEX('D Fleet'!$K$5:$K$36,INT(($B183/F$5))+2)-INDEX('D Fleet'!$K$5:$K$36,INT(($B183/F$5))+1)),0)</f>
        <v/>
      </c>
      <c r="G183" s="350">
        <f>IFERROR(INDEX('D Fleet'!$F$5:$F$63,MATCH(G$3-$B183,'D Fleet'!$B$5:$B$63,0)),0)*IFERROR(INDEX('D Fleet'!$K$5:$K$36,INT(($B183/G$5))+1)+(($B183/G$5)-INT(($B183/G$5)))*(INDEX('D Fleet'!$K$5:$K$36,INT(($B183/G$5))+2)-INDEX('D Fleet'!$K$5:$K$36,INT(($B183/G$5))+1)),0)</f>
        <v/>
      </c>
      <c r="H183" s="350">
        <f>IFERROR(INDEX('D Fleet'!$F$5:$F$63,MATCH(H$3-$B183,'D Fleet'!$B$5:$B$63,0)),0)*IFERROR(INDEX('D Fleet'!$K$5:$K$36,INT(($B183/H$5))+1)+(($B183/H$5)-INT(($B183/H$5)))*(INDEX('D Fleet'!$K$5:$K$36,INT(($B183/H$5))+2)-INDEX('D Fleet'!$K$5:$K$36,INT(($B183/H$5))+1)),0)</f>
        <v/>
      </c>
      <c r="I183" s="350">
        <f>IFERROR(INDEX('D Fleet'!$F$5:$F$63,MATCH(I$3-$B183,'D Fleet'!$B$5:$B$63,0)),0)*IFERROR(INDEX('D Fleet'!$K$5:$K$36,INT(($B183/I$5))+1)+(($B183/I$5)-INT(($B183/I$5)))*(INDEX('D Fleet'!$K$5:$K$36,INT(($B183/I$5))+2)-INDEX('D Fleet'!$K$5:$K$36,INT(($B183/I$5))+1)),0)</f>
        <v/>
      </c>
      <c r="J183" s="350">
        <f>IFERROR(INDEX('D Fleet'!$F$5:$F$63,MATCH(J$3-$B183,'D Fleet'!$B$5:$B$63,0)),0)*IFERROR(INDEX('D Fleet'!$K$5:$K$36,INT(($B183/J$5))+1)+(($B183/J$5)-INT(($B183/J$5)))*(INDEX('D Fleet'!$K$5:$K$36,INT(($B183/J$5))+2)-INDEX('D Fleet'!$K$5:$K$36,INT(($B183/J$5))+1)),0)</f>
        <v/>
      </c>
      <c r="K183" s="350">
        <f>IFERROR(INDEX('D Fleet'!$F$5:$F$63,MATCH(K$3-$B183,'D Fleet'!$B$5:$B$63,0)),0)*IFERROR(INDEX('D Fleet'!$K$5:$K$36,INT(($B183/K$5))+1)+(($B183/K$5)-INT(($B183/K$5)))*(INDEX('D Fleet'!$K$5:$K$36,INT(($B183/K$5))+2)-INDEX('D Fleet'!$K$5:$K$36,INT(($B183/K$5))+1)),0)</f>
        <v/>
      </c>
      <c r="L183" s="350">
        <f>IFERROR(INDEX('D Fleet'!$F$5:$F$63,MATCH(L$3-$B183,'D Fleet'!$B$5:$B$63,0)),0)*IFERROR(INDEX('D Fleet'!$K$5:$K$36,INT(($B183/L$5))+1)+(($B183/L$5)-INT(($B183/L$5)))*(INDEX('D Fleet'!$K$5:$K$36,INT(($B183/L$5))+2)-INDEX('D Fleet'!$K$5:$K$36,INT(($B183/L$5))+1)),0)</f>
        <v/>
      </c>
      <c r="M183" s="350">
        <f>IFERROR(INDEX('D Fleet'!$F$5:$F$63,MATCH(M$3-$B183,'D Fleet'!$B$5:$B$63,0)),0)*IFERROR(INDEX('D Fleet'!$K$5:$K$36,INT(($B183/M$5))+1)+(($B183/M$5)-INT(($B183/M$5)))*(INDEX('D Fleet'!$K$5:$K$36,INT(($B183/M$5))+2)-INDEX('D Fleet'!$K$5:$K$36,INT(($B183/M$5))+1)),0)</f>
        <v/>
      </c>
      <c r="N183" s="350">
        <f>IFERROR(INDEX('D Fleet'!$F$5:$F$63,MATCH(N$3-$B183,'D Fleet'!$B$5:$B$63,0)),0)*IFERROR(INDEX('D Fleet'!$K$5:$K$36,INT(($B183/N$5))+1)+(($B183/N$5)-INT(($B183/N$5)))*(INDEX('D Fleet'!$K$5:$K$36,INT(($B183/N$5))+2)-INDEX('D Fleet'!$K$5:$K$36,INT(($B183/N$5))+1)),0)</f>
        <v/>
      </c>
      <c r="P183" s="350">
        <f>E183*$D183*'E1 Fleet'!$D$100</f>
        <v/>
      </c>
      <c r="Q183" s="350">
        <f>F183*$D183*'E1 Fleet'!$D$100</f>
        <v/>
      </c>
      <c r="R183" s="350">
        <f>G183*$D183*'E1 Fleet'!$D$100</f>
        <v/>
      </c>
      <c r="S183" s="350">
        <f>H183*$D183*'E1 Fleet'!$D$100</f>
        <v/>
      </c>
      <c r="T183" s="350">
        <f>I183*$D183*'E1 Fleet'!$D$100</f>
        <v/>
      </c>
      <c r="U183" s="350">
        <f>J183*$D183*'E1 Fleet'!$D$100</f>
        <v/>
      </c>
      <c r="V183" s="350">
        <f>K183*$D183*'E1 Fleet'!$D$100</f>
        <v/>
      </c>
      <c r="W183" s="350">
        <f>L183*$D183*'E1 Fleet'!$D$100</f>
        <v/>
      </c>
      <c r="X183" s="350">
        <f>M183*$D183*'E1 Fleet'!$D$100</f>
        <v/>
      </c>
      <c r="Y183" s="350">
        <f>N183*$D183*'E1 Fleet'!$D$100</f>
        <v/>
      </c>
    </row>
    <row r="184">
      <c r="A184" t="inlineStr">
        <is>
          <t>Van</t>
        </is>
      </c>
      <c r="B184" s="456" t="n">
        <v>39</v>
      </c>
      <c r="C184" s="456" t="n">
        <v>3</v>
      </c>
      <c r="D184" s="348">
        <f>IF($B184=0,'E1 Fleet'!$D$93,1)*EXP(-'E1 Fleet'!$D$94*MAX($B184-6,0))</f>
        <v/>
      </c>
      <c r="E184" s="350">
        <f>IFERROR(INDEX('D Fleet'!$F$5:$F$63,MATCH(E$3-$B184,'D Fleet'!$B$5:$B$63,0)),0)*IFERROR(INDEX('D Fleet'!$K$5:$K$36,INT(($B184/E$5))+1)+(($B184/E$5)-INT(($B184/E$5)))*(INDEX('D Fleet'!$K$5:$K$36,INT(($B184/E$5))+2)-INDEX('D Fleet'!$K$5:$K$36,INT(($B184/E$5))+1)),0)</f>
        <v/>
      </c>
      <c r="F184" s="350">
        <f>IFERROR(INDEX('D Fleet'!$F$5:$F$63,MATCH(F$3-$B184,'D Fleet'!$B$5:$B$63,0)),0)*IFERROR(INDEX('D Fleet'!$K$5:$K$36,INT(($B184/F$5))+1)+(($B184/F$5)-INT(($B184/F$5)))*(INDEX('D Fleet'!$K$5:$K$36,INT(($B184/F$5))+2)-INDEX('D Fleet'!$K$5:$K$36,INT(($B184/F$5))+1)),0)</f>
        <v/>
      </c>
      <c r="G184" s="350">
        <f>IFERROR(INDEX('D Fleet'!$F$5:$F$63,MATCH(G$3-$B184,'D Fleet'!$B$5:$B$63,0)),0)*IFERROR(INDEX('D Fleet'!$K$5:$K$36,INT(($B184/G$5))+1)+(($B184/G$5)-INT(($B184/G$5)))*(INDEX('D Fleet'!$K$5:$K$36,INT(($B184/G$5))+2)-INDEX('D Fleet'!$K$5:$K$36,INT(($B184/G$5))+1)),0)</f>
        <v/>
      </c>
      <c r="H184" s="350">
        <f>IFERROR(INDEX('D Fleet'!$F$5:$F$63,MATCH(H$3-$B184,'D Fleet'!$B$5:$B$63,0)),0)*IFERROR(INDEX('D Fleet'!$K$5:$K$36,INT(($B184/H$5))+1)+(($B184/H$5)-INT(($B184/H$5)))*(INDEX('D Fleet'!$K$5:$K$36,INT(($B184/H$5))+2)-INDEX('D Fleet'!$K$5:$K$36,INT(($B184/H$5))+1)),0)</f>
        <v/>
      </c>
      <c r="I184" s="350">
        <f>IFERROR(INDEX('D Fleet'!$F$5:$F$63,MATCH(I$3-$B184,'D Fleet'!$B$5:$B$63,0)),0)*IFERROR(INDEX('D Fleet'!$K$5:$K$36,INT(($B184/I$5))+1)+(($B184/I$5)-INT(($B184/I$5)))*(INDEX('D Fleet'!$K$5:$K$36,INT(($B184/I$5))+2)-INDEX('D Fleet'!$K$5:$K$36,INT(($B184/I$5))+1)),0)</f>
        <v/>
      </c>
      <c r="J184" s="350">
        <f>IFERROR(INDEX('D Fleet'!$F$5:$F$63,MATCH(J$3-$B184,'D Fleet'!$B$5:$B$63,0)),0)*IFERROR(INDEX('D Fleet'!$K$5:$K$36,INT(($B184/J$5))+1)+(($B184/J$5)-INT(($B184/J$5)))*(INDEX('D Fleet'!$K$5:$K$36,INT(($B184/J$5))+2)-INDEX('D Fleet'!$K$5:$K$36,INT(($B184/J$5))+1)),0)</f>
        <v/>
      </c>
      <c r="K184" s="350">
        <f>IFERROR(INDEX('D Fleet'!$F$5:$F$63,MATCH(K$3-$B184,'D Fleet'!$B$5:$B$63,0)),0)*IFERROR(INDEX('D Fleet'!$K$5:$K$36,INT(($B184/K$5))+1)+(($B184/K$5)-INT(($B184/K$5)))*(INDEX('D Fleet'!$K$5:$K$36,INT(($B184/K$5))+2)-INDEX('D Fleet'!$K$5:$K$36,INT(($B184/K$5))+1)),0)</f>
        <v/>
      </c>
      <c r="L184" s="350">
        <f>IFERROR(INDEX('D Fleet'!$F$5:$F$63,MATCH(L$3-$B184,'D Fleet'!$B$5:$B$63,0)),0)*IFERROR(INDEX('D Fleet'!$K$5:$K$36,INT(($B184/L$5))+1)+(($B184/L$5)-INT(($B184/L$5)))*(INDEX('D Fleet'!$K$5:$K$36,INT(($B184/L$5))+2)-INDEX('D Fleet'!$K$5:$K$36,INT(($B184/L$5))+1)),0)</f>
        <v/>
      </c>
      <c r="M184" s="350">
        <f>IFERROR(INDEX('D Fleet'!$F$5:$F$63,MATCH(M$3-$B184,'D Fleet'!$B$5:$B$63,0)),0)*IFERROR(INDEX('D Fleet'!$K$5:$K$36,INT(($B184/M$5))+1)+(($B184/M$5)-INT(($B184/M$5)))*(INDEX('D Fleet'!$K$5:$K$36,INT(($B184/M$5))+2)-INDEX('D Fleet'!$K$5:$K$36,INT(($B184/M$5))+1)),0)</f>
        <v/>
      </c>
      <c r="N184" s="350">
        <f>IFERROR(INDEX('D Fleet'!$F$5:$F$63,MATCH(N$3-$B184,'D Fleet'!$B$5:$B$63,0)),0)*IFERROR(INDEX('D Fleet'!$K$5:$K$36,INT(($B184/N$5))+1)+(($B184/N$5)-INT(($B184/N$5)))*(INDEX('D Fleet'!$K$5:$K$36,INT(($B184/N$5))+2)-INDEX('D Fleet'!$K$5:$K$36,INT(($B184/N$5))+1)),0)</f>
        <v/>
      </c>
      <c r="P184" s="350">
        <f>E184*$D184*'E1 Fleet'!$D$100</f>
        <v/>
      </c>
      <c r="Q184" s="350">
        <f>F184*$D184*'E1 Fleet'!$D$100</f>
        <v/>
      </c>
      <c r="R184" s="350">
        <f>G184*$D184*'E1 Fleet'!$D$100</f>
        <v/>
      </c>
      <c r="S184" s="350">
        <f>H184*$D184*'E1 Fleet'!$D$100</f>
        <v/>
      </c>
      <c r="T184" s="350">
        <f>I184*$D184*'E1 Fleet'!$D$100</f>
        <v/>
      </c>
      <c r="U184" s="350">
        <f>J184*$D184*'E1 Fleet'!$D$100</f>
        <v/>
      </c>
      <c r="V184" s="350">
        <f>K184*$D184*'E1 Fleet'!$D$100</f>
        <v/>
      </c>
      <c r="W184" s="350">
        <f>L184*$D184*'E1 Fleet'!$D$100</f>
        <v/>
      </c>
      <c r="X184" s="350">
        <f>M184*$D184*'E1 Fleet'!$D$100</f>
        <v/>
      </c>
      <c r="Y184" s="350">
        <f>N184*$D184*'E1 Fleet'!$D$100</f>
        <v/>
      </c>
    </row>
    <row r="185">
      <c r="A185" t="inlineStr">
        <is>
          <t>Van</t>
        </is>
      </c>
      <c r="B185" s="456" t="n">
        <v>40</v>
      </c>
      <c r="C185" s="456" t="n">
        <v>3</v>
      </c>
      <c r="D185" s="348">
        <f>IF($B185=0,'E1 Fleet'!$D$93,1)*EXP(-'E1 Fleet'!$D$94*MAX($B185-6,0))</f>
        <v/>
      </c>
      <c r="E185" s="350">
        <f>IFERROR(INDEX('D Fleet'!$F$5:$F$63,MATCH(E$3-$B185,'D Fleet'!$B$5:$B$63,0)),0)*IFERROR(INDEX('D Fleet'!$K$5:$K$36,INT(($B185/E$5))+1)+(($B185/E$5)-INT(($B185/E$5)))*(INDEX('D Fleet'!$K$5:$K$36,INT(($B185/E$5))+2)-INDEX('D Fleet'!$K$5:$K$36,INT(($B185/E$5))+1)),0)</f>
        <v/>
      </c>
      <c r="F185" s="350">
        <f>IFERROR(INDEX('D Fleet'!$F$5:$F$63,MATCH(F$3-$B185,'D Fleet'!$B$5:$B$63,0)),0)*IFERROR(INDEX('D Fleet'!$K$5:$K$36,INT(($B185/F$5))+1)+(($B185/F$5)-INT(($B185/F$5)))*(INDEX('D Fleet'!$K$5:$K$36,INT(($B185/F$5))+2)-INDEX('D Fleet'!$K$5:$K$36,INT(($B185/F$5))+1)),0)</f>
        <v/>
      </c>
      <c r="G185" s="350">
        <f>IFERROR(INDEX('D Fleet'!$F$5:$F$63,MATCH(G$3-$B185,'D Fleet'!$B$5:$B$63,0)),0)*IFERROR(INDEX('D Fleet'!$K$5:$K$36,INT(($B185/G$5))+1)+(($B185/G$5)-INT(($B185/G$5)))*(INDEX('D Fleet'!$K$5:$K$36,INT(($B185/G$5))+2)-INDEX('D Fleet'!$K$5:$K$36,INT(($B185/G$5))+1)),0)</f>
        <v/>
      </c>
      <c r="H185" s="350">
        <f>IFERROR(INDEX('D Fleet'!$F$5:$F$63,MATCH(H$3-$B185,'D Fleet'!$B$5:$B$63,0)),0)*IFERROR(INDEX('D Fleet'!$K$5:$K$36,INT(($B185/H$5))+1)+(($B185/H$5)-INT(($B185/H$5)))*(INDEX('D Fleet'!$K$5:$K$36,INT(($B185/H$5))+2)-INDEX('D Fleet'!$K$5:$K$36,INT(($B185/H$5))+1)),0)</f>
        <v/>
      </c>
      <c r="I185" s="350">
        <f>IFERROR(INDEX('D Fleet'!$F$5:$F$63,MATCH(I$3-$B185,'D Fleet'!$B$5:$B$63,0)),0)*IFERROR(INDEX('D Fleet'!$K$5:$K$36,INT(($B185/I$5))+1)+(($B185/I$5)-INT(($B185/I$5)))*(INDEX('D Fleet'!$K$5:$K$36,INT(($B185/I$5))+2)-INDEX('D Fleet'!$K$5:$K$36,INT(($B185/I$5))+1)),0)</f>
        <v/>
      </c>
      <c r="J185" s="350">
        <f>IFERROR(INDEX('D Fleet'!$F$5:$F$63,MATCH(J$3-$B185,'D Fleet'!$B$5:$B$63,0)),0)*IFERROR(INDEX('D Fleet'!$K$5:$K$36,INT(($B185/J$5))+1)+(($B185/J$5)-INT(($B185/J$5)))*(INDEX('D Fleet'!$K$5:$K$36,INT(($B185/J$5))+2)-INDEX('D Fleet'!$K$5:$K$36,INT(($B185/J$5))+1)),0)</f>
        <v/>
      </c>
      <c r="K185" s="350">
        <f>IFERROR(INDEX('D Fleet'!$F$5:$F$63,MATCH(K$3-$B185,'D Fleet'!$B$5:$B$63,0)),0)*IFERROR(INDEX('D Fleet'!$K$5:$K$36,INT(($B185/K$5))+1)+(($B185/K$5)-INT(($B185/K$5)))*(INDEX('D Fleet'!$K$5:$K$36,INT(($B185/K$5))+2)-INDEX('D Fleet'!$K$5:$K$36,INT(($B185/K$5))+1)),0)</f>
        <v/>
      </c>
      <c r="L185" s="350">
        <f>IFERROR(INDEX('D Fleet'!$F$5:$F$63,MATCH(L$3-$B185,'D Fleet'!$B$5:$B$63,0)),0)*IFERROR(INDEX('D Fleet'!$K$5:$K$36,INT(($B185/L$5))+1)+(($B185/L$5)-INT(($B185/L$5)))*(INDEX('D Fleet'!$K$5:$K$36,INT(($B185/L$5))+2)-INDEX('D Fleet'!$K$5:$K$36,INT(($B185/L$5))+1)),0)</f>
        <v/>
      </c>
      <c r="M185" s="350">
        <f>IFERROR(INDEX('D Fleet'!$F$5:$F$63,MATCH(M$3-$B185,'D Fleet'!$B$5:$B$63,0)),0)*IFERROR(INDEX('D Fleet'!$K$5:$K$36,INT(($B185/M$5))+1)+(($B185/M$5)-INT(($B185/M$5)))*(INDEX('D Fleet'!$K$5:$K$36,INT(($B185/M$5))+2)-INDEX('D Fleet'!$K$5:$K$36,INT(($B185/M$5))+1)),0)</f>
        <v/>
      </c>
      <c r="N185" s="350">
        <f>IFERROR(INDEX('D Fleet'!$F$5:$F$63,MATCH(N$3-$B185,'D Fleet'!$B$5:$B$63,0)),0)*IFERROR(INDEX('D Fleet'!$K$5:$K$36,INT(($B185/N$5))+1)+(($B185/N$5)-INT(($B185/N$5)))*(INDEX('D Fleet'!$K$5:$K$36,INT(($B185/N$5))+2)-INDEX('D Fleet'!$K$5:$K$36,INT(($B185/N$5))+1)),0)</f>
        <v/>
      </c>
      <c r="P185" s="350">
        <f>E185*$D185*'E1 Fleet'!$D$100</f>
        <v/>
      </c>
      <c r="Q185" s="350">
        <f>F185*$D185*'E1 Fleet'!$D$100</f>
        <v/>
      </c>
      <c r="R185" s="350">
        <f>G185*$D185*'E1 Fleet'!$D$100</f>
        <v/>
      </c>
      <c r="S185" s="350">
        <f>H185*$D185*'E1 Fleet'!$D$100</f>
        <v/>
      </c>
      <c r="T185" s="350">
        <f>I185*$D185*'E1 Fleet'!$D$100</f>
        <v/>
      </c>
      <c r="U185" s="350">
        <f>J185*$D185*'E1 Fleet'!$D$100</f>
        <v/>
      </c>
      <c r="V185" s="350">
        <f>K185*$D185*'E1 Fleet'!$D$100</f>
        <v/>
      </c>
      <c r="W185" s="350">
        <f>L185*$D185*'E1 Fleet'!$D$100</f>
        <v/>
      </c>
      <c r="X185" s="350">
        <f>M185*$D185*'E1 Fleet'!$D$100</f>
        <v/>
      </c>
      <c r="Y185" s="350">
        <f>N185*$D185*'E1 Fleet'!$D$100</f>
        <v/>
      </c>
    </row>
    <row r="186">
      <c r="A186" t="inlineStr">
        <is>
          <t>Van</t>
        </is>
      </c>
      <c r="B186" s="456" t="n">
        <v>41</v>
      </c>
      <c r="C186" s="456" t="n">
        <v>3</v>
      </c>
      <c r="D186" s="348">
        <f>IF($B186=0,'E1 Fleet'!$D$93,1)*EXP(-'E1 Fleet'!$D$94*MAX($B186-6,0))</f>
        <v/>
      </c>
      <c r="E186" s="350">
        <f>IFERROR(INDEX('D Fleet'!$F$5:$F$63,MATCH(E$3-$B186,'D Fleet'!$B$5:$B$63,0)),0)*IFERROR(INDEX('D Fleet'!$K$5:$K$36,INT(($B186/E$5))+1)+(($B186/E$5)-INT(($B186/E$5)))*(INDEX('D Fleet'!$K$5:$K$36,INT(($B186/E$5))+2)-INDEX('D Fleet'!$K$5:$K$36,INT(($B186/E$5))+1)),0)</f>
        <v/>
      </c>
      <c r="F186" s="350">
        <f>IFERROR(INDEX('D Fleet'!$F$5:$F$63,MATCH(F$3-$B186,'D Fleet'!$B$5:$B$63,0)),0)*IFERROR(INDEX('D Fleet'!$K$5:$K$36,INT(($B186/F$5))+1)+(($B186/F$5)-INT(($B186/F$5)))*(INDEX('D Fleet'!$K$5:$K$36,INT(($B186/F$5))+2)-INDEX('D Fleet'!$K$5:$K$36,INT(($B186/F$5))+1)),0)</f>
        <v/>
      </c>
      <c r="G186" s="350">
        <f>IFERROR(INDEX('D Fleet'!$F$5:$F$63,MATCH(G$3-$B186,'D Fleet'!$B$5:$B$63,0)),0)*IFERROR(INDEX('D Fleet'!$K$5:$K$36,INT(($B186/G$5))+1)+(($B186/G$5)-INT(($B186/G$5)))*(INDEX('D Fleet'!$K$5:$K$36,INT(($B186/G$5))+2)-INDEX('D Fleet'!$K$5:$K$36,INT(($B186/G$5))+1)),0)</f>
        <v/>
      </c>
      <c r="H186" s="350">
        <f>IFERROR(INDEX('D Fleet'!$F$5:$F$63,MATCH(H$3-$B186,'D Fleet'!$B$5:$B$63,0)),0)*IFERROR(INDEX('D Fleet'!$K$5:$K$36,INT(($B186/H$5))+1)+(($B186/H$5)-INT(($B186/H$5)))*(INDEX('D Fleet'!$K$5:$K$36,INT(($B186/H$5))+2)-INDEX('D Fleet'!$K$5:$K$36,INT(($B186/H$5))+1)),0)</f>
        <v/>
      </c>
      <c r="I186" s="350">
        <f>IFERROR(INDEX('D Fleet'!$F$5:$F$63,MATCH(I$3-$B186,'D Fleet'!$B$5:$B$63,0)),0)*IFERROR(INDEX('D Fleet'!$K$5:$K$36,INT(($B186/I$5))+1)+(($B186/I$5)-INT(($B186/I$5)))*(INDEX('D Fleet'!$K$5:$K$36,INT(($B186/I$5))+2)-INDEX('D Fleet'!$K$5:$K$36,INT(($B186/I$5))+1)),0)</f>
        <v/>
      </c>
      <c r="J186" s="350">
        <f>IFERROR(INDEX('D Fleet'!$F$5:$F$63,MATCH(J$3-$B186,'D Fleet'!$B$5:$B$63,0)),0)*IFERROR(INDEX('D Fleet'!$K$5:$K$36,INT(($B186/J$5))+1)+(($B186/J$5)-INT(($B186/J$5)))*(INDEX('D Fleet'!$K$5:$K$36,INT(($B186/J$5))+2)-INDEX('D Fleet'!$K$5:$K$36,INT(($B186/J$5))+1)),0)</f>
        <v/>
      </c>
      <c r="K186" s="350">
        <f>IFERROR(INDEX('D Fleet'!$F$5:$F$63,MATCH(K$3-$B186,'D Fleet'!$B$5:$B$63,0)),0)*IFERROR(INDEX('D Fleet'!$K$5:$K$36,INT(($B186/K$5))+1)+(($B186/K$5)-INT(($B186/K$5)))*(INDEX('D Fleet'!$K$5:$K$36,INT(($B186/K$5))+2)-INDEX('D Fleet'!$K$5:$K$36,INT(($B186/K$5))+1)),0)</f>
        <v/>
      </c>
      <c r="L186" s="350">
        <f>IFERROR(INDEX('D Fleet'!$F$5:$F$63,MATCH(L$3-$B186,'D Fleet'!$B$5:$B$63,0)),0)*IFERROR(INDEX('D Fleet'!$K$5:$K$36,INT(($B186/L$5))+1)+(($B186/L$5)-INT(($B186/L$5)))*(INDEX('D Fleet'!$K$5:$K$36,INT(($B186/L$5))+2)-INDEX('D Fleet'!$K$5:$K$36,INT(($B186/L$5))+1)),0)</f>
        <v/>
      </c>
      <c r="M186" s="350">
        <f>IFERROR(INDEX('D Fleet'!$F$5:$F$63,MATCH(M$3-$B186,'D Fleet'!$B$5:$B$63,0)),0)*IFERROR(INDEX('D Fleet'!$K$5:$K$36,INT(($B186/M$5))+1)+(($B186/M$5)-INT(($B186/M$5)))*(INDEX('D Fleet'!$K$5:$K$36,INT(($B186/M$5))+2)-INDEX('D Fleet'!$K$5:$K$36,INT(($B186/M$5))+1)),0)</f>
        <v/>
      </c>
      <c r="N186" s="350">
        <f>IFERROR(INDEX('D Fleet'!$F$5:$F$63,MATCH(N$3-$B186,'D Fleet'!$B$5:$B$63,0)),0)*IFERROR(INDEX('D Fleet'!$K$5:$K$36,INT(($B186/N$5))+1)+(($B186/N$5)-INT(($B186/N$5)))*(INDEX('D Fleet'!$K$5:$K$36,INT(($B186/N$5))+2)-INDEX('D Fleet'!$K$5:$K$36,INT(($B186/N$5))+1)),0)</f>
        <v/>
      </c>
      <c r="P186" s="350">
        <f>E186*$D186*'E1 Fleet'!$D$100</f>
        <v/>
      </c>
      <c r="Q186" s="350">
        <f>F186*$D186*'E1 Fleet'!$D$100</f>
        <v/>
      </c>
      <c r="R186" s="350">
        <f>G186*$D186*'E1 Fleet'!$D$100</f>
        <v/>
      </c>
      <c r="S186" s="350">
        <f>H186*$D186*'E1 Fleet'!$D$100</f>
        <v/>
      </c>
      <c r="T186" s="350">
        <f>I186*$D186*'E1 Fleet'!$D$100</f>
        <v/>
      </c>
      <c r="U186" s="350">
        <f>J186*$D186*'E1 Fleet'!$D$100</f>
        <v/>
      </c>
      <c r="V186" s="350">
        <f>K186*$D186*'E1 Fleet'!$D$100</f>
        <v/>
      </c>
      <c r="W186" s="350">
        <f>L186*$D186*'E1 Fleet'!$D$100</f>
        <v/>
      </c>
      <c r="X186" s="350">
        <f>M186*$D186*'E1 Fleet'!$D$100</f>
        <v/>
      </c>
      <c r="Y186" s="350">
        <f>N186*$D186*'E1 Fleet'!$D$100</f>
        <v/>
      </c>
    </row>
    <row r="187">
      <c r="A187" t="inlineStr">
        <is>
          <t>Van</t>
        </is>
      </c>
      <c r="B187" s="456" t="n">
        <v>42</v>
      </c>
      <c r="C187" s="456" t="n">
        <v>3</v>
      </c>
      <c r="D187" s="348">
        <f>IF($B187=0,'E1 Fleet'!$D$93,1)*EXP(-'E1 Fleet'!$D$94*MAX($B187-6,0))</f>
        <v/>
      </c>
      <c r="E187" s="350">
        <f>IFERROR(INDEX('D Fleet'!$F$5:$F$63,MATCH(E$3-$B187,'D Fleet'!$B$5:$B$63,0)),0)*IFERROR(INDEX('D Fleet'!$K$5:$K$36,INT(($B187/E$5))+1)+(($B187/E$5)-INT(($B187/E$5)))*(INDEX('D Fleet'!$K$5:$K$36,INT(($B187/E$5))+2)-INDEX('D Fleet'!$K$5:$K$36,INT(($B187/E$5))+1)),0)</f>
        <v/>
      </c>
      <c r="F187" s="350">
        <f>IFERROR(INDEX('D Fleet'!$F$5:$F$63,MATCH(F$3-$B187,'D Fleet'!$B$5:$B$63,0)),0)*IFERROR(INDEX('D Fleet'!$K$5:$K$36,INT(($B187/F$5))+1)+(($B187/F$5)-INT(($B187/F$5)))*(INDEX('D Fleet'!$K$5:$K$36,INT(($B187/F$5))+2)-INDEX('D Fleet'!$K$5:$K$36,INT(($B187/F$5))+1)),0)</f>
        <v/>
      </c>
      <c r="G187" s="350">
        <f>IFERROR(INDEX('D Fleet'!$F$5:$F$63,MATCH(G$3-$B187,'D Fleet'!$B$5:$B$63,0)),0)*IFERROR(INDEX('D Fleet'!$K$5:$K$36,INT(($B187/G$5))+1)+(($B187/G$5)-INT(($B187/G$5)))*(INDEX('D Fleet'!$K$5:$K$36,INT(($B187/G$5))+2)-INDEX('D Fleet'!$K$5:$K$36,INT(($B187/G$5))+1)),0)</f>
        <v/>
      </c>
      <c r="H187" s="350">
        <f>IFERROR(INDEX('D Fleet'!$F$5:$F$63,MATCH(H$3-$B187,'D Fleet'!$B$5:$B$63,0)),0)*IFERROR(INDEX('D Fleet'!$K$5:$K$36,INT(($B187/H$5))+1)+(($B187/H$5)-INT(($B187/H$5)))*(INDEX('D Fleet'!$K$5:$K$36,INT(($B187/H$5))+2)-INDEX('D Fleet'!$K$5:$K$36,INT(($B187/H$5))+1)),0)</f>
        <v/>
      </c>
      <c r="I187" s="350">
        <f>IFERROR(INDEX('D Fleet'!$F$5:$F$63,MATCH(I$3-$B187,'D Fleet'!$B$5:$B$63,0)),0)*IFERROR(INDEX('D Fleet'!$K$5:$K$36,INT(($B187/I$5))+1)+(($B187/I$5)-INT(($B187/I$5)))*(INDEX('D Fleet'!$K$5:$K$36,INT(($B187/I$5))+2)-INDEX('D Fleet'!$K$5:$K$36,INT(($B187/I$5))+1)),0)</f>
        <v/>
      </c>
      <c r="J187" s="350">
        <f>IFERROR(INDEX('D Fleet'!$F$5:$F$63,MATCH(J$3-$B187,'D Fleet'!$B$5:$B$63,0)),0)*IFERROR(INDEX('D Fleet'!$K$5:$K$36,INT(($B187/J$5))+1)+(($B187/J$5)-INT(($B187/J$5)))*(INDEX('D Fleet'!$K$5:$K$36,INT(($B187/J$5))+2)-INDEX('D Fleet'!$K$5:$K$36,INT(($B187/J$5))+1)),0)</f>
        <v/>
      </c>
      <c r="K187" s="350">
        <f>IFERROR(INDEX('D Fleet'!$F$5:$F$63,MATCH(K$3-$B187,'D Fleet'!$B$5:$B$63,0)),0)*IFERROR(INDEX('D Fleet'!$K$5:$K$36,INT(($B187/K$5))+1)+(($B187/K$5)-INT(($B187/K$5)))*(INDEX('D Fleet'!$K$5:$K$36,INT(($B187/K$5))+2)-INDEX('D Fleet'!$K$5:$K$36,INT(($B187/K$5))+1)),0)</f>
        <v/>
      </c>
      <c r="L187" s="350">
        <f>IFERROR(INDEX('D Fleet'!$F$5:$F$63,MATCH(L$3-$B187,'D Fleet'!$B$5:$B$63,0)),0)*IFERROR(INDEX('D Fleet'!$K$5:$K$36,INT(($B187/L$5))+1)+(($B187/L$5)-INT(($B187/L$5)))*(INDEX('D Fleet'!$K$5:$K$36,INT(($B187/L$5))+2)-INDEX('D Fleet'!$K$5:$K$36,INT(($B187/L$5))+1)),0)</f>
        <v/>
      </c>
      <c r="M187" s="350">
        <f>IFERROR(INDEX('D Fleet'!$F$5:$F$63,MATCH(M$3-$B187,'D Fleet'!$B$5:$B$63,0)),0)*IFERROR(INDEX('D Fleet'!$K$5:$K$36,INT(($B187/M$5))+1)+(($B187/M$5)-INT(($B187/M$5)))*(INDEX('D Fleet'!$K$5:$K$36,INT(($B187/M$5))+2)-INDEX('D Fleet'!$K$5:$K$36,INT(($B187/M$5))+1)),0)</f>
        <v/>
      </c>
      <c r="N187" s="350">
        <f>IFERROR(INDEX('D Fleet'!$F$5:$F$63,MATCH(N$3-$B187,'D Fleet'!$B$5:$B$63,0)),0)*IFERROR(INDEX('D Fleet'!$K$5:$K$36,INT(($B187/N$5))+1)+(($B187/N$5)-INT(($B187/N$5)))*(INDEX('D Fleet'!$K$5:$K$36,INT(($B187/N$5))+2)-INDEX('D Fleet'!$K$5:$K$36,INT(($B187/N$5))+1)),0)</f>
        <v/>
      </c>
      <c r="P187" s="350">
        <f>E187*$D187*'E1 Fleet'!$D$100</f>
        <v/>
      </c>
      <c r="Q187" s="350">
        <f>F187*$D187*'E1 Fleet'!$D$100</f>
        <v/>
      </c>
      <c r="R187" s="350">
        <f>G187*$D187*'E1 Fleet'!$D$100</f>
        <v/>
      </c>
      <c r="S187" s="350">
        <f>H187*$D187*'E1 Fleet'!$D$100</f>
        <v/>
      </c>
      <c r="T187" s="350">
        <f>I187*$D187*'E1 Fleet'!$D$100</f>
        <v/>
      </c>
      <c r="U187" s="350">
        <f>J187*$D187*'E1 Fleet'!$D$100</f>
        <v/>
      </c>
      <c r="V187" s="350">
        <f>K187*$D187*'E1 Fleet'!$D$100</f>
        <v/>
      </c>
      <c r="W187" s="350">
        <f>L187*$D187*'E1 Fleet'!$D$100</f>
        <v/>
      </c>
      <c r="X187" s="350">
        <f>M187*$D187*'E1 Fleet'!$D$100</f>
        <v/>
      </c>
      <c r="Y187" s="350">
        <f>N187*$D187*'E1 Fleet'!$D$100</f>
        <v/>
      </c>
    </row>
    <row r="188">
      <c r="A188" t="inlineStr">
        <is>
          <t>Van</t>
        </is>
      </c>
      <c r="B188" s="456" t="n">
        <v>43</v>
      </c>
      <c r="C188" s="456" t="n">
        <v>3</v>
      </c>
      <c r="D188" s="348">
        <f>IF($B188=0,'E1 Fleet'!$D$93,1)*EXP(-'E1 Fleet'!$D$94*MAX($B188-6,0))</f>
        <v/>
      </c>
      <c r="E188" s="350">
        <f>IFERROR(INDEX('D Fleet'!$F$5:$F$63,MATCH(E$3-$B188,'D Fleet'!$B$5:$B$63,0)),0)*IFERROR(INDEX('D Fleet'!$K$5:$K$36,INT(($B188/E$5))+1)+(($B188/E$5)-INT(($B188/E$5)))*(INDEX('D Fleet'!$K$5:$K$36,INT(($B188/E$5))+2)-INDEX('D Fleet'!$K$5:$K$36,INT(($B188/E$5))+1)),0)</f>
        <v/>
      </c>
      <c r="F188" s="350">
        <f>IFERROR(INDEX('D Fleet'!$F$5:$F$63,MATCH(F$3-$B188,'D Fleet'!$B$5:$B$63,0)),0)*IFERROR(INDEX('D Fleet'!$K$5:$K$36,INT(($B188/F$5))+1)+(($B188/F$5)-INT(($B188/F$5)))*(INDEX('D Fleet'!$K$5:$K$36,INT(($B188/F$5))+2)-INDEX('D Fleet'!$K$5:$K$36,INT(($B188/F$5))+1)),0)</f>
        <v/>
      </c>
      <c r="G188" s="350">
        <f>IFERROR(INDEX('D Fleet'!$F$5:$F$63,MATCH(G$3-$B188,'D Fleet'!$B$5:$B$63,0)),0)*IFERROR(INDEX('D Fleet'!$K$5:$K$36,INT(($B188/G$5))+1)+(($B188/G$5)-INT(($B188/G$5)))*(INDEX('D Fleet'!$K$5:$K$36,INT(($B188/G$5))+2)-INDEX('D Fleet'!$K$5:$K$36,INT(($B188/G$5))+1)),0)</f>
        <v/>
      </c>
      <c r="H188" s="350">
        <f>IFERROR(INDEX('D Fleet'!$F$5:$F$63,MATCH(H$3-$B188,'D Fleet'!$B$5:$B$63,0)),0)*IFERROR(INDEX('D Fleet'!$K$5:$K$36,INT(($B188/H$5))+1)+(($B188/H$5)-INT(($B188/H$5)))*(INDEX('D Fleet'!$K$5:$K$36,INT(($B188/H$5))+2)-INDEX('D Fleet'!$K$5:$K$36,INT(($B188/H$5))+1)),0)</f>
        <v/>
      </c>
      <c r="I188" s="350">
        <f>IFERROR(INDEX('D Fleet'!$F$5:$F$63,MATCH(I$3-$B188,'D Fleet'!$B$5:$B$63,0)),0)*IFERROR(INDEX('D Fleet'!$K$5:$K$36,INT(($B188/I$5))+1)+(($B188/I$5)-INT(($B188/I$5)))*(INDEX('D Fleet'!$K$5:$K$36,INT(($B188/I$5))+2)-INDEX('D Fleet'!$K$5:$K$36,INT(($B188/I$5))+1)),0)</f>
        <v/>
      </c>
      <c r="J188" s="350">
        <f>IFERROR(INDEX('D Fleet'!$F$5:$F$63,MATCH(J$3-$B188,'D Fleet'!$B$5:$B$63,0)),0)*IFERROR(INDEX('D Fleet'!$K$5:$K$36,INT(($B188/J$5))+1)+(($B188/J$5)-INT(($B188/J$5)))*(INDEX('D Fleet'!$K$5:$K$36,INT(($B188/J$5))+2)-INDEX('D Fleet'!$K$5:$K$36,INT(($B188/J$5))+1)),0)</f>
        <v/>
      </c>
      <c r="K188" s="350">
        <f>IFERROR(INDEX('D Fleet'!$F$5:$F$63,MATCH(K$3-$B188,'D Fleet'!$B$5:$B$63,0)),0)*IFERROR(INDEX('D Fleet'!$K$5:$K$36,INT(($B188/K$5))+1)+(($B188/K$5)-INT(($B188/K$5)))*(INDEX('D Fleet'!$K$5:$K$36,INT(($B188/K$5))+2)-INDEX('D Fleet'!$K$5:$K$36,INT(($B188/K$5))+1)),0)</f>
        <v/>
      </c>
      <c r="L188" s="350">
        <f>IFERROR(INDEX('D Fleet'!$F$5:$F$63,MATCH(L$3-$B188,'D Fleet'!$B$5:$B$63,0)),0)*IFERROR(INDEX('D Fleet'!$K$5:$K$36,INT(($B188/L$5))+1)+(($B188/L$5)-INT(($B188/L$5)))*(INDEX('D Fleet'!$K$5:$K$36,INT(($B188/L$5))+2)-INDEX('D Fleet'!$K$5:$K$36,INT(($B188/L$5))+1)),0)</f>
        <v/>
      </c>
      <c r="M188" s="350">
        <f>IFERROR(INDEX('D Fleet'!$F$5:$F$63,MATCH(M$3-$B188,'D Fleet'!$B$5:$B$63,0)),0)*IFERROR(INDEX('D Fleet'!$K$5:$K$36,INT(($B188/M$5))+1)+(($B188/M$5)-INT(($B188/M$5)))*(INDEX('D Fleet'!$K$5:$K$36,INT(($B188/M$5))+2)-INDEX('D Fleet'!$K$5:$K$36,INT(($B188/M$5))+1)),0)</f>
        <v/>
      </c>
      <c r="N188" s="350">
        <f>IFERROR(INDEX('D Fleet'!$F$5:$F$63,MATCH(N$3-$B188,'D Fleet'!$B$5:$B$63,0)),0)*IFERROR(INDEX('D Fleet'!$K$5:$K$36,INT(($B188/N$5))+1)+(($B188/N$5)-INT(($B188/N$5)))*(INDEX('D Fleet'!$K$5:$K$36,INT(($B188/N$5))+2)-INDEX('D Fleet'!$K$5:$K$36,INT(($B188/N$5))+1)),0)</f>
        <v/>
      </c>
      <c r="P188" s="350">
        <f>E188*$D188*'E1 Fleet'!$D$100</f>
        <v/>
      </c>
      <c r="Q188" s="350">
        <f>F188*$D188*'E1 Fleet'!$D$100</f>
        <v/>
      </c>
      <c r="R188" s="350">
        <f>G188*$D188*'E1 Fleet'!$D$100</f>
        <v/>
      </c>
      <c r="S188" s="350">
        <f>H188*$D188*'E1 Fleet'!$D$100</f>
        <v/>
      </c>
      <c r="T188" s="350">
        <f>I188*$D188*'E1 Fleet'!$D$100</f>
        <v/>
      </c>
      <c r="U188" s="350">
        <f>J188*$D188*'E1 Fleet'!$D$100</f>
        <v/>
      </c>
      <c r="V188" s="350">
        <f>K188*$D188*'E1 Fleet'!$D$100</f>
        <v/>
      </c>
      <c r="W188" s="350">
        <f>L188*$D188*'E1 Fleet'!$D$100</f>
        <v/>
      </c>
      <c r="X188" s="350">
        <f>M188*$D188*'E1 Fleet'!$D$100</f>
        <v/>
      </c>
      <c r="Y188" s="350">
        <f>N188*$D188*'E1 Fleet'!$D$100</f>
        <v/>
      </c>
    </row>
    <row r="189">
      <c r="A189" t="inlineStr">
        <is>
          <t>Van</t>
        </is>
      </c>
      <c r="B189" s="456" t="n">
        <v>44</v>
      </c>
      <c r="C189" s="456" t="n">
        <v>3</v>
      </c>
      <c r="D189" s="348">
        <f>IF($B189=0,'E1 Fleet'!$D$93,1)*EXP(-'E1 Fleet'!$D$94*MAX($B189-6,0))</f>
        <v/>
      </c>
      <c r="E189" s="350">
        <f>IFERROR(INDEX('D Fleet'!$F$5:$F$63,MATCH(E$3-$B189,'D Fleet'!$B$5:$B$63,0)),0)*IFERROR(INDEX('D Fleet'!$K$5:$K$36,INT(($B189/E$5))+1)+(($B189/E$5)-INT(($B189/E$5)))*(INDEX('D Fleet'!$K$5:$K$36,INT(($B189/E$5))+2)-INDEX('D Fleet'!$K$5:$K$36,INT(($B189/E$5))+1)),0)</f>
        <v/>
      </c>
      <c r="F189" s="350">
        <f>IFERROR(INDEX('D Fleet'!$F$5:$F$63,MATCH(F$3-$B189,'D Fleet'!$B$5:$B$63,0)),0)*IFERROR(INDEX('D Fleet'!$K$5:$K$36,INT(($B189/F$5))+1)+(($B189/F$5)-INT(($B189/F$5)))*(INDEX('D Fleet'!$K$5:$K$36,INT(($B189/F$5))+2)-INDEX('D Fleet'!$K$5:$K$36,INT(($B189/F$5))+1)),0)</f>
        <v/>
      </c>
      <c r="G189" s="350">
        <f>IFERROR(INDEX('D Fleet'!$F$5:$F$63,MATCH(G$3-$B189,'D Fleet'!$B$5:$B$63,0)),0)*IFERROR(INDEX('D Fleet'!$K$5:$K$36,INT(($B189/G$5))+1)+(($B189/G$5)-INT(($B189/G$5)))*(INDEX('D Fleet'!$K$5:$K$36,INT(($B189/G$5))+2)-INDEX('D Fleet'!$K$5:$K$36,INT(($B189/G$5))+1)),0)</f>
        <v/>
      </c>
      <c r="H189" s="350">
        <f>IFERROR(INDEX('D Fleet'!$F$5:$F$63,MATCH(H$3-$B189,'D Fleet'!$B$5:$B$63,0)),0)*IFERROR(INDEX('D Fleet'!$K$5:$K$36,INT(($B189/H$5))+1)+(($B189/H$5)-INT(($B189/H$5)))*(INDEX('D Fleet'!$K$5:$K$36,INT(($B189/H$5))+2)-INDEX('D Fleet'!$K$5:$K$36,INT(($B189/H$5))+1)),0)</f>
        <v/>
      </c>
      <c r="I189" s="350">
        <f>IFERROR(INDEX('D Fleet'!$F$5:$F$63,MATCH(I$3-$B189,'D Fleet'!$B$5:$B$63,0)),0)*IFERROR(INDEX('D Fleet'!$K$5:$K$36,INT(($B189/I$5))+1)+(($B189/I$5)-INT(($B189/I$5)))*(INDEX('D Fleet'!$K$5:$K$36,INT(($B189/I$5))+2)-INDEX('D Fleet'!$K$5:$K$36,INT(($B189/I$5))+1)),0)</f>
        <v/>
      </c>
      <c r="J189" s="350">
        <f>IFERROR(INDEX('D Fleet'!$F$5:$F$63,MATCH(J$3-$B189,'D Fleet'!$B$5:$B$63,0)),0)*IFERROR(INDEX('D Fleet'!$K$5:$K$36,INT(($B189/J$5))+1)+(($B189/J$5)-INT(($B189/J$5)))*(INDEX('D Fleet'!$K$5:$K$36,INT(($B189/J$5))+2)-INDEX('D Fleet'!$K$5:$K$36,INT(($B189/J$5))+1)),0)</f>
        <v/>
      </c>
      <c r="K189" s="350">
        <f>IFERROR(INDEX('D Fleet'!$F$5:$F$63,MATCH(K$3-$B189,'D Fleet'!$B$5:$B$63,0)),0)*IFERROR(INDEX('D Fleet'!$K$5:$K$36,INT(($B189/K$5))+1)+(($B189/K$5)-INT(($B189/K$5)))*(INDEX('D Fleet'!$K$5:$K$36,INT(($B189/K$5))+2)-INDEX('D Fleet'!$K$5:$K$36,INT(($B189/K$5))+1)),0)</f>
        <v/>
      </c>
      <c r="L189" s="350">
        <f>IFERROR(INDEX('D Fleet'!$F$5:$F$63,MATCH(L$3-$B189,'D Fleet'!$B$5:$B$63,0)),0)*IFERROR(INDEX('D Fleet'!$K$5:$K$36,INT(($B189/L$5))+1)+(($B189/L$5)-INT(($B189/L$5)))*(INDEX('D Fleet'!$K$5:$K$36,INT(($B189/L$5))+2)-INDEX('D Fleet'!$K$5:$K$36,INT(($B189/L$5))+1)),0)</f>
        <v/>
      </c>
      <c r="M189" s="350">
        <f>IFERROR(INDEX('D Fleet'!$F$5:$F$63,MATCH(M$3-$B189,'D Fleet'!$B$5:$B$63,0)),0)*IFERROR(INDEX('D Fleet'!$K$5:$K$36,INT(($B189/M$5))+1)+(($B189/M$5)-INT(($B189/M$5)))*(INDEX('D Fleet'!$K$5:$K$36,INT(($B189/M$5))+2)-INDEX('D Fleet'!$K$5:$K$36,INT(($B189/M$5))+1)),0)</f>
        <v/>
      </c>
      <c r="N189" s="350">
        <f>IFERROR(INDEX('D Fleet'!$F$5:$F$63,MATCH(N$3-$B189,'D Fleet'!$B$5:$B$63,0)),0)*IFERROR(INDEX('D Fleet'!$K$5:$K$36,INT(($B189/N$5))+1)+(($B189/N$5)-INT(($B189/N$5)))*(INDEX('D Fleet'!$K$5:$K$36,INT(($B189/N$5))+2)-INDEX('D Fleet'!$K$5:$K$36,INT(($B189/N$5))+1)),0)</f>
        <v/>
      </c>
      <c r="P189" s="350">
        <f>E189*$D189*'E1 Fleet'!$D$100</f>
        <v/>
      </c>
      <c r="Q189" s="350">
        <f>F189*$D189*'E1 Fleet'!$D$100</f>
        <v/>
      </c>
      <c r="R189" s="350">
        <f>G189*$D189*'E1 Fleet'!$D$100</f>
        <v/>
      </c>
      <c r="S189" s="350">
        <f>H189*$D189*'E1 Fleet'!$D$100</f>
        <v/>
      </c>
      <c r="T189" s="350">
        <f>I189*$D189*'E1 Fleet'!$D$100</f>
        <v/>
      </c>
      <c r="U189" s="350">
        <f>J189*$D189*'E1 Fleet'!$D$100</f>
        <v/>
      </c>
      <c r="V189" s="350">
        <f>K189*$D189*'E1 Fleet'!$D$100</f>
        <v/>
      </c>
      <c r="W189" s="350">
        <f>L189*$D189*'E1 Fleet'!$D$100</f>
        <v/>
      </c>
      <c r="X189" s="350">
        <f>M189*$D189*'E1 Fleet'!$D$100</f>
        <v/>
      </c>
      <c r="Y189" s="350">
        <f>N189*$D189*'E1 Fleet'!$D$100</f>
        <v/>
      </c>
    </row>
    <row r="190">
      <c r="A190" t="inlineStr">
        <is>
          <t>Van</t>
        </is>
      </c>
      <c r="B190" s="456" t="n">
        <v>45</v>
      </c>
      <c r="C190" s="456" t="n">
        <v>3</v>
      </c>
      <c r="D190" s="348">
        <f>IF($B190=0,'E1 Fleet'!$D$93,1)*EXP(-'E1 Fleet'!$D$94*MAX($B190-6,0))</f>
        <v/>
      </c>
      <c r="E190" s="350">
        <f>IFERROR(INDEX('D Fleet'!$F$5:$F$63,MATCH(E$3-$B190,'D Fleet'!$B$5:$B$63,0)),0)*IFERROR(INDEX('D Fleet'!$K$5:$K$36,INT(($B190/E$5))+1)+(($B190/E$5)-INT(($B190/E$5)))*(INDEX('D Fleet'!$K$5:$K$36,INT(($B190/E$5))+2)-INDEX('D Fleet'!$K$5:$K$36,INT(($B190/E$5))+1)),0)</f>
        <v/>
      </c>
      <c r="F190" s="350">
        <f>IFERROR(INDEX('D Fleet'!$F$5:$F$63,MATCH(F$3-$B190,'D Fleet'!$B$5:$B$63,0)),0)*IFERROR(INDEX('D Fleet'!$K$5:$K$36,INT(($B190/F$5))+1)+(($B190/F$5)-INT(($B190/F$5)))*(INDEX('D Fleet'!$K$5:$K$36,INT(($B190/F$5))+2)-INDEX('D Fleet'!$K$5:$K$36,INT(($B190/F$5))+1)),0)</f>
        <v/>
      </c>
      <c r="G190" s="350">
        <f>IFERROR(INDEX('D Fleet'!$F$5:$F$63,MATCH(G$3-$B190,'D Fleet'!$B$5:$B$63,0)),0)*IFERROR(INDEX('D Fleet'!$K$5:$K$36,INT(($B190/G$5))+1)+(($B190/G$5)-INT(($B190/G$5)))*(INDEX('D Fleet'!$K$5:$K$36,INT(($B190/G$5))+2)-INDEX('D Fleet'!$K$5:$K$36,INT(($B190/G$5))+1)),0)</f>
        <v/>
      </c>
      <c r="H190" s="350">
        <f>IFERROR(INDEX('D Fleet'!$F$5:$F$63,MATCH(H$3-$B190,'D Fleet'!$B$5:$B$63,0)),0)*IFERROR(INDEX('D Fleet'!$K$5:$K$36,INT(($B190/H$5))+1)+(($B190/H$5)-INT(($B190/H$5)))*(INDEX('D Fleet'!$K$5:$K$36,INT(($B190/H$5))+2)-INDEX('D Fleet'!$K$5:$K$36,INT(($B190/H$5))+1)),0)</f>
        <v/>
      </c>
      <c r="I190" s="350">
        <f>IFERROR(INDEX('D Fleet'!$F$5:$F$63,MATCH(I$3-$B190,'D Fleet'!$B$5:$B$63,0)),0)*IFERROR(INDEX('D Fleet'!$K$5:$K$36,INT(($B190/I$5))+1)+(($B190/I$5)-INT(($B190/I$5)))*(INDEX('D Fleet'!$K$5:$K$36,INT(($B190/I$5))+2)-INDEX('D Fleet'!$K$5:$K$36,INT(($B190/I$5))+1)),0)</f>
        <v/>
      </c>
      <c r="J190" s="350">
        <f>IFERROR(INDEX('D Fleet'!$F$5:$F$63,MATCH(J$3-$B190,'D Fleet'!$B$5:$B$63,0)),0)*IFERROR(INDEX('D Fleet'!$K$5:$K$36,INT(($B190/J$5))+1)+(($B190/J$5)-INT(($B190/J$5)))*(INDEX('D Fleet'!$K$5:$K$36,INT(($B190/J$5))+2)-INDEX('D Fleet'!$K$5:$K$36,INT(($B190/J$5))+1)),0)</f>
        <v/>
      </c>
      <c r="K190" s="350">
        <f>IFERROR(INDEX('D Fleet'!$F$5:$F$63,MATCH(K$3-$B190,'D Fleet'!$B$5:$B$63,0)),0)*IFERROR(INDEX('D Fleet'!$K$5:$K$36,INT(($B190/K$5))+1)+(($B190/K$5)-INT(($B190/K$5)))*(INDEX('D Fleet'!$K$5:$K$36,INT(($B190/K$5))+2)-INDEX('D Fleet'!$K$5:$K$36,INT(($B190/K$5))+1)),0)</f>
        <v/>
      </c>
      <c r="L190" s="350">
        <f>IFERROR(INDEX('D Fleet'!$F$5:$F$63,MATCH(L$3-$B190,'D Fleet'!$B$5:$B$63,0)),0)*IFERROR(INDEX('D Fleet'!$K$5:$K$36,INT(($B190/L$5))+1)+(($B190/L$5)-INT(($B190/L$5)))*(INDEX('D Fleet'!$K$5:$K$36,INT(($B190/L$5))+2)-INDEX('D Fleet'!$K$5:$K$36,INT(($B190/L$5))+1)),0)</f>
        <v/>
      </c>
      <c r="M190" s="350">
        <f>IFERROR(INDEX('D Fleet'!$F$5:$F$63,MATCH(M$3-$B190,'D Fleet'!$B$5:$B$63,0)),0)*IFERROR(INDEX('D Fleet'!$K$5:$K$36,INT(($B190/M$5))+1)+(($B190/M$5)-INT(($B190/M$5)))*(INDEX('D Fleet'!$K$5:$K$36,INT(($B190/M$5))+2)-INDEX('D Fleet'!$K$5:$K$36,INT(($B190/M$5))+1)),0)</f>
        <v/>
      </c>
      <c r="N190" s="350">
        <f>IFERROR(INDEX('D Fleet'!$F$5:$F$63,MATCH(N$3-$B190,'D Fleet'!$B$5:$B$63,0)),0)*IFERROR(INDEX('D Fleet'!$K$5:$K$36,INT(($B190/N$5))+1)+(($B190/N$5)-INT(($B190/N$5)))*(INDEX('D Fleet'!$K$5:$K$36,INT(($B190/N$5))+2)-INDEX('D Fleet'!$K$5:$K$36,INT(($B190/N$5))+1)),0)</f>
        <v/>
      </c>
      <c r="P190" s="350">
        <f>E190*$D190*'E1 Fleet'!$D$100</f>
        <v/>
      </c>
      <c r="Q190" s="350">
        <f>F190*$D190*'E1 Fleet'!$D$100</f>
        <v/>
      </c>
      <c r="R190" s="350">
        <f>G190*$D190*'E1 Fleet'!$D$100</f>
        <v/>
      </c>
      <c r="S190" s="350">
        <f>H190*$D190*'E1 Fleet'!$D$100</f>
        <v/>
      </c>
      <c r="T190" s="350">
        <f>I190*$D190*'E1 Fleet'!$D$100</f>
        <v/>
      </c>
      <c r="U190" s="350">
        <f>J190*$D190*'E1 Fleet'!$D$100</f>
        <v/>
      </c>
      <c r="V190" s="350">
        <f>K190*$D190*'E1 Fleet'!$D$100</f>
        <v/>
      </c>
      <c r="W190" s="350">
        <f>L190*$D190*'E1 Fleet'!$D$100</f>
        <v/>
      </c>
      <c r="X190" s="350">
        <f>M190*$D190*'E1 Fleet'!$D$100</f>
        <v/>
      </c>
      <c r="Y190" s="350">
        <f>N190*$D190*'E1 Fleet'!$D$100</f>
        <v/>
      </c>
    </row>
  </sheetData>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99" t="n">
        <v>0</v>
      </c>
      <c r="E7" s="399" t="n">
        <v>0</v>
      </c>
      <c r="F7" s="399" t="n">
        <v>0</v>
      </c>
      <c r="G7" s="399" t="n">
        <v>0</v>
      </c>
      <c r="H7" s="399" t="n">
        <v>0</v>
      </c>
      <c r="I7" s="399" t="n">
        <v>0</v>
      </c>
      <c r="J7" s="399" t="n">
        <v>0</v>
      </c>
      <c r="K7" s="399" t="n">
        <v>0</v>
      </c>
      <c r="L7" s="399" t="n">
        <v>0</v>
      </c>
      <c r="M7" s="399" t="n">
        <v>0</v>
      </c>
      <c r="N7" s="399" t="n">
        <v>0</v>
      </c>
      <c r="O7" s="399" t="n">
        <v>0</v>
      </c>
    </row>
    <row r="8">
      <c r="B8" s="381" t="inlineStr">
        <is>
          <t xml:space="preserve">   weight on CY2024 year-end fleet</t>
        </is>
      </c>
      <c r="C8" s="364" t="inlineStr">
        <is>
          <t>share</t>
        </is>
      </c>
      <c r="D8" s="399" t="n">
        <v>0.291667</v>
      </c>
      <c r="E8" s="399" t="n">
        <v>0.055556</v>
      </c>
      <c r="F8" s="399" t="n">
        <v>0</v>
      </c>
      <c r="G8" s="399" t="n">
        <v>0</v>
      </c>
      <c r="H8" s="399" t="n">
        <v>0</v>
      </c>
      <c r="I8" s="399" t="n">
        <v>0</v>
      </c>
      <c r="J8" s="399" t="n">
        <v>0</v>
      </c>
      <c r="K8" s="399" t="n">
        <v>0</v>
      </c>
      <c r="L8" s="399" t="n">
        <v>0</v>
      </c>
      <c r="M8" s="399" t="n">
        <v>0</v>
      </c>
      <c r="N8" s="399" t="n">
        <v>0</v>
      </c>
      <c r="O8" s="399" t="n">
        <v>0</v>
      </c>
    </row>
    <row r="9">
      <c r="B9" s="381" t="inlineStr">
        <is>
          <t xml:space="preserve">   weight on CY2025 year-end fleet</t>
        </is>
      </c>
      <c r="C9" s="364" t="inlineStr">
        <is>
          <t>share</t>
        </is>
      </c>
      <c r="D9" s="399" t="n">
        <v>0.708333</v>
      </c>
      <c r="E9" s="399" t="n">
        <v>0.930556</v>
      </c>
      <c r="F9" s="399" t="n">
        <v>0.791667</v>
      </c>
      <c r="G9" s="399" t="n">
        <v>0.541667</v>
      </c>
      <c r="H9" s="399" t="n">
        <v>0.291667</v>
      </c>
      <c r="I9" s="399" t="n">
        <v>0.055556</v>
      </c>
      <c r="J9" s="399" t="n">
        <v>0</v>
      </c>
      <c r="K9" s="399" t="n">
        <v>0</v>
      </c>
      <c r="L9" s="399" t="n">
        <v>0</v>
      </c>
      <c r="M9" s="399" t="n">
        <v>0</v>
      </c>
      <c r="N9" s="399" t="n">
        <v>0</v>
      </c>
      <c r="O9" s="399" t="n">
        <v>0</v>
      </c>
    </row>
    <row r="10">
      <c r="B10" s="381" t="inlineStr">
        <is>
          <t xml:space="preserve">   weight on CY2026 year-end fleet</t>
        </is>
      </c>
      <c r="C10" s="364" t="inlineStr">
        <is>
          <t>share</t>
        </is>
      </c>
      <c r="D10" s="399" t="n">
        <v>0</v>
      </c>
      <c r="E10" s="399" t="n">
        <v>0.013889</v>
      </c>
      <c r="F10" s="399" t="n">
        <v>0.208333</v>
      </c>
      <c r="G10" s="399" t="n">
        <v>0.458333</v>
      </c>
      <c r="H10" s="399" t="n">
        <v>0.708333</v>
      </c>
      <c r="I10" s="399" t="n">
        <v>0.930556</v>
      </c>
      <c r="J10" s="399" t="n">
        <v>0.791667</v>
      </c>
      <c r="K10" s="399" t="n">
        <v>0.541667</v>
      </c>
      <c r="L10" s="399" t="n">
        <v>0.291667</v>
      </c>
      <c r="M10" s="399" t="n">
        <v>0.055556</v>
      </c>
      <c r="N10" s="399" t="n">
        <v>0</v>
      </c>
      <c r="O10" s="399" t="n">
        <v>0</v>
      </c>
    </row>
    <row r="11">
      <c r="B11" s="381" t="inlineStr">
        <is>
          <t xml:space="preserve">   weight on CY2027 year-end fleet</t>
        </is>
      </c>
      <c r="C11" s="364" t="inlineStr">
        <is>
          <t>share</t>
        </is>
      </c>
      <c r="D11" s="399" t="n">
        <v>0</v>
      </c>
      <c r="E11" s="399" t="n">
        <v>0</v>
      </c>
      <c r="F11" s="399" t="n">
        <v>0</v>
      </c>
      <c r="G11" s="399" t="n">
        <v>0</v>
      </c>
      <c r="H11" s="399" t="n">
        <v>0</v>
      </c>
      <c r="I11" s="399" t="n">
        <v>0.013889</v>
      </c>
      <c r="J11" s="399" t="n">
        <v>0.208333</v>
      </c>
      <c r="K11" s="399" t="n">
        <v>0.458333</v>
      </c>
      <c r="L11" s="399" t="n">
        <v>0.708333</v>
      </c>
      <c r="M11" s="399" t="n">
        <v>0.930556</v>
      </c>
      <c r="N11" s="399" t="n">
        <v>0.791667</v>
      </c>
      <c r="O11" s="399" t="n">
        <v>0.541667</v>
      </c>
    </row>
    <row r="12">
      <c r="B12" s="381" t="inlineStr">
        <is>
          <t xml:space="preserve">   weight on CY2028 year-end fleet</t>
        </is>
      </c>
      <c r="C12" s="364" t="inlineStr">
        <is>
          <t>share</t>
        </is>
      </c>
      <c r="D12" s="399" t="n">
        <v>0</v>
      </c>
      <c r="E12" s="399" t="n">
        <v>0</v>
      </c>
      <c r="F12" s="399" t="n">
        <v>0</v>
      </c>
      <c r="G12" s="399" t="n">
        <v>0</v>
      </c>
      <c r="H12" s="399" t="n">
        <v>0</v>
      </c>
      <c r="I12" s="399" t="n">
        <v>0</v>
      </c>
      <c r="J12" s="399" t="n">
        <v>0</v>
      </c>
      <c r="K12" s="399" t="n">
        <v>0</v>
      </c>
      <c r="L12" s="399" t="n">
        <v>0</v>
      </c>
      <c r="M12" s="399" t="n">
        <v>0.013889</v>
      </c>
      <c r="N12" s="399" t="n">
        <v>0.208333</v>
      </c>
      <c r="O12" s="399"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46">
        <f>SUMIFS('D Engine'!$F$129:$F$144,'D Engine'!$B$129:$B$144,"Car",'D Engine'!$C$129:$C$144,0)</f>
        <v/>
      </c>
      <c r="E36" s="346">
        <f>SUMIFS('D Engine'!$F$129:$F$144,'D Engine'!$B$129:$B$144,"Car",'D Engine'!$C$129:$C$144,0)</f>
        <v/>
      </c>
      <c r="F36" s="346">
        <f>SUMIFS('D Engine'!$F$129:$F$144,'D Engine'!$B$129:$B$144,"Car",'D Engine'!$C$129:$C$144,0)</f>
        <v/>
      </c>
      <c r="G36" s="346">
        <f>SUMIFS('D Engine'!$F$129:$F$144,'D Engine'!$B$129:$B$144,"Car",'D Engine'!$C$129:$C$144,0)</f>
        <v/>
      </c>
      <c r="H36" s="346">
        <f>SUMIFS('D Engine'!$F$129:$F$144,'D Engine'!$B$129:$B$144,"Car",'D Engine'!$C$129:$C$144,0)</f>
        <v/>
      </c>
      <c r="I36" s="346">
        <f>SUMIFS('D Engine'!$F$129:$F$144,'D Engine'!$B$129:$B$144,"Car",'D Engine'!$C$129:$C$144,0)</f>
        <v/>
      </c>
      <c r="J36" s="346">
        <f>SUMIFS('D Engine'!$F$129:$F$144,'D Engine'!$B$129:$B$144,"Car",'D Engine'!$C$129:$C$144,0)</f>
        <v/>
      </c>
      <c r="K36" s="346">
        <f>SUMIFS('D Engine'!$F$129:$F$144,'D Engine'!$B$129:$B$144,"Car",'D Engine'!$C$129:$C$144,0)</f>
        <v/>
      </c>
      <c r="L36" s="346">
        <f>SUMIFS('D Engine'!$F$129:$F$144,'D Engine'!$B$129:$B$144,"Car",'D Engine'!$C$129:$C$144,0)</f>
        <v/>
      </c>
      <c r="M36" s="346">
        <f>SUMIFS('D Engine'!$F$129:$F$144,'D Engine'!$B$129:$B$144,"Car",'D Engine'!$C$129:$C$144,0)</f>
        <v/>
      </c>
      <c r="N36" s="346">
        <f>SUMIFS('D Engine'!$F$129:$F$144,'D Engine'!$B$129:$B$144,"Car",'D Engine'!$C$129:$C$144,0)</f>
        <v/>
      </c>
      <c r="O36" s="346">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46">
        <f>SUMIFS('D Engine'!$F$129:$F$144,'D Engine'!$B$129:$B$144,"Car",'D Engine'!$C$129:$C$144,1)</f>
        <v/>
      </c>
      <c r="E37" s="346">
        <f>SUMIFS('D Engine'!$F$129:$F$144,'D Engine'!$B$129:$B$144,"Car",'D Engine'!$C$129:$C$144,1)</f>
        <v/>
      </c>
      <c r="F37" s="346">
        <f>SUMIFS('D Engine'!$F$129:$F$144,'D Engine'!$B$129:$B$144,"Car",'D Engine'!$C$129:$C$144,1)</f>
        <v/>
      </c>
      <c r="G37" s="346">
        <f>SUMIFS('D Engine'!$F$129:$F$144,'D Engine'!$B$129:$B$144,"Car",'D Engine'!$C$129:$C$144,1)</f>
        <v/>
      </c>
      <c r="H37" s="346">
        <f>SUMIFS('D Engine'!$F$129:$F$144,'D Engine'!$B$129:$B$144,"Car",'D Engine'!$C$129:$C$144,1)</f>
        <v/>
      </c>
      <c r="I37" s="346">
        <f>SUMIFS('D Engine'!$F$129:$F$144,'D Engine'!$B$129:$B$144,"Car",'D Engine'!$C$129:$C$144,1)</f>
        <v/>
      </c>
      <c r="J37" s="346">
        <f>SUMIFS('D Engine'!$F$129:$F$144,'D Engine'!$B$129:$B$144,"Car",'D Engine'!$C$129:$C$144,1)</f>
        <v/>
      </c>
      <c r="K37" s="346">
        <f>SUMIFS('D Engine'!$F$129:$F$144,'D Engine'!$B$129:$B$144,"Car",'D Engine'!$C$129:$C$144,1)</f>
        <v/>
      </c>
      <c r="L37" s="346">
        <f>SUMIFS('D Engine'!$F$129:$F$144,'D Engine'!$B$129:$B$144,"Car",'D Engine'!$C$129:$C$144,1)</f>
        <v/>
      </c>
      <c r="M37" s="346">
        <f>SUMIFS('D Engine'!$F$129:$F$144,'D Engine'!$B$129:$B$144,"Car",'D Engine'!$C$129:$C$144,1)</f>
        <v/>
      </c>
      <c r="N37" s="346">
        <f>SUMIFS('D Engine'!$F$129:$F$144,'D Engine'!$B$129:$B$144,"Car",'D Engine'!$C$129:$C$144,1)</f>
        <v/>
      </c>
      <c r="O37" s="346">
        <f>SUMIFS('D Engine'!$F$129:$F$144,'D Engine'!$B$129:$B$144,"Car",'D Engine'!$C$129:$C$144,1)</f>
        <v/>
      </c>
    </row>
    <row r="38">
      <c r="B38" s="381" t="inlineStr">
        <is>
          <t>Car — 4–6 years</t>
        </is>
      </c>
      <c r="C38" s="364" t="inlineStr">
        <is>
          <t>%</t>
        </is>
      </c>
      <c r="D38" s="346">
        <f>SUMIFS('D Engine'!$F$129:$F$144,'D Engine'!$B$129:$B$144,"Car",'D Engine'!$C$129:$C$144,2)</f>
        <v/>
      </c>
      <c r="E38" s="346">
        <f>SUMIFS('D Engine'!$F$129:$F$144,'D Engine'!$B$129:$B$144,"Car",'D Engine'!$C$129:$C$144,2)</f>
        <v/>
      </c>
      <c r="F38" s="346">
        <f>SUMIFS('D Engine'!$F$129:$F$144,'D Engine'!$B$129:$B$144,"Car",'D Engine'!$C$129:$C$144,2)</f>
        <v/>
      </c>
      <c r="G38" s="346">
        <f>SUMIFS('D Engine'!$F$129:$F$144,'D Engine'!$B$129:$B$144,"Car",'D Engine'!$C$129:$C$144,2)</f>
        <v/>
      </c>
      <c r="H38" s="346">
        <f>SUMIFS('D Engine'!$F$129:$F$144,'D Engine'!$B$129:$B$144,"Car",'D Engine'!$C$129:$C$144,2)</f>
        <v/>
      </c>
      <c r="I38" s="346">
        <f>SUMIFS('D Engine'!$F$129:$F$144,'D Engine'!$B$129:$B$144,"Car",'D Engine'!$C$129:$C$144,2)</f>
        <v/>
      </c>
      <c r="J38" s="346">
        <f>SUMIFS('D Engine'!$F$129:$F$144,'D Engine'!$B$129:$B$144,"Car",'D Engine'!$C$129:$C$144,2)</f>
        <v/>
      </c>
      <c r="K38" s="346">
        <f>SUMIFS('D Engine'!$F$129:$F$144,'D Engine'!$B$129:$B$144,"Car",'D Engine'!$C$129:$C$144,2)</f>
        <v/>
      </c>
      <c r="L38" s="346">
        <f>SUMIFS('D Engine'!$F$129:$F$144,'D Engine'!$B$129:$B$144,"Car",'D Engine'!$C$129:$C$144,2)</f>
        <v/>
      </c>
      <c r="M38" s="346">
        <f>SUMIFS('D Engine'!$F$129:$F$144,'D Engine'!$B$129:$B$144,"Car",'D Engine'!$C$129:$C$144,2)</f>
        <v/>
      </c>
      <c r="N38" s="346">
        <f>SUMIFS('D Engine'!$F$129:$F$144,'D Engine'!$B$129:$B$144,"Car",'D Engine'!$C$129:$C$144,2)</f>
        <v/>
      </c>
      <c r="O38" s="346">
        <f>SUMIFS('D Engine'!$F$129:$F$144,'D Engine'!$B$129:$B$144,"Car",'D Engine'!$C$129:$C$144,2)</f>
        <v/>
      </c>
    </row>
    <row r="39">
      <c r="B39" s="381" t="inlineStr">
        <is>
          <t>Car — 7+ years</t>
        </is>
      </c>
      <c r="C39" s="364" t="inlineStr">
        <is>
          <t>%</t>
        </is>
      </c>
      <c r="D39" s="346">
        <f>SUMIFS('D Engine'!$F$129:$F$144,'D Engine'!$B$129:$B$144,"Car",'D Engine'!$C$129:$C$144,3)</f>
        <v/>
      </c>
      <c r="E39" s="346">
        <f>SUMIFS('D Engine'!$F$129:$F$144,'D Engine'!$B$129:$B$144,"Car",'D Engine'!$C$129:$C$144,3)</f>
        <v/>
      </c>
      <c r="F39" s="346">
        <f>SUMIFS('D Engine'!$F$129:$F$144,'D Engine'!$B$129:$B$144,"Car",'D Engine'!$C$129:$C$144,3)</f>
        <v/>
      </c>
      <c r="G39" s="346">
        <f>SUMIFS('D Engine'!$F$129:$F$144,'D Engine'!$B$129:$B$144,"Car",'D Engine'!$C$129:$C$144,3)</f>
        <v/>
      </c>
      <c r="H39" s="346">
        <f>SUMIFS('D Engine'!$F$129:$F$144,'D Engine'!$B$129:$B$144,"Car",'D Engine'!$C$129:$C$144,3)</f>
        <v/>
      </c>
      <c r="I39" s="346">
        <f>SUMIFS('D Engine'!$F$129:$F$144,'D Engine'!$B$129:$B$144,"Car",'D Engine'!$C$129:$C$144,3)</f>
        <v/>
      </c>
      <c r="J39" s="346">
        <f>SUMIFS('D Engine'!$F$129:$F$144,'D Engine'!$B$129:$B$144,"Car",'D Engine'!$C$129:$C$144,3)</f>
        <v/>
      </c>
      <c r="K39" s="346">
        <f>SUMIFS('D Engine'!$F$129:$F$144,'D Engine'!$B$129:$B$144,"Car",'D Engine'!$C$129:$C$144,3)</f>
        <v/>
      </c>
      <c r="L39" s="346">
        <f>SUMIFS('D Engine'!$F$129:$F$144,'D Engine'!$B$129:$B$144,"Car",'D Engine'!$C$129:$C$144,3)</f>
        <v/>
      </c>
      <c r="M39" s="346">
        <f>SUMIFS('D Engine'!$F$129:$F$144,'D Engine'!$B$129:$B$144,"Car",'D Engine'!$C$129:$C$144,3)</f>
        <v/>
      </c>
      <c r="N39" s="346">
        <f>SUMIFS('D Engine'!$F$129:$F$144,'D Engine'!$B$129:$B$144,"Car",'D Engine'!$C$129:$C$144,3)</f>
        <v/>
      </c>
      <c r="O39" s="346">
        <f>SUMIFS('D Engine'!$F$129:$F$144,'D Engine'!$B$129:$B$144,"Car",'D Engine'!$C$129:$C$144,3)</f>
        <v/>
      </c>
    </row>
    <row r="40">
      <c r="B40" s="339" t="inlineStr">
        <is>
          <t>Utility vehicle (SUV) — 0 (current or newer)</t>
        </is>
      </c>
      <c r="C40" s="364" t="inlineStr">
        <is>
          <t>%</t>
        </is>
      </c>
      <c r="D40" s="346">
        <f>SUMIFS('D Engine'!$F$129:$F$144,'D Engine'!$B$129:$B$144,"Utility Vehicle",'D Engine'!$C$129:$C$144,0)</f>
        <v/>
      </c>
      <c r="E40" s="346">
        <f>SUMIFS('D Engine'!$F$129:$F$144,'D Engine'!$B$129:$B$144,"Utility Vehicle",'D Engine'!$C$129:$C$144,0)</f>
        <v/>
      </c>
      <c r="F40" s="346">
        <f>SUMIFS('D Engine'!$F$129:$F$144,'D Engine'!$B$129:$B$144,"Utility Vehicle",'D Engine'!$C$129:$C$144,0)</f>
        <v/>
      </c>
      <c r="G40" s="346">
        <f>SUMIFS('D Engine'!$F$129:$F$144,'D Engine'!$B$129:$B$144,"Utility Vehicle",'D Engine'!$C$129:$C$144,0)</f>
        <v/>
      </c>
      <c r="H40" s="346">
        <f>SUMIFS('D Engine'!$F$129:$F$144,'D Engine'!$B$129:$B$144,"Utility Vehicle",'D Engine'!$C$129:$C$144,0)</f>
        <v/>
      </c>
      <c r="I40" s="346">
        <f>SUMIFS('D Engine'!$F$129:$F$144,'D Engine'!$B$129:$B$144,"Utility Vehicle",'D Engine'!$C$129:$C$144,0)</f>
        <v/>
      </c>
      <c r="J40" s="346">
        <f>SUMIFS('D Engine'!$F$129:$F$144,'D Engine'!$B$129:$B$144,"Utility Vehicle",'D Engine'!$C$129:$C$144,0)</f>
        <v/>
      </c>
      <c r="K40" s="346">
        <f>SUMIFS('D Engine'!$F$129:$F$144,'D Engine'!$B$129:$B$144,"Utility Vehicle",'D Engine'!$C$129:$C$144,0)</f>
        <v/>
      </c>
      <c r="L40" s="346">
        <f>SUMIFS('D Engine'!$F$129:$F$144,'D Engine'!$B$129:$B$144,"Utility Vehicle",'D Engine'!$C$129:$C$144,0)</f>
        <v/>
      </c>
      <c r="M40" s="346">
        <f>SUMIFS('D Engine'!$F$129:$F$144,'D Engine'!$B$129:$B$144,"Utility Vehicle",'D Engine'!$C$129:$C$144,0)</f>
        <v/>
      </c>
      <c r="N40" s="346">
        <f>SUMIFS('D Engine'!$F$129:$F$144,'D Engine'!$B$129:$B$144,"Utility Vehicle",'D Engine'!$C$129:$C$144,0)</f>
        <v/>
      </c>
      <c r="O40" s="346">
        <f>SUMIFS('D Engine'!$F$129:$F$144,'D Engine'!$B$129:$B$144,"Utility Vehicle",'D Engine'!$C$129:$C$144,0)</f>
        <v/>
      </c>
    </row>
    <row r="41">
      <c r="B41" s="381" t="inlineStr">
        <is>
          <t>Utility vehicle (SUV) — 1–3 years</t>
        </is>
      </c>
      <c r="C41" s="364" t="inlineStr">
        <is>
          <t>%</t>
        </is>
      </c>
      <c r="D41" s="346">
        <f>SUMIFS('D Engine'!$F$129:$F$144,'D Engine'!$B$129:$B$144,"Utility Vehicle",'D Engine'!$C$129:$C$144,1)</f>
        <v/>
      </c>
      <c r="E41" s="346">
        <f>SUMIFS('D Engine'!$F$129:$F$144,'D Engine'!$B$129:$B$144,"Utility Vehicle",'D Engine'!$C$129:$C$144,1)</f>
        <v/>
      </c>
      <c r="F41" s="346">
        <f>SUMIFS('D Engine'!$F$129:$F$144,'D Engine'!$B$129:$B$144,"Utility Vehicle",'D Engine'!$C$129:$C$144,1)</f>
        <v/>
      </c>
      <c r="G41" s="346">
        <f>SUMIFS('D Engine'!$F$129:$F$144,'D Engine'!$B$129:$B$144,"Utility Vehicle",'D Engine'!$C$129:$C$144,1)</f>
        <v/>
      </c>
      <c r="H41" s="346">
        <f>SUMIFS('D Engine'!$F$129:$F$144,'D Engine'!$B$129:$B$144,"Utility Vehicle",'D Engine'!$C$129:$C$144,1)</f>
        <v/>
      </c>
      <c r="I41" s="346">
        <f>SUMIFS('D Engine'!$F$129:$F$144,'D Engine'!$B$129:$B$144,"Utility Vehicle",'D Engine'!$C$129:$C$144,1)</f>
        <v/>
      </c>
      <c r="J41" s="346">
        <f>SUMIFS('D Engine'!$F$129:$F$144,'D Engine'!$B$129:$B$144,"Utility Vehicle",'D Engine'!$C$129:$C$144,1)</f>
        <v/>
      </c>
      <c r="K41" s="346">
        <f>SUMIFS('D Engine'!$F$129:$F$144,'D Engine'!$B$129:$B$144,"Utility Vehicle",'D Engine'!$C$129:$C$144,1)</f>
        <v/>
      </c>
      <c r="L41" s="346">
        <f>SUMIFS('D Engine'!$F$129:$F$144,'D Engine'!$B$129:$B$144,"Utility Vehicle",'D Engine'!$C$129:$C$144,1)</f>
        <v/>
      </c>
      <c r="M41" s="346">
        <f>SUMIFS('D Engine'!$F$129:$F$144,'D Engine'!$B$129:$B$144,"Utility Vehicle",'D Engine'!$C$129:$C$144,1)</f>
        <v/>
      </c>
      <c r="N41" s="346">
        <f>SUMIFS('D Engine'!$F$129:$F$144,'D Engine'!$B$129:$B$144,"Utility Vehicle",'D Engine'!$C$129:$C$144,1)</f>
        <v/>
      </c>
      <c r="O41" s="346">
        <f>SUMIFS('D Engine'!$F$129:$F$144,'D Engine'!$B$129:$B$144,"Utility Vehicle",'D Engine'!$C$129:$C$144,1)</f>
        <v/>
      </c>
    </row>
    <row r="42">
      <c r="B42" s="381" t="inlineStr">
        <is>
          <t>Utility vehicle (SUV) — 4–6 years</t>
        </is>
      </c>
      <c r="C42" s="364" t="inlineStr">
        <is>
          <t>%</t>
        </is>
      </c>
      <c r="D42" s="346">
        <f>SUMIFS('D Engine'!$F$129:$F$144,'D Engine'!$B$129:$B$144,"Utility Vehicle",'D Engine'!$C$129:$C$144,2)</f>
        <v/>
      </c>
      <c r="E42" s="346">
        <f>SUMIFS('D Engine'!$F$129:$F$144,'D Engine'!$B$129:$B$144,"Utility Vehicle",'D Engine'!$C$129:$C$144,2)</f>
        <v/>
      </c>
      <c r="F42" s="346">
        <f>SUMIFS('D Engine'!$F$129:$F$144,'D Engine'!$B$129:$B$144,"Utility Vehicle",'D Engine'!$C$129:$C$144,2)</f>
        <v/>
      </c>
      <c r="G42" s="346">
        <f>SUMIFS('D Engine'!$F$129:$F$144,'D Engine'!$B$129:$B$144,"Utility Vehicle",'D Engine'!$C$129:$C$144,2)</f>
        <v/>
      </c>
      <c r="H42" s="346">
        <f>SUMIFS('D Engine'!$F$129:$F$144,'D Engine'!$B$129:$B$144,"Utility Vehicle",'D Engine'!$C$129:$C$144,2)</f>
        <v/>
      </c>
      <c r="I42" s="346">
        <f>SUMIFS('D Engine'!$F$129:$F$144,'D Engine'!$B$129:$B$144,"Utility Vehicle",'D Engine'!$C$129:$C$144,2)</f>
        <v/>
      </c>
      <c r="J42" s="346">
        <f>SUMIFS('D Engine'!$F$129:$F$144,'D Engine'!$B$129:$B$144,"Utility Vehicle",'D Engine'!$C$129:$C$144,2)</f>
        <v/>
      </c>
      <c r="K42" s="346">
        <f>SUMIFS('D Engine'!$F$129:$F$144,'D Engine'!$B$129:$B$144,"Utility Vehicle",'D Engine'!$C$129:$C$144,2)</f>
        <v/>
      </c>
      <c r="L42" s="346">
        <f>SUMIFS('D Engine'!$F$129:$F$144,'D Engine'!$B$129:$B$144,"Utility Vehicle",'D Engine'!$C$129:$C$144,2)</f>
        <v/>
      </c>
      <c r="M42" s="346">
        <f>SUMIFS('D Engine'!$F$129:$F$144,'D Engine'!$B$129:$B$144,"Utility Vehicle",'D Engine'!$C$129:$C$144,2)</f>
        <v/>
      </c>
      <c r="N42" s="346">
        <f>SUMIFS('D Engine'!$F$129:$F$144,'D Engine'!$B$129:$B$144,"Utility Vehicle",'D Engine'!$C$129:$C$144,2)</f>
        <v/>
      </c>
      <c r="O42" s="346">
        <f>SUMIFS('D Engine'!$F$129:$F$144,'D Engine'!$B$129:$B$144,"Utility Vehicle",'D Engine'!$C$129:$C$144,2)</f>
        <v/>
      </c>
    </row>
    <row r="43">
      <c r="B43" s="381" t="inlineStr">
        <is>
          <t>Utility vehicle (SUV) — 7+ years</t>
        </is>
      </c>
      <c r="C43" s="364" t="inlineStr">
        <is>
          <t>%</t>
        </is>
      </c>
      <c r="D43" s="346">
        <f>SUMIFS('D Engine'!$F$129:$F$144,'D Engine'!$B$129:$B$144,"Utility Vehicle",'D Engine'!$C$129:$C$144,3)</f>
        <v/>
      </c>
      <c r="E43" s="346">
        <f>SUMIFS('D Engine'!$F$129:$F$144,'D Engine'!$B$129:$B$144,"Utility Vehicle",'D Engine'!$C$129:$C$144,3)</f>
        <v/>
      </c>
      <c r="F43" s="346">
        <f>SUMIFS('D Engine'!$F$129:$F$144,'D Engine'!$B$129:$B$144,"Utility Vehicle",'D Engine'!$C$129:$C$144,3)</f>
        <v/>
      </c>
      <c r="G43" s="346">
        <f>SUMIFS('D Engine'!$F$129:$F$144,'D Engine'!$B$129:$B$144,"Utility Vehicle",'D Engine'!$C$129:$C$144,3)</f>
        <v/>
      </c>
      <c r="H43" s="346">
        <f>SUMIFS('D Engine'!$F$129:$F$144,'D Engine'!$B$129:$B$144,"Utility Vehicle",'D Engine'!$C$129:$C$144,3)</f>
        <v/>
      </c>
      <c r="I43" s="346">
        <f>SUMIFS('D Engine'!$F$129:$F$144,'D Engine'!$B$129:$B$144,"Utility Vehicle",'D Engine'!$C$129:$C$144,3)</f>
        <v/>
      </c>
      <c r="J43" s="346">
        <f>SUMIFS('D Engine'!$F$129:$F$144,'D Engine'!$B$129:$B$144,"Utility Vehicle",'D Engine'!$C$129:$C$144,3)</f>
        <v/>
      </c>
      <c r="K43" s="346">
        <f>SUMIFS('D Engine'!$F$129:$F$144,'D Engine'!$B$129:$B$144,"Utility Vehicle",'D Engine'!$C$129:$C$144,3)</f>
        <v/>
      </c>
      <c r="L43" s="346">
        <f>SUMIFS('D Engine'!$F$129:$F$144,'D Engine'!$B$129:$B$144,"Utility Vehicle",'D Engine'!$C$129:$C$144,3)</f>
        <v/>
      </c>
      <c r="M43" s="346">
        <f>SUMIFS('D Engine'!$F$129:$F$144,'D Engine'!$B$129:$B$144,"Utility Vehicle",'D Engine'!$C$129:$C$144,3)</f>
        <v/>
      </c>
      <c r="N43" s="346">
        <f>SUMIFS('D Engine'!$F$129:$F$144,'D Engine'!$B$129:$B$144,"Utility Vehicle",'D Engine'!$C$129:$C$144,3)</f>
        <v/>
      </c>
      <c r="O43" s="346">
        <f>SUMIFS('D Engine'!$F$129:$F$144,'D Engine'!$B$129:$B$144,"Utility Vehicle",'D Engine'!$C$129:$C$144,3)</f>
        <v/>
      </c>
    </row>
    <row r="44">
      <c r="B44" s="339" t="inlineStr">
        <is>
          <t>Pickup — 0 (current or newer)</t>
        </is>
      </c>
      <c r="C44" s="364" t="inlineStr">
        <is>
          <t>%</t>
        </is>
      </c>
      <c r="D44" s="346">
        <f>SUMIFS('D Engine'!$F$129:$F$144,'D Engine'!$B$129:$B$144,"Pickup",'D Engine'!$C$129:$C$144,0)</f>
        <v/>
      </c>
      <c r="E44" s="346">
        <f>SUMIFS('D Engine'!$F$129:$F$144,'D Engine'!$B$129:$B$144,"Pickup",'D Engine'!$C$129:$C$144,0)</f>
        <v/>
      </c>
      <c r="F44" s="346">
        <f>SUMIFS('D Engine'!$F$129:$F$144,'D Engine'!$B$129:$B$144,"Pickup",'D Engine'!$C$129:$C$144,0)</f>
        <v/>
      </c>
      <c r="G44" s="346">
        <f>SUMIFS('D Engine'!$F$129:$F$144,'D Engine'!$B$129:$B$144,"Pickup",'D Engine'!$C$129:$C$144,0)</f>
        <v/>
      </c>
      <c r="H44" s="346">
        <f>SUMIFS('D Engine'!$F$129:$F$144,'D Engine'!$B$129:$B$144,"Pickup",'D Engine'!$C$129:$C$144,0)</f>
        <v/>
      </c>
      <c r="I44" s="346">
        <f>SUMIFS('D Engine'!$F$129:$F$144,'D Engine'!$B$129:$B$144,"Pickup",'D Engine'!$C$129:$C$144,0)</f>
        <v/>
      </c>
      <c r="J44" s="346">
        <f>SUMIFS('D Engine'!$F$129:$F$144,'D Engine'!$B$129:$B$144,"Pickup",'D Engine'!$C$129:$C$144,0)</f>
        <v/>
      </c>
      <c r="K44" s="346">
        <f>SUMIFS('D Engine'!$F$129:$F$144,'D Engine'!$B$129:$B$144,"Pickup",'D Engine'!$C$129:$C$144,0)</f>
        <v/>
      </c>
      <c r="L44" s="346">
        <f>SUMIFS('D Engine'!$F$129:$F$144,'D Engine'!$B$129:$B$144,"Pickup",'D Engine'!$C$129:$C$144,0)</f>
        <v/>
      </c>
      <c r="M44" s="346">
        <f>SUMIFS('D Engine'!$F$129:$F$144,'D Engine'!$B$129:$B$144,"Pickup",'D Engine'!$C$129:$C$144,0)</f>
        <v/>
      </c>
      <c r="N44" s="346">
        <f>SUMIFS('D Engine'!$F$129:$F$144,'D Engine'!$B$129:$B$144,"Pickup",'D Engine'!$C$129:$C$144,0)</f>
        <v/>
      </c>
      <c r="O44" s="346">
        <f>SUMIFS('D Engine'!$F$129:$F$144,'D Engine'!$B$129:$B$144,"Pickup",'D Engine'!$C$129:$C$144,0)</f>
        <v/>
      </c>
    </row>
    <row r="45">
      <c r="B45" s="381" t="inlineStr">
        <is>
          <t>Pickup — 1–3 years</t>
        </is>
      </c>
      <c r="C45" s="364" t="inlineStr">
        <is>
          <t>%</t>
        </is>
      </c>
      <c r="D45" s="346">
        <f>SUMIFS('D Engine'!$F$129:$F$144,'D Engine'!$B$129:$B$144,"Pickup",'D Engine'!$C$129:$C$144,1)</f>
        <v/>
      </c>
      <c r="E45" s="346">
        <f>SUMIFS('D Engine'!$F$129:$F$144,'D Engine'!$B$129:$B$144,"Pickup",'D Engine'!$C$129:$C$144,1)</f>
        <v/>
      </c>
      <c r="F45" s="346">
        <f>SUMIFS('D Engine'!$F$129:$F$144,'D Engine'!$B$129:$B$144,"Pickup",'D Engine'!$C$129:$C$144,1)</f>
        <v/>
      </c>
      <c r="G45" s="346">
        <f>SUMIFS('D Engine'!$F$129:$F$144,'D Engine'!$B$129:$B$144,"Pickup",'D Engine'!$C$129:$C$144,1)</f>
        <v/>
      </c>
      <c r="H45" s="346">
        <f>SUMIFS('D Engine'!$F$129:$F$144,'D Engine'!$B$129:$B$144,"Pickup",'D Engine'!$C$129:$C$144,1)</f>
        <v/>
      </c>
      <c r="I45" s="346">
        <f>SUMIFS('D Engine'!$F$129:$F$144,'D Engine'!$B$129:$B$144,"Pickup",'D Engine'!$C$129:$C$144,1)</f>
        <v/>
      </c>
      <c r="J45" s="346">
        <f>SUMIFS('D Engine'!$F$129:$F$144,'D Engine'!$B$129:$B$144,"Pickup",'D Engine'!$C$129:$C$144,1)</f>
        <v/>
      </c>
      <c r="K45" s="346">
        <f>SUMIFS('D Engine'!$F$129:$F$144,'D Engine'!$B$129:$B$144,"Pickup",'D Engine'!$C$129:$C$144,1)</f>
        <v/>
      </c>
      <c r="L45" s="346">
        <f>SUMIFS('D Engine'!$F$129:$F$144,'D Engine'!$B$129:$B$144,"Pickup",'D Engine'!$C$129:$C$144,1)</f>
        <v/>
      </c>
      <c r="M45" s="346">
        <f>SUMIFS('D Engine'!$F$129:$F$144,'D Engine'!$B$129:$B$144,"Pickup",'D Engine'!$C$129:$C$144,1)</f>
        <v/>
      </c>
      <c r="N45" s="346">
        <f>SUMIFS('D Engine'!$F$129:$F$144,'D Engine'!$B$129:$B$144,"Pickup",'D Engine'!$C$129:$C$144,1)</f>
        <v/>
      </c>
      <c r="O45" s="346">
        <f>SUMIFS('D Engine'!$F$129:$F$144,'D Engine'!$B$129:$B$144,"Pickup",'D Engine'!$C$129:$C$144,1)</f>
        <v/>
      </c>
    </row>
    <row r="46">
      <c r="B46" s="381" t="inlineStr">
        <is>
          <t>Pickup — 4–6 years</t>
        </is>
      </c>
      <c r="C46" s="364" t="inlineStr">
        <is>
          <t>%</t>
        </is>
      </c>
      <c r="D46" s="346">
        <f>SUMIFS('D Engine'!$F$129:$F$144,'D Engine'!$B$129:$B$144,"Pickup",'D Engine'!$C$129:$C$144,2)</f>
        <v/>
      </c>
      <c r="E46" s="346">
        <f>SUMIFS('D Engine'!$F$129:$F$144,'D Engine'!$B$129:$B$144,"Pickup",'D Engine'!$C$129:$C$144,2)</f>
        <v/>
      </c>
      <c r="F46" s="346">
        <f>SUMIFS('D Engine'!$F$129:$F$144,'D Engine'!$B$129:$B$144,"Pickup",'D Engine'!$C$129:$C$144,2)</f>
        <v/>
      </c>
      <c r="G46" s="346">
        <f>SUMIFS('D Engine'!$F$129:$F$144,'D Engine'!$B$129:$B$144,"Pickup",'D Engine'!$C$129:$C$144,2)</f>
        <v/>
      </c>
      <c r="H46" s="346">
        <f>SUMIFS('D Engine'!$F$129:$F$144,'D Engine'!$B$129:$B$144,"Pickup",'D Engine'!$C$129:$C$144,2)</f>
        <v/>
      </c>
      <c r="I46" s="346">
        <f>SUMIFS('D Engine'!$F$129:$F$144,'D Engine'!$B$129:$B$144,"Pickup",'D Engine'!$C$129:$C$144,2)</f>
        <v/>
      </c>
      <c r="J46" s="346">
        <f>SUMIFS('D Engine'!$F$129:$F$144,'D Engine'!$B$129:$B$144,"Pickup",'D Engine'!$C$129:$C$144,2)</f>
        <v/>
      </c>
      <c r="K46" s="346">
        <f>SUMIFS('D Engine'!$F$129:$F$144,'D Engine'!$B$129:$B$144,"Pickup",'D Engine'!$C$129:$C$144,2)</f>
        <v/>
      </c>
      <c r="L46" s="346">
        <f>SUMIFS('D Engine'!$F$129:$F$144,'D Engine'!$B$129:$B$144,"Pickup",'D Engine'!$C$129:$C$144,2)</f>
        <v/>
      </c>
      <c r="M46" s="346">
        <f>SUMIFS('D Engine'!$F$129:$F$144,'D Engine'!$B$129:$B$144,"Pickup",'D Engine'!$C$129:$C$144,2)</f>
        <v/>
      </c>
      <c r="N46" s="346">
        <f>SUMIFS('D Engine'!$F$129:$F$144,'D Engine'!$B$129:$B$144,"Pickup",'D Engine'!$C$129:$C$144,2)</f>
        <v/>
      </c>
      <c r="O46" s="346">
        <f>SUMIFS('D Engine'!$F$129:$F$144,'D Engine'!$B$129:$B$144,"Pickup",'D Engine'!$C$129:$C$144,2)</f>
        <v/>
      </c>
    </row>
    <row r="47">
      <c r="B47" s="381" t="inlineStr">
        <is>
          <t>Pickup — 7+ years</t>
        </is>
      </c>
      <c r="C47" s="364" t="inlineStr">
        <is>
          <t>%</t>
        </is>
      </c>
      <c r="D47" s="346">
        <f>SUMIFS('D Engine'!$F$129:$F$144,'D Engine'!$B$129:$B$144,"Pickup",'D Engine'!$C$129:$C$144,3)</f>
        <v/>
      </c>
      <c r="E47" s="346">
        <f>SUMIFS('D Engine'!$F$129:$F$144,'D Engine'!$B$129:$B$144,"Pickup",'D Engine'!$C$129:$C$144,3)</f>
        <v/>
      </c>
      <c r="F47" s="346">
        <f>SUMIFS('D Engine'!$F$129:$F$144,'D Engine'!$B$129:$B$144,"Pickup",'D Engine'!$C$129:$C$144,3)</f>
        <v/>
      </c>
      <c r="G47" s="346">
        <f>SUMIFS('D Engine'!$F$129:$F$144,'D Engine'!$B$129:$B$144,"Pickup",'D Engine'!$C$129:$C$144,3)</f>
        <v/>
      </c>
      <c r="H47" s="346">
        <f>SUMIFS('D Engine'!$F$129:$F$144,'D Engine'!$B$129:$B$144,"Pickup",'D Engine'!$C$129:$C$144,3)</f>
        <v/>
      </c>
      <c r="I47" s="346">
        <f>SUMIFS('D Engine'!$F$129:$F$144,'D Engine'!$B$129:$B$144,"Pickup",'D Engine'!$C$129:$C$144,3)</f>
        <v/>
      </c>
      <c r="J47" s="346">
        <f>SUMIFS('D Engine'!$F$129:$F$144,'D Engine'!$B$129:$B$144,"Pickup",'D Engine'!$C$129:$C$144,3)</f>
        <v/>
      </c>
      <c r="K47" s="346">
        <f>SUMIFS('D Engine'!$F$129:$F$144,'D Engine'!$B$129:$B$144,"Pickup",'D Engine'!$C$129:$C$144,3)</f>
        <v/>
      </c>
      <c r="L47" s="346">
        <f>SUMIFS('D Engine'!$F$129:$F$144,'D Engine'!$B$129:$B$144,"Pickup",'D Engine'!$C$129:$C$144,3)</f>
        <v/>
      </c>
      <c r="M47" s="346">
        <f>SUMIFS('D Engine'!$F$129:$F$144,'D Engine'!$B$129:$B$144,"Pickup",'D Engine'!$C$129:$C$144,3)</f>
        <v/>
      </c>
      <c r="N47" s="346">
        <f>SUMIFS('D Engine'!$F$129:$F$144,'D Engine'!$B$129:$B$144,"Pickup",'D Engine'!$C$129:$C$144,3)</f>
        <v/>
      </c>
      <c r="O47" s="346">
        <f>SUMIFS('D Engine'!$F$129:$F$144,'D Engine'!$B$129:$B$144,"Pickup",'D Engine'!$C$129:$C$144,3)</f>
        <v/>
      </c>
    </row>
    <row r="48">
      <c r="B48" s="339" t="inlineStr">
        <is>
          <t>Van / minivan — 0 (current or newer)</t>
        </is>
      </c>
      <c r="C48" s="364" t="inlineStr">
        <is>
          <t>%</t>
        </is>
      </c>
      <c r="D48" s="346">
        <f>SUMIFS('D Engine'!$F$129:$F$144,'D Engine'!$B$129:$B$144,"Van",'D Engine'!$C$129:$C$144,0)</f>
        <v/>
      </c>
      <c r="E48" s="346">
        <f>SUMIFS('D Engine'!$F$129:$F$144,'D Engine'!$B$129:$B$144,"Van",'D Engine'!$C$129:$C$144,0)</f>
        <v/>
      </c>
      <c r="F48" s="346">
        <f>SUMIFS('D Engine'!$F$129:$F$144,'D Engine'!$B$129:$B$144,"Van",'D Engine'!$C$129:$C$144,0)</f>
        <v/>
      </c>
      <c r="G48" s="346">
        <f>SUMIFS('D Engine'!$F$129:$F$144,'D Engine'!$B$129:$B$144,"Van",'D Engine'!$C$129:$C$144,0)</f>
        <v/>
      </c>
      <c r="H48" s="346">
        <f>SUMIFS('D Engine'!$F$129:$F$144,'D Engine'!$B$129:$B$144,"Van",'D Engine'!$C$129:$C$144,0)</f>
        <v/>
      </c>
      <c r="I48" s="346">
        <f>SUMIFS('D Engine'!$F$129:$F$144,'D Engine'!$B$129:$B$144,"Van",'D Engine'!$C$129:$C$144,0)</f>
        <v/>
      </c>
      <c r="J48" s="346">
        <f>SUMIFS('D Engine'!$F$129:$F$144,'D Engine'!$B$129:$B$144,"Van",'D Engine'!$C$129:$C$144,0)</f>
        <v/>
      </c>
      <c r="K48" s="346">
        <f>SUMIFS('D Engine'!$F$129:$F$144,'D Engine'!$B$129:$B$144,"Van",'D Engine'!$C$129:$C$144,0)</f>
        <v/>
      </c>
      <c r="L48" s="346">
        <f>SUMIFS('D Engine'!$F$129:$F$144,'D Engine'!$B$129:$B$144,"Van",'D Engine'!$C$129:$C$144,0)</f>
        <v/>
      </c>
      <c r="M48" s="346">
        <f>SUMIFS('D Engine'!$F$129:$F$144,'D Engine'!$B$129:$B$144,"Van",'D Engine'!$C$129:$C$144,0)</f>
        <v/>
      </c>
      <c r="N48" s="346">
        <f>SUMIFS('D Engine'!$F$129:$F$144,'D Engine'!$B$129:$B$144,"Van",'D Engine'!$C$129:$C$144,0)</f>
        <v/>
      </c>
      <c r="O48" s="346">
        <f>SUMIFS('D Engine'!$F$129:$F$144,'D Engine'!$B$129:$B$144,"Van",'D Engine'!$C$129:$C$144,0)</f>
        <v/>
      </c>
    </row>
    <row r="49">
      <c r="B49" s="381" t="inlineStr">
        <is>
          <t>Van / minivan — 1–3 years</t>
        </is>
      </c>
      <c r="C49" s="364" t="inlineStr">
        <is>
          <t>%</t>
        </is>
      </c>
      <c r="D49" s="346">
        <f>SUMIFS('D Engine'!$F$129:$F$144,'D Engine'!$B$129:$B$144,"Van",'D Engine'!$C$129:$C$144,1)</f>
        <v/>
      </c>
      <c r="E49" s="346">
        <f>SUMIFS('D Engine'!$F$129:$F$144,'D Engine'!$B$129:$B$144,"Van",'D Engine'!$C$129:$C$144,1)</f>
        <v/>
      </c>
      <c r="F49" s="346">
        <f>SUMIFS('D Engine'!$F$129:$F$144,'D Engine'!$B$129:$B$144,"Van",'D Engine'!$C$129:$C$144,1)</f>
        <v/>
      </c>
      <c r="G49" s="346">
        <f>SUMIFS('D Engine'!$F$129:$F$144,'D Engine'!$B$129:$B$144,"Van",'D Engine'!$C$129:$C$144,1)</f>
        <v/>
      </c>
      <c r="H49" s="346">
        <f>SUMIFS('D Engine'!$F$129:$F$144,'D Engine'!$B$129:$B$144,"Van",'D Engine'!$C$129:$C$144,1)</f>
        <v/>
      </c>
      <c r="I49" s="346">
        <f>SUMIFS('D Engine'!$F$129:$F$144,'D Engine'!$B$129:$B$144,"Van",'D Engine'!$C$129:$C$144,1)</f>
        <v/>
      </c>
      <c r="J49" s="346">
        <f>SUMIFS('D Engine'!$F$129:$F$144,'D Engine'!$B$129:$B$144,"Van",'D Engine'!$C$129:$C$144,1)</f>
        <v/>
      </c>
      <c r="K49" s="346">
        <f>SUMIFS('D Engine'!$F$129:$F$144,'D Engine'!$B$129:$B$144,"Van",'D Engine'!$C$129:$C$144,1)</f>
        <v/>
      </c>
      <c r="L49" s="346">
        <f>SUMIFS('D Engine'!$F$129:$F$144,'D Engine'!$B$129:$B$144,"Van",'D Engine'!$C$129:$C$144,1)</f>
        <v/>
      </c>
      <c r="M49" s="346">
        <f>SUMIFS('D Engine'!$F$129:$F$144,'D Engine'!$B$129:$B$144,"Van",'D Engine'!$C$129:$C$144,1)</f>
        <v/>
      </c>
      <c r="N49" s="346">
        <f>SUMIFS('D Engine'!$F$129:$F$144,'D Engine'!$B$129:$B$144,"Van",'D Engine'!$C$129:$C$144,1)</f>
        <v/>
      </c>
      <c r="O49" s="346">
        <f>SUMIFS('D Engine'!$F$129:$F$144,'D Engine'!$B$129:$B$144,"Van",'D Engine'!$C$129:$C$144,1)</f>
        <v/>
      </c>
    </row>
    <row r="50">
      <c r="B50" s="381" t="inlineStr">
        <is>
          <t>Van / minivan — 4–6 years</t>
        </is>
      </c>
      <c r="C50" s="364" t="inlineStr">
        <is>
          <t>%</t>
        </is>
      </c>
      <c r="D50" s="346">
        <f>SUMIFS('D Engine'!$F$129:$F$144,'D Engine'!$B$129:$B$144,"Van",'D Engine'!$C$129:$C$144,2)</f>
        <v/>
      </c>
      <c r="E50" s="346">
        <f>SUMIFS('D Engine'!$F$129:$F$144,'D Engine'!$B$129:$B$144,"Van",'D Engine'!$C$129:$C$144,2)</f>
        <v/>
      </c>
      <c r="F50" s="346">
        <f>SUMIFS('D Engine'!$F$129:$F$144,'D Engine'!$B$129:$B$144,"Van",'D Engine'!$C$129:$C$144,2)</f>
        <v/>
      </c>
      <c r="G50" s="346">
        <f>SUMIFS('D Engine'!$F$129:$F$144,'D Engine'!$B$129:$B$144,"Van",'D Engine'!$C$129:$C$144,2)</f>
        <v/>
      </c>
      <c r="H50" s="346">
        <f>SUMIFS('D Engine'!$F$129:$F$144,'D Engine'!$B$129:$B$144,"Van",'D Engine'!$C$129:$C$144,2)</f>
        <v/>
      </c>
      <c r="I50" s="346">
        <f>SUMIFS('D Engine'!$F$129:$F$144,'D Engine'!$B$129:$B$144,"Van",'D Engine'!$C$129:$C$144,2)</f>
        <v/>
      </c>
      <c r="J50" s="346">
        <f>SUMIFS('D Engine'!$F$129:$F$144,'D Engine'!$B$129:$B$144,"Van",'D Engine'!$C$129:$C$144,2)</f>
        <v/>
      </c>
      <c r="K50" s="346">
        <f>SUMIFS('D Engine'!$F$129:$F$144,'D Engine'!$B$129:$B$144,"Van",'D Engine'!$C$129:$C$144,2)</f>
        <v/>
      </c>
      <c r="L50" s="346">
        <f>SUMIFS('D Engine'!$F$129:$F$144,'D Engine'!$B$129:$B$144,"Van",'D Engine'!$C$129:$C$144,2)</f>
        <v/>
      </c>
      <c r="M50" s="346">
        <f>SUMIFS('D Engine'!$F$129:$F$144,'D Engine'!$B$129:$B$144,"Van",'D Engine'!$C$129:$C$144,2)</f>
        <v/>
      </c>
      <c r="N50" s="346">
        <f>SUMIFS('D Engine'!$F$129:$F$144,'D Engine'!$B$129:$B$144,"Van",'D Engine'!$C$129:$C$144,2)</f>
        <v/>
      </c>
      <c r="O50" s="346">
        <f>SUMIFS('D Engine'!$F$129:$F$144,'D Engine'!$B$129:$B$144,"Van",'D Engine'!$C$129:$C$144,2)</f>
        <v/>
      </c>
    </row>
    <row r="51">
      <c r="B51" s="381" t="inlineStr">
        <is>
          <t>Van / minivan — 7+ years</t>
        </is>
      </c>
      <c r="C51" s="364" t="inlineStr">
        <is>
          <t>%</t>
        </is>
      </c>
      <c r="D51" s="346">
        <f>SUMIFS('D Engine'!$F$129:$F$144,'D Engine'!$B$129:$B$144,"Van",'D Engine'!$C$129:$C$144,3)</f>
        <v/>
      </c>
      <c r="E51" s="346">
        <f>SUMIFS('D Engine'!$F$129:$F$144,'D Engine'!$B$129:$B$144,"Van",'D Engine'!$C$129:$C$144,3)</f>
        <v/>
      </c>
      <c r="F51" s="346">
        <f>SUMIFS('D Engine'!$F$129:$F$144,'D Engine'!$B$129:$B$144,"Van",'D Engine'!$C$129:$C$144,3)</f>
        <v/>
      </c>
      <c r="G51" s="346">
        <f>SUMIFS('D Engine'!$F$129:$F$144,'D Engine'!$B$129:$B$144,"Van",'D Engine'!$C$129:$C$144,3)</f>
        <v/>
      </c>
      <c r="H51" s="346">
        <f>SUMIFS('D Engine'!$F$129:$F$144,'D Engine'!$B$129:$B$144,"Van",'D Engine'!$C$129:$C$144,3)</f>
        <v/>
      </c>
      <c r="I51" s="346">
        <f>SUMIFS('D Engine'!$F$129:$F$144,'D Engine'!$B$129:$B$144,"Van",'D Engine'!$C$129:$C$144,3)</f>
        <v/>
      </c>
      <c r="J51" s="346">
        <f>SUMIFS('D Engine'!$F$129:$F$144,'D Engine'!$B$129:$B$144,"Van",'D Engine'!$C$129:$C$144,3)</f>
        <v/>
      </c>
      <c r="K51" s="346">
        <f>SUMIFS('D Engine'!$F$129:$F$144,'D Engine'!$B$129:$B$144,"Van",'D Engine'!$C$129:$C$144,3)</f>
        <v/>
      </c>
      <c r="L51" s="346">
        <f>SUMIFS('D Engine'!$F$129:$F$144,'D Engine'!$B$129:$B$144,"Van",'D Engine'!$C$129:$C$144,3)</f>
        <v/>
      </c>
      <c r="M51" s="346">
        <f>SUMIFS('D Engine'!$F$129:$F$144,'D Engine'!$B$129:$B$144,"Van",'D Engine'!$C$129:$C$144,3)</f>
        <v/>
      </c>
      <c r="N51" s="346">
        <f>SUMIFS('D Engine'!$F$129:$F$144,'D Engine'!$B$129:$B$144,"Van",'D Engine'!$C$129:$C$144,3)</f>
        <v/>
      </c>
      <c r="O51" s="346">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457" t="n">
        <v>2017</v>
      </c>
      <c r="E104" s="457" t="n">
        <v>2018</v>
      </c>
      <c r="F104" s="457" t="n">
        <v>2019</v>
      </c>
      <c r="G104" s="457" t="n">
        <v>2020</v>
      </c>
      <c r="H104" s="457" t="n">
        <v>2021</v>
      </c>
      <c r="I104" s="457" t="n">
        <v>2022</v>
      </c>
      <c r="J104" s="457" t="n">
        <v>2023</v>
      </c>
      <c r="K104" s="457" t="n">
        <v>2024</v>
      </c>
      <c r="L104" s="457" t="n">
        <v>2025</v>
      </c>
      <c r="M104" s="457" t="n">
        <v>2026</v>
      </c>
      <c r="N104" s="457" t="n">
        <v>2027</v>
      </c>
      <c r="O104" s="457"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91">
        <f>('D Coverage'!D5/'D Coverage'!D7)/('D Coverage'!$L$5/'D Coverage'!$L$7)</f>
        <v/>
      </c>
      <c r="E108" s="391">
        <f>('D Coverage'!E5/'D Coverage'!E7)/('D Coverage'!$L$5/'D Coverage'!$L$7)</f>
        <v/>
      </c>
      <c r="F108" s="391">
        <f>('D Coverage'!F5/'D Coverage'!F7)/('D Coverage'!$L$5/'D Coverage'!$L$7)</f>
        <v/>
      </c>
      <c r="G108" s="391">
        <f>('D Coverage'!G5/'D Coverage'!G7)/('D Coverage'!$L$5/'D Coverage'!$L$7)</f>
        <v/>
      </c>
      <c r="H108" s="391">
        <f>('D Coverage'!H5/'D Coverage'!H7)/('D Coverage'!$L$5/'D Coverage'!$L$7)</f>
        <v/>
      </c>
      <c r="I108" s="391">
        <f>('D Coverage'!I5/'D Coverage'!I7)/('D Coverage'!$L$5/'D Coverage'!$L$7)</f>
        <v/>
      </c>
      <c r="J108" s="391">
        <f>('D Coverage'!J5/'D Coverage'!J7)/('D Coverage'!$L$5/'D Coverage'!$L$7)</f>
        <v/>
      </c>
      <c r="K108" s="391">
        <f>('D Coverage'!K5/'D Coverage'!K7)/('D Coverage'!$L$5/'D Coverage'!$L$7)</f>
        <v/>
      </c>
      <c r="L108" s="391">
        <f>('D Coverage'!L5/'D Coverage'!L7)/('D Coverage'!$L$5/'D Coverage'!$L$7)</f>
        <v/>
      </c>
      <c r="M108" s="391">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458" t="n">
        <v>1</v>
      </c>
      <c r="I116" s="458" t="n">
        <v>1</v>
      </c>
      <c r="J116" s="458" t="n">
        <v>1</v>
      </c>
      <c r="K116" s="458" t="n">
        <v>1</v>
      </c>
      <c r="L116" s="458" t="n">
        <v>1</v>
      </c>
      <c r="M116" s="458" t="n">
        <v>1</v>
      </c>
      <c r="N116" s="458" t="n">
        <v>1</v>
      </c>
      <c r="O116" s="458"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458" t="n">
        <v>1</v>
      </c>
      <c r="M118" s="458" t="n">
        <v>1</v>
      </c>
      <c r="N118" s="458" t="n">
        <v>1</v>
      </c>
      <c r="O118" s="458"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s="459">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48">
        <f>MAX(0,IF($D$67*$D$64=1,'D Carriers'!$G$18,H19)-$D$69*1*$D$64)</f>
        <v/>
      </c>
      <c r="I31" s="348">
        <f>MAX(0,IF($D$67*$D$64=1,'D Carriers'!$H$18,I19)-$D$69*2*$D$64)</f>
        <v/>
      </c>
      <c r="J31" s="348">
        <f>MAX(0,IF($D$67*$D$64=1,'D Carriers'!$I$18,J19)-$D$69*3*$D$64)</f>
        <v/>
      </c>
      <c r="K31" s="348">
        <f>MAX(0,IF($D$67*$D$64=1,'D Carriers'!$J$18,K19)-$D$69*4*$D$64)</f>
        <v/>
      </c>
      <c r="L31" s="348">
        <f>MAX(0,IF($D$67*$D$64=1,'D Carriers'!$J$18,L19)-$D$69*5*$D$64)</f>
        <v/>
      </c>
      <c r="M31" s="348">
        <f>MAX(0,IF($D$67*$D$64=1,'D Carriers'!$J$18,M19)-$D$69*6*$D$64)</f>
        <v/>
      </c>
      <c r="N31" s="348">
        <f>MAX(0,IF($D$67*$D$64=1,'D Carriers'!$J$18,N19)-$D$69*7*$D$64)</f>
        <v/>
      </c>
      <c r="O31" s="348">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48">
        <f>MAX(0,IF($D$66*$D$64=1,'D Carriers'!$G$20,H21)-$D$69*1*$D$64)</f>
        <v/>
      </c>
      <c r="I33" s="348">
        <f>MAX(0,IF($D$66*$D$64=1,'D Carriers'!$H$20,I21)-$D$69*2*$D$64)</f>
        <v/>
      </c>
      <c r="J33" s="348">
        <f>MAX(0,IF($D$66*$D$64=1,'D Carriers'!$I$20,J21)-$D$69*3*$D$64)</f>
        <v/>
      </c>
      <c r="K33" s="348">
        <f>MAX(0,IF($D$66*$D$64=1,'D Carriers'!$J$20,K21)-$D$69*4*$D$64)</f>
        <v/>
      </c>
      <c r="L33" s="348">
        <f>MAX(0,IF($D$66*$D$64=1,'D Carriers'!$J$20,L21)-$D$69*5*$D$64)</f>
        <v/>
      </c>
      <c r="M33" s="348">
        <f>MAX(0,IF($D$66*$D$64=1,'D Carriers'!$J$20,M21)-$D$69*6*$D$64)</f>
        <v/>
      </c>
      <c r="N33" s="348">
        <f>MAX(0,IF($D$66*$D$64=1,'D Carriers'!$J$20,N21)-$D$69*7*$D$64)</f>
        <v/>
      </c>
      <c r="O33" s="348">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48">
        <f>MAX(0,IF($D$68*$D$64=1,'D Carriers'!$G$27,H28)-$D$69*1*$D$64)</f>
        <v/>
      </c>
      <c r="I40" s="348">
        <f>MAX(0,IF($D$68*$D$64=1,'D Carriers'!$H$27,I28)-$D$69*2*$D$64)</f>
        <v/>
      </c>
      <c r="J40" s="348">
        <f>MAX(0,IF($D$68*$D$64=1,'D Carriers'!$I$27,J28)-$D$69*3*$D$64)</f>
        <v/>
      </c>
      <c r="K40" s="348">
        <f>MAX(0,IF($D$68*$D$64=1,'D Carriers'!$J$27,K28)-$D$69*4*$D$64)</f>
        <v/>
      </c>
      <c r="L40" s="348">
        <f>MAX(0,IF($D$68*$D$64=1,'D Carriers'!$J$27,L28)-$D$69*5*$D$64)</f>
        <v/>
      </c>
      <c r="M40" s="348">
        <f>MAX(0,IF($D$68*$D$64=1,'D Carriers'!$J$27,M28)-$D$69*6*$D$64)</f>
        <v/>
      </c>
      <c r="N40" s="348">
        <f>MAX(0,IF($D$68*$D$64=1,'D Carriers'!$J$27,N28)-$D$69*7*$D$64)</f>
        <v/>
      </c>
      <c r="O40" s="348">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82">
        <f>$D$71</f>
        <v/>
      </c>
      <c r="E52" s="382">
        <f>$D$71</f>
        <v/>
      </c>
      <c r="F52" s="382">
        <f>$D$71</f>
        <v/>
      </c>
      <c r="G52" s="382">
        <f>$D$71</f>
        <v/>
      </c>
      <c r="H52" s="382">
        <f>$D$71</f>
        <v/>
      </c>
      <c r="I52" s="382">
        <f>$D$71</f>
        <v/>
      </c>
      <c r="J52" s="382">
        <f>$D$71</f>
        <v/>
      </c>
      <c r="K52" s="382">
        <f>$D$71</f>
        <v/>
      </c>
      <c r="L52" s="382">
        <f>$D$71</f>
        <v/>
      </c>
      <c r="M52" s="382">
        <f>$D$71</f>
        <v/>
      </c>
      <c r="N52" s="382">
        <f>$D$71</f>
        <v/>
      </c>
      <c r="O52" s="382">
        <f>$D$71</f>
        <v/>
      </c>
      <c r="S52" s="335" t="inlineStr">
        <is>
          <t>UNVERIFIED analyst assumption (Barclays 25 Aug 2026 Figure 1 uses 4%); not a contract term</t>
        </is>
      </c>
    </row>
    <row r="53">
      <c r="B53" s="339" t="inlineStr">
        <is>
          <t>Concession on a contested account (share of the commission)</t>
        </is>
      </c>
      <c r="C53" s="364" t="inlineStr">
        <is>
          <t>%</t>
        </is>
      </c>
      <c r="D53" s="382">
        <f>$D$72</f>
        <v/>
      </c>
      <c r="E53" s="382">
        <f>$D$72</f>
        <v/>
      </c>
      <c r="F53" s="382">
        <f>$D$72</f>
        <v/>
      </c>
      <c r="G53" s="382">
        <f>$D$72</f>
        <v/>
      </c>
      <c r="H53" s="382">
        <f>$D$72</f>
        <v/>
      </c>
      <c r="I53" s="382">
        <f>$D$72</f>
        <v/>
      </c>
      <c r="J53" s="382">
        <f>$D$72</f>
        <v/>
      </c>
      <c r="K53" s="382">
        <f>$D$72</f>
        <v/>
      </c>
      <c r="L53" s="382">
        <f>$D$72</f>
        <v/>
      </c>
      <c r="M53" s="382">
        <f>$D$72</f>
        <v/>
      </c>
      <c r="N53" s="382">
        <f>$D$72</f>
        <v/>
      </c>
      <c r="O53" s="382">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460">
        <f>C83*'E5 Prices &amp; Fees'!$D$39*('D Reported'!$D$26+'D Reported'!$D$27+'D Reported'!$D$28+'D Reported'!$D$29)/('D Reported'!$D$26+'D Reported'!$D$27+'D Reported'!$D$28+'D Reported'!$D$29+'D Reported'!$E$26+'D Reported'!$E$27+'D Reported'!$E$28+'D Reported'!$E$29)</f>
        <v/>
      </c>
      <c r="E83" s="460">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416">
        <f>SUMIFS('D Engine'!$D$98:$D$102,'D Engine'!$B$98:$B$102,"ccc_larger_shift")</f>
        <v/>
      </c>
      <c r="E20" s="416">
        <f>SUMIFS('D Engine'!$D$98:$D$102,'D Engine'!$B$98:$B$102,"ccc_larger_shift")</f>
        <v/>
      </c>
      <c r="F20" s="416">
        <f>SUMIFS('D Engine'!$D$98:$D$102,'D Engine'!$B$98:$B$102,"ccc_larger_shift")</f>
        <v/>
      </c>
      <c r="G20" s="416">
        <f>SUMIFS('D Engine'!$D$98:$D$102,'D Engine'!$B$98:$B$102,"ccc_larger_shift")</f>
        <v/>
      </c>
      <c r="H20" s="416">
        <f>SUMIFS('D Engine'!$D$98:$D$102,'D Engine'!$B$98:$B$102,"ccc_larger_shift")</f>
        <v/>
      </c>
      <c r="I20" s="416">
        <f>SUMIFS('D Engine'!$D$98:$D$102,'D Engine'!$B$98:$B$102,"ccc_larger_shift")</f>
        <v/>
      </c>
      <c r="J20" s="416">
        <f>SUMIFS('D Engine'!$D$98:$D$102,'D Engine'!$B$98:$B$102,"ccc_larger_shift")</f>
        <v/>
      </c>
      <c r="K20" s="416">
        <f>SUMIFS('D Engine'!$D$98:$D$102,'D Engine'!$B$98:$B$102,"ccc_larger_shift")</f>
        <v/>
      </c>
      <c r="L20" s="416">
        <f>SUMIFS('D Engine'!$D$98:$D$102,'D Engine'!$B$98:$B$102,"ccc_larger_shift")</f>
        <v/>
      </c>
      <c r="M20" s="416">
        <f>SUMIFS('D Engine'!$D$98:$D$102,'D Engine'!$B$98:$B$102,"ccc_larger_shift")</f>
        <v/>
      </c>
      <c r="N20" s="416">
        <f>SUMIFS('D Engine'!$D$98:$D$102,'D Engine'!$B$98:$B$102,"ccc_larger_shift")</f>
        <v/>
      </c>
      <c r="O20" s="416">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51">
        <f>SUMIFS('D Engine'!$E$31:$E$94,'D Engine'!$B$31:$B$94,10,'D Engine'!$D$31:$D$94,"FY2027Q1")</f>
        <v/>
      </c>
      <c r="I24" s="351">
        <f>SUMIFS('D Engine'!$E$31:$E$94,'D Engine'!$B$31:$B$94,10,'D Engine'!$D$31:$D$94,"FY2027Q2")</f>
        <v/>
      </c>
      <c r="J24" s="351">
        <f>SUMIFS('D Engine'!$E$31:$E$94,'D Engine'!$B$31:$B$94,10,'D Engine'!$D$31:$D$94,"FY2027Q3")</f>
        <v/>
      </c>
      <c r="K24" s="351">
        <f>SUMIFS('D Engine'!$E$31:$E$94,'D Engine'!$B$31:$B$94,10,'D Engine'!$D$31:$D$94,"FY2027Q4")</f>
        <v/>
      </c>
    </row>
    <row r="25">
      <c r="B25" s="339" t="inlineStr">
        <is>
          <t>Engine service revenue, reference + aftermarket (mask 14)</t>
        </is>
      </c>
      <c r="C25" s="364" t="inlineStr">
        <is>
          <t>$M</t>
        </is>
      </c>
      <c r="H25" s="351">
        <f>SUMIFS('D Engine'!$E$31:$E$94,'D Engine'!$B$31:$B$94,14,'D Engine'!$D$31:$D$94,"FY2027Q1")</f>
        <v/>
      </c>
      <c r="I25" s="351">
        <f>SUMIFS('D Engine'!$E$31:$E$94,'D Engine'!$B$31:$B$94,14,'D Engine'!$D$31:$D$94,"FY2027Q2")</f>
        <v/>
      </c>
      <c r="J25" s="351">
        <f>SUMIFS('D Engine'!$E$31:$E$94,'D Engine'!$B$31:$B$94,14,'D Engine'!$D$31:$D$94,"FY2027Q3")</f>
        <v/>
      </c>
      <c r="K25" s="351">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2">
        <f>0.40*(((0.65-0.04)*1+(0.25+0.04+0.015)*0.5+(0.10-0.015)*0.6)/(0.65*1+0.25*0.5+0.10*0.6)-1)</f>
        <v/>
      </c>
      <c r="E30" s="396">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84">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348">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82">
        <f>$D$39</f>
        <v/>
      </c>
      <c r="E7" s="382">
        <f>$D$39</f>
        <v/>
      </c>
      <c r="F7" s="382">
        <f>$D$39</f>
        <v/>
      </c>
      <c r="G7" s="382">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1">
        <f>D23</f>
        <v/>
      </c>
      <c r="E10" s="401">
        <f>E23</f>
        <v/>
      </c>
      <c r="F10" s="401">
        <f>F23</f>
        <v/>
      </c>
      <c r="G10" s="401">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1">
        <f>$D$45</f>
        <v/>
      </c>
      <c r="E15" s="401">
        <f>$D$45</f>
        <v/>
      </c>
      <c r="F15" s="401">
        <f>$D$45</f>
        <v/>
      </c>
      <c r="G15" s="401">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1">
        <f>$D$48</f>
        <v/>
      </c>
      <c r="E22" s="401">
        <f>$D$48</f>
        <v/>
      </c>
      <c r="F22" s="401">
        <f>$D$48</f>
        <v/>
      </c>
      <c r="G22" s="401">
        <f>$D$48</f>
        <v/>
      </c>
      <c r="H22" s="401">
        <f>$D$48</f>
        <v/>
      </c>
      <c r="I22" s="401">
        <f>$D$48</f>
        <v/>
      </c>
      <c r="J22" s="401">
        <f>$D$48</f>
        <v/>
      </c>
      <c r="K22" s="401">
        <f>$D$48</f>
        <v/>
      </c>
      <c r="L22" s="401">
        <f>$D$48</f>
        <v/>
      </c>
      <c r="M22" s="401">
        <f>$D$48</f>
        <v/>
      </c>
      <c r="N22" s="401">
        <f>$D$48</f>
        <v/>
      </c>
      <c r="O22" s="401">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48">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407">
        <f>D8*'E2 Claims &amp; Totals'!H$75*IF($D$101=1,'E3 Carriers'!H$49,'E3 Carriers'!H$48)*(1+$E$101*'E4 Aftermarket'!H$40)*CHOOSE($H$101,'E2 Claims &amp; Totals'!H$116,'E2 Claims &amp; Totals'!H$117,'E2 Claims &amp; Totals'!H$118)</f>
        <v/>
      </c>
      <c r="I8" s="407">
        <f>E8*'E2 Claims &amp; Totals'!I$75*IF($D$101=1,'E3 Carriers'!I$49,'E3 Carriers'!I$48)*(1+$E$101*'E4 Aftermarket'!I$40)*CHOOSE($H$101,'E2 Claims &amp; Totals'!I$116,'E2 Claims &amp; Totals'!I$117,'E2 Claims &amp; Totals'!I$118)</f>
        <v/>
      </c>
      <c r="J8" s="407">
        <f>F8*'E2 Claims &amp; Totals'!J$75*IF($D$101=1,'E3 Carriers'!J$49,'E3 Carriers'!J$48)*(1+$E$101*'E4 Aftermarket'!J$40)*CHOOSE($H$101,'E2 Claims &amp; Totals'!J$116,'E2 Claims &amp; Totals'!J$117,'E2 Claims &amp; Totals'!J$118)</f>
        <v/>
      </c>
      <c r="K8" s="407">
        <f>G8*'E2 Claims &amp; Totals'!K$75*IF($D$101=1,'E3 Carriers'!K$49,'E3 Carriers'!K$48)*(1+$E$101*'E4 Aftermarket'!K$40)*CHOOSE($H$101,'E2 Claims &amp; Totals'!K$116,'E2 Claims &amp; Totals'!K$117,'E2 Claims &amp; Totals'!K$118)</f>
        <v/>
      </c>
      <c r="L8" s="407">
        <f>H8*'E2 Claims &amp; Totals'!L$75*IF($D$101=1,'E3 Carriers'!L$49,'E3 Carriers'!L$48)*(1+$E$101*'E4 Aftermarket'!L$40)*CHOOSE($H$101,'E2 Claims &amp; Totals'!L$116,'E2 Claims &amp; Totals'!L$117,'E2 Claims &amp; Totals'!L$118)</f>
        <v/>
      </c>
      <c r="M8" s="407">
        <f>I8*'E2 Claims &amp; Totals'!M$75*IF($D$101=1,'E3 Carriers'!M$49,'E3 Carriers'!M$48)*(1+$E$101*'E4 Aftermarket'!M$40)*CHOOSE($H$101,'E2 Claims &amp; Totals'!M$116,'E2 Claims &amp; Totals'!M$117,'E2 Claims &amp; Totals'!M$118)</f>
        <v/>
      </c>
      <c r="N8" s="407">
        <f>J8*'E2 Claims &amp; Totals'!N$75*IF($D$101=1,'E3 Carriers'!N$49,'E3 Carriers'!N$48)*(1+$E$101*'E4 Aftermarket'!N$40)*CHOOSE($H$101,'E2 Claims &amp; Totals'!N$116,'E2 Claims &amp; Totals'!N$117,'E2 Claims &amp; Totals'!N$118)</f>
        <v/>
      </c>
      <c r="O8" s="407">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2">
        <f>'E5 Prices &amp; Fees'!$D$45*(1+$F$101)^1*(1+$E$101*'E4 Aftermarket'!H$41)</f>
        <v/>
      </c>
      <c r="I10" s="402">
        <f>'E5 Prices &amp; Fees'!$D$45*(1+$F$101)^1*(1+$E$101*'E4 Aftermarket'!I$41)</f>
        <v/>
      </c>
      <c r="J10" s="402">
        <f>'E5 Prices &amp; Fees'!$D$45*(1+$F$101)^1*(1+$E$101*'E4 Aftermarket'!J$41)</f>
        <v/>
      </c>
      <c r="K10" s="402">
        <f>'E5 Prices &amp; Fees'!$D$45*(1+$F$101)^1*(1+$E$101*'E4 Aftermarket'!K$41)</f>
        <v/>
      </c>
      <c r="L10" s="402">
        <f>'E5 Prices &amp; Fees'!$D$45*(1+$F$101)^2*(1+$E$101*'E4 Aftermarket'!L$41)</f>
        <v/>
      </c>
      <c r="M10" s="402">
        <f>'E5 Prices &amp; Fees'!$D$45*(1+$F$101)^2*(1+$E$101*'E4 Aftermarket'!M$41)</f>
        <v/>
      </c>
      <c r="N10" s="402">
        <f>'E5 Prices &amp; Fees'!$D$45*(1+$F$101)^2*(1+$E$101*'E4 Aftermarket'!N$41)</f>
        <v/>
      </c>
      <c r="O10" s="402">
        <f>'E5 Prices &amp; Fees'!$D$45*(1+$F$101)^2*(1+$E$101*'E4 Aftermarket'!O$41)</f>
        <v/>
      </c>
      <c r="P10" s="401">
        <f>AVERAGE(D10:G10)</f>
        <v/>
      </c>
      <c r="Q10" s="401">
        <f>AVERAGE(H10:K10)</f>
        <v/>
      </c>
      <c r="R10" s="401">
        <f>AVERAGE(L10:O10)</f>
        <v/>
      </c>
    </row>
    <row r="11">
      <c r="B11" s="339" t="inlineStr">
        <is>
          <t>Core RPU</t>
        </is>
      </c>
      <c r="C11" s="364" t="inlineStr">
        <is>
          <t>$</t>
        </is>
      </c>
      <c r="D11" s="402">
        <f>'E5 Prices &amp; Fees'!$D$50*(D10/'E5 Prices &amp; Fees'!$D$45)^'E5 Prices &amp; Fees'!$D$51+IF($D$101=1,'E3 Carriers'!D$56,'E3 Carriers'!D$55)*D10+'E5 Prices &amp; Fees'!$D$48</f>
        <v/>
      </c>
      <c r="E11" s="402">
        <f>'E5 Prices &amp; Fees'!$D$50*(E10/'E5 Prices &amp; Fees'!$D$45)^'E5 Prices &amp; Fees'!$D$51+IF($D$101=1,'E3 Carriers'!E$56,'E3 Carriers'!E$55)*E10+'E5 Prices &amp; Fees'!$D$48</f>
        <v/>
      </c>
      <c r="F11" s="402">
        <f>'E5 Prices &amp; Fees'!$D$50*(F10/'E5 Prices &amp; Fees'!$D$45)^'E5 Prices &amp; Fees'!$D$51+IF($D$101=1,'E3 Carriers'!F$56,'E3 Carriers'!F$55)*F10+'E5 Prices &amp; Fees'!$D$48</f>
        <v/>
      </c>
      <c r="G11" s="402">
        <f>'E5 Prices &amp; Fees'!$D$50*(G10/'E5 Prices &amp; Fees'!$D$45)^'E5 Prices &amp; Fees'!$D$51+IF($D$101=1,'E3 Carriers'!G$56,'E3 Carriers'!G$55)*G10+'E5 Prices &amp; Fees'!$D$48</f>
        <v/>
      </c>
      <c r="H11" s="402">
        <f>'E5 Prices &amp; Fees'!$D$50*(H10/'E5 Prices &amp; Fees'!$D$45)^'E5 Prices &amp; Fees'!$D$51+IF($D$101=1,'E3 Carriers'!H$56,'E3 Carriers'!H$55)*H10+'E5 Prices &amp; Fees'!$D$48</f>
        <v/>
      </c>
      <c r="I11" s="402">
        <f>'E5 Prices &amp; Fees'!$D$50*(I10/'E5 Prices &amp; Fees'!$D$45)^'E5 Prices &amp; Fees'!$D$51+IF($D$101=1,'E3 Carriers'!I$56,'E3 Carriers'!I$55)*I10+'E5 Prices &amp; Fees'!$D$48</f>
        <v/>
      </c>
      <c r="J11" s="402">
        <f>'E5 Prices &amp; Fees'!$D$50*(J10/'E5 Prices &amp; Fees'!$D$45)^'E5 Prices &amp; Fees'!$D$51+IF($D$101=1,'E3 Carriers'!J$56,'E3 Carriers'!J$55)*J10+'E5 Prices &amp; Fees'!$D$48</f>
        <v/>
      </c>
      <c r="K11" s="402">
        <f>'E5 Prices &amp; Fees'!$D$50*(K10/'E5 Prices &amp; Fees'!$D$45)^'E5 Prices &amp; Fees'!$D$51+IF($D$101=1,'E3 Carriers'!K$56,'E3 Carriers'!K$55)*K10+'E5 Prices &amp; Fees'!$D$48</f>
        <v/>
      </c>
      <c r="L11" s="402">
        <f>'E5 Prices &amp; Fees'!$D$50*(L10/'E5 Prices &amp; Fees'!$D$45)^'E5 Prices &amp; Fees'!$D$51+IF($D$101=1,'E3 Carriers'!L$56,'E3 Carriers'!L$55)*L10+'E5 Prices &amp; Fees'!$D$48</f>
        <v/>
      </c>
      <c r="M11" s="402">
        <f>'E5 Prices &amp; Fees'!$D$50*(M10/'E5 Prices &amp; Fees'!$D$45)^'E5 Prices &amp; Fees'!$D$51+IF($D$101=1,'E3 Carriers'!M$56,'E3 Carriers'!M$55)*M10+'E5 Prices &amp; Fees'!$D$48</f>
        <v/>
      </c>
      <c r="N11" s="402">
        <f>'E5 Prices &amp; Fees'!$D$50*(N10/'E5 Prices &amp; Fees'!$D$45)^'E5 Prices &amp; Fees'!$D$51+IF($D$101=1,'E3 Carriers'!N$56,'E3 Carriers'!N$55)*N10+'E5 Prices &amp; Fees'!$D$48</f>
        <v/>
      </c>
      <c r="O11" s="402">
        <f>'E5 Prices &amp; Fees'!$D$50*(O10/'E5 Prices &amp; Fees'!$D$45)^'E5 Prices &amp; Fees'!$D$51+IF($D$101=1,'E3 Carriers'!O$56,'E3 Carriers'!O$55)*O10+'E5 Prices &amp; Fees'!$D$48</f>
        <v/>
      </c>
    </row>
    <row r="12">
      <c r="B12" s="339" t="inlineStr">
        <is>
          <t>All-in insurance RPU</t>
        </is>
      </c>
      <c r="C12" s="364" t="inlineStr">
        <is>
          <t>$</t>
        </is>
      </c>
      <c r="D12" s="402">
        <f>D11+'E5 Prices &amp; Fees'!D24</f>
        <v/>
      </c>
      <c r="E12" s="402">
        <f>E11+'E5 Prices &amp; Fees'!E24</f>
        <v/>
      </c>
      <c r="F12" s="402">
        <f>F11+'E5 Prices &amp; Fees'!F24</f>
        <v/>
      </c>
      <c r="G12" s="402">
        <f>G11+'E5 Prices &amp; Fees'!G24</f>
        <v/>
      </c>
      <c r="H12" s="402">
        <f>H11+'E5 Prices &amp; Fees'!H24</f>
        <v/>
      </c>
      <c r="I12" s="402">
        <f>I11+'E5 Prices &amp; Fees'!I24</f>
        <v/>
      </c>
      <c r="J12" s="402">
        <f>J11+'E5 Prices &amp; Fees'!J24</f>
        <v/>
      </c>
      <c r="K12" s="402">
        <f>K11+'E5 Prices &amp; Fees'!K24</f>
        <v/>
      </c>
      <c r="L12" s="402">
        <f>L11+'E5 Prices &amp; Fees'!L24</f>
        <v/>
      </c>
      <c r="M12" s="402">
        <f>M11+'E5 Prices &amp; Fees'!M24</f>
        <v/>
      </c>
      <c r="N12" s="402">
        <f>N11+'E5 Prices &amp; Fees'!N24</f>
        <v/>
      </c>
      <c r="O12" s="402">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406">
        <f>D16+D17+'E6 Other Branches'!D19</f>
        <v/>
      </c>
      <c r="E18" s="406">
        <f>E16+E17+'E6 Other Branches'!E19</f>
        <v/>
      </c>
      <c r="F18" s="406">
        <f>F16+F17+'E6 Other Branches'!F19</f>
        <v/>
      </c>
      <c r="G18" s="406">
        <f>G16+G17+'E6 Other Branches'!G19</f>
        <v/>
      </c>
      <c r="H18" s="406">
        <f>H16+H17+'E6 Other Branches'!H19</f>
        <v/>
      </c>
      <c r="I18" s="406">
        <f>I16+I17+'E6 Other Branches'!I19</f>
        <v/>
      </c>
      <c r="J18" s="406">
        <f>J16+J17+'E6 Other Branches'!J19</f>
        <v/>
      </c>
      <c r="K18" s="406">
        <f>K16+K17+'E6 Other Branches'!K19</f>
        <v/>
      </c>
      <c r="L18" s="406">
        <f>L16+L17+'E6 Other Branches'!L19</f>
        <v/>
      </c>
      <c r="M18" s="406">
        <f>M16+M17+'E6 Other Branches'!M19</f>
        <v/>
      </c>
      <c r="N18" s="406">
        <f>N16+N17+'E6 Other Branches'!N19</f>
        <v/>
      </c>
      <c r="O18" s="406">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407">
        <f>D21*'E2 Claims &amp; Totals'!H$75*IF($D$102=1,'E3 Carriers'!H$49,'E3 Carriers'!H$48)*(1+$E$102*'E4 Aftermarket'!H$40)*CHOOSE($H$102,'E2 Claims &amp; Totals'!H$116,'E2 Claims &amp; Totals'!H$117,'E2 Claims &amp; Totals'!H$118)</f>
        <v/>
      </c>
      <c r="I21" s="407">
        <f>E21*'E2 Claims &amp; Totals'!I$75*IF($D$102=1,'E3 Carriers'!I$49,'E3 Carriers'!I$48)*(1+$E$102*'E4 Aftermarket'!I$40)*CHOOSE($H$102,'E2 Claims &amp; Totals'!I$116,'E2 Claims &amp; Totals'!I$117,'E2 Claims &amp; Totals'!I$118)</f>
        <v/>
      </c>
      <c r="J21" s="407">
        <f>F21*'E2 Claims &amp; Totals'!J$75*IF($D$102=1,'E3 Carriers'!J$49,'E3 Carriers'!J$48)*(1+$E$102*'E4 Aftermarket'!J$40)*CHOOSE($H$102,'E2 Claims &amp; Totals'!J$116,'E2 Claims &amp; Totals'!J$117,'E2 Claims &amp; Totals'!J$118)</f>
        <v/>
      </c>
      <c r="K21" s="407">
        <f>G21*'E2 Claims &amp; Totals'!K$75*IF($D$102=1,'E3 Carriers'!K$49,'E3 Carriers'!K$48)*(1+$E$102*'E4 Aftermarket'!K$40)*CHOOSE($H$102,'E2 Claims &amp; Totals'!K$116,'E2 Claims &amp; Totals'!K$117,'E2 Claims &amp; Totals'!K$118)</f>
        <v/>
      </c>
      <c r="L21" s="407">
        <f>H21*'E2 Claims &amp; Totals'!L$75*IF($D$102=1,'E3 Carriers'!L$49,'E3 Carriers'!L$48)*(1+$E$102*'E4 Aftermarket'!L$40)*CHOOSE($H$102,'E2 Claims &amp; Totals'!L$116,'E2 Claims &amp; Totals'!L$117,'E2 Claims &amp; Totals'!L$118)</f>
        <v/>
      </c>
      <c r="M21" s="407">
        <f>I21*'E2 Claims &amp; Totals'!M$75*IF($D$102=1,'E3 Carriers'!M$49,'E3 Carriers'!M$48)*(1+$E$102*'E4 Aftermarket'!M$40)*CHOOSE($H$102,'E2 Claims &amp; Totals'!M$116,'E2 Claims &amp; Totals'!M$117,'E2 Claims &amp; Totals'!M$118)</f>
        <v/>
      </c>
      <c r="N21" s="407">
        <f>J21*'E2 Claims &amp; Totals'!N$75*IF($D$102=1,'E3 Carriers'!N$49,'E3 Carriers'!N$48)*(1+$E$102*'E4 Aftermarket'!N$40)*CHOOSE($H$102,'E2 Claims &amp; Totals'!N$116,'E2 Claims &amp; Totals'!N$117,'E2 Claims &amp; Totals'!N$118)</f>
        <v/>
      </c>
      <c r="O21" s="407">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2">
        <f>'E5 Prices &amp; Fees'!$D$45*(1+$F$102)^1*(1+$E$102*'E4 Aftermarket'!H$41)</f>
        <v/>
      </c>
      <c r="I23" s="402">
        <f>'E5 Prices &amp; Fees'!$D$45*(1+$F$102)^1*(1+$E$102*'E4 Aftermarket'!I$41)</f>
        <v/>
      </c>
      <c r="J23" s="402">
        <f>'E5 Prices &amp; Fees'!$D$45*(1+$F$102)^1*(1+$E$102*'E4 Aftermarket'!J$41)</f>
        <v/>
      </c>
      <c r="K23" s="402">
        <f>'E5 Prices &amp; Fees'!$D$45*(1+$F$102)^1*(1+$E$102*'E4 Aftermarket'!K$41)</f>
        <v/>
      </c>
      <c r="L23" s="402">
        <f>'E5 Prices &amp; Fees'!$D$45*(1+$F$102)^2*(1+$E$102*'E4 Aftermarket'!L$41)</f>
        <v/>
      </c>
      <c r="M23" s="402">
        <f>'E5 Prices &amp; Fees'!$D$45*(1+$F$102)^2*(1+$E$102*'E4 Aftermarket'!M$41)</f>
        <v/>
      </c>
      <c r="N23" s="402">
        <f>'E5 Prices &amp; Fees'!$D$45*(1+$F$102)^2*(1+$E$102*'E4 Aftermarket'!N$41)</f>
        <v/>
      </c>
      <c r="O23" s="402">
        <f>'E5 Prices &amp; Fees'!$D$45*(1+$F$102)^2*(1+$E$102*'E4 Aftermarket'!O$41)</f>
        <v/>
      </c>
      <c r="P23" s="401">
        <f>AVERAGE(D23:G23)</f>
        <v/>
      </c>
      <c r="Q23" s="401">
        <f>AVERAGE(H23:K23)</f>
        <v/>
      </c>
      <c r="R23" s="401">
        <f>AVERAGE(L23:O23)</f>
        <v/>
      </c>
    </row>
    <row r="24">
      <c r="B24" s="339" t="inlineStr">
        <is>
          <t>Core RPU</t>
        </is>
      </c>
      <c r="C24" s="364" t="inlineStr">
        <is>
          <t>$</t>
        </is>
      </c>
      <c r="D24" s="402">
        <f>'E5 Prices &amp; Fees'!$D$50*(D23/'E5 Prices &amp; Fees'!$D$45)^'E5 Prices &amp; Fees'!$D$51+IF($D$102=1,'E3 Carriers'!D$56,'E3 Carriers'!D$55)*D23+'E5 Prices &amp; Fees'!$D$48</f>
        <v/>
      </c>
      <c r="E24" s="402">
        <f>'E5 Prices &amp; Fees'!$D$50*(E23/'E5 Prices &amp; Fees'!$D$45)^'E5 Prices &amp; Fees'!$D$51+IF($D$102=1,'E3 Carriers'!E$56,'E3 Carriers'!E$55)*E23+'E5 Prices &amp; Fees'!$D$48</f>
        <v/>
      </c>
      <c r="F24" s="402">
        <f>'E5 Prices &amp; Fees'!$D$50*(F23/'E5 Prices &amp; Fees'!$D$45)^'E5 Prices &amp; Fees'!$D$51+IF($D$102=1,'E3 Carriers'!F$56,'E3 Carriers'!F$55)*F23+'E5 Prices &amp; Fees'!$D$48</f>
        <v/>
      </c>
      <c r="G24" s="402">
        <f>'E5 Prices &amp; Fees'!$D$50*(G23/'E5 Prices &amp; Fees'!$D$45)^'E5 Prices &amp; Fees'!$D$51+IF($D$102=1,'E3 Carriers'!G$56,'E3 Carriers'!G$55)*G23+'E5 Prices &amp; Fees'!$D$48</f>
        <v/>
      </c>
      <c r="H24" s="402">
        <f>'E5 Prices &amp; Fees'!$D$50*(H23/'E5 Prices &amp; Fees'!$D$45)^'E5 Prices &amp; Fees'!$D$51+IF($D$102=1,'E3 Carriers'!H$56,'E3 Carriers'!H$55)*H23+'E5 Prices &amp; Fees'!$D$48</f>
        <v/>
      </c>
      <c r="I24" s="402">
        <f>'E5 Prices &amp; Fees'!$D$50*(I23/'E5 Prices &amp; Fees'!$D$45)^'E5 Prices &amp; Fees'!$D$51+IF($D$102=1,'E3 Carriers'!I$56,'E3 Carriers'!I$55)*I23+'E5 Prices &amp; Fees'!$D$48</f>
        <v/>
      </c>
      <c r="J24" s="402">
        <f>'E5 Prices &amp; Fees'!$D$50*(J23/'E5 Prices &amp; Fees'!$D$45)^'E5 Prices &amp; Fees'!$D$51+IF($D$102=1,'E3 Carriers'!J$56,'E3 Carriers'!J$55)*J23+'E5 Prices &amp; Fees'!$D$48</f>
        <v/>
      </c>
      <c r="K24" s="402">
        <f>'E5 Prices &amp; Fees'!$D$50*(K23/'E5 Prices &amp; Fees'!$D$45)^'E5 Prices &amp; Fees'!$D$51+IF($D$102=1,'E3 Carriers'!K$56,'E3 Carriers'!K$55)*K23+'E5 Prices &amp; Fees'!$D$48</f>
        <v/>
      </c>
      <c r="L24" s="402">
        <f>'E5 Prices &amp; Fees'!$D$50*(L23/'E5 Prices &amp; Fees'!$D$45)^'E5 Prices &amp; Fees'!$D$51+IF($D$102=1,'E3 Carriers'!L$56,'E3 Carriers'!L$55)*L23+'E5 Prices &amp; Fees'!$D$48</f>
        <v/>
      </c>
      <c r="M24" s="402">
        <f>'E5 Prices &amp; Fees'!$D$50*(M23/'E5 Prices &amp; Fees'!$D$45)^'E5 Prices &amp; Fees'!$D$51+IF($D$102=1,'E3 Carriers'!M$56,'E3 Carriers'!M$55)*M23+'E5 Prices &amp; Fees'!$D$48</f>
        <v/>
      </c>
      <c r="N24" s="402">
        <f>'E5 Prices &amp; Fees'!$D$50*(N23/'E5 Prices &amp; Fees'!$D$45)^'E5 Prices &amp; Fees'!$D$51+IF($D$102=1,'E3 Carriers'!N$56,'E3 Carriers'!N$55)*N23+'E5 Prices &amp; Fees'!$D$48</f>
        <v/>
      </c>
      <c r="O24" s="402">
        <f>'E5 Prices &amp; Fees'!$D$50*(O23/'E5 Prices &amp; Fees'!$D$45)^'E5 Prices &amp; Fees'!$D$51+IF($D$102=1,'E3 Carriers'!O$56,'E3 Carriers'!O$55)*O23+'E5 Prices &amp; Fees'!$D$48</f>
        <v/>
      </c>
    </row>
    <row r="25">
      <c r="B25" s="339" t="inlineStr">
        <is>
          <t>All-in insurance RPU</t>
        </is>
      </c>
      <c r="C25" s="364" t="inlineStr">
        <is>
          <t>$</t>
        </is>
      </c>
      <c r="D25" s="402">
        <f>D24+'E5 Prices &amp; Fees'!D24</f>
        <v/>
      </c>
      <c r="E25" s="402">
        <f>E24+'E5 Prices &amp; Fees'!E24</f>
        <v/>
      </c>
      <c r="F25" s="402">
        <f>F24+'E5 Prices &amp; Fees'!F24</f>
        <v/>
      </c>
      <c r="G25" s="402">
        <f>G24+'E5 Prices &amp; Fees'!G24</f>
        <v/>
      </c>
      <c r="H25" s="402">
        <f>H24+'E5 Prices &amp; Fees'!H24</f>
        <v/>
      </c>
      <c r="I25" s="402">
        <f>I24+'E5 Prices &amp; Fees'!I24</f>
        <v/>
      </c>
      <c r="J25" s="402">
        <f>J24+'E5 Prices &amp; Fees'!J24</f>
        <v/>
      </c>
      <c r="K25" s="402">
        <f>K24+'E5 Prices &amp; Fees'!K24</f>
        <v/>
      </c>
      <c r="L25" s="402">
        <f>L24+'E5 Prices &amp; Fees'!L24</f>
        <v/>
      </c>
      <c r="M25" s="402">
        <f>M24+'E5 Prices &amp; Fees'!M24</f>
        <v/>
      </c>
      <c r="N25" s="402">
        <f>N24+'E5 Prices &amp; Fees'!N24</f>
        <v/>
      </c>
      <c r="O25" s="402">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406">
        <f>D29+D30+'E6 Other Branches'!D19</f>
        <v/>
      </c>
      <c r="E31" s="406">
        <f>E29+E30+'E6 Other Branches'!E19</f>
        <v/>
      </c>
      <c r="F31" s="406">
        <f>F29+F30+'E6 Other Branches'!F19</f>
        <v/>
      </c>
      <c r="G31" s="406">
        <f>G29+G30+'E6 Other Branches'!G19</f>
        <v/>
      </c>
      <c r="H31" s="406">
        <f>H29+H30+'E6 Other Branches'!H19</f>
        <v/>
      </c>
      <c r="I31" s="406">
        <f>I29+I30+'E6 Other Branches'!I19</f>
        <v/>
      </c>
      <c r="J31" s="406">
        <f>J29+J30+'E6 Other Branches'!J19</f>
        <v/>
      </c>
      <c r="K31" s="406">
        <f>K29+K30+'E6 Other Branches'!K19</f>
        <v/>
      </c>
      <c r="L31" s="406">
        <f>L29+L30+'E6 Other Branches'!L19</f>
        <v/>
      </c>
      <c r="M31" s="406">
        <f>M29+M30+'E6 Other Branches'!M19</f>
        <v/>
      </c>
      <c r="N31" s="406">
        <f>N29+N30+'E6 Other Branches'!N19</f>
        <v/>
      </c>
      <c r="O31" s="406">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407">
        <f>D34*'E2 Claims &amp; Totals'!H$75*IF($D$103=1,'E3 Carriers'!H$49,'E3 Carriers'!H$48)*(1+$E$103*'E4 Aftermarket'!H$40)*CHOOSE($H$103,'E2 Claims &amp; Totals'!H$116,'E2 Claims &amp; Totals'!H$117,'E2 Claims &amp; Totals'!H$118)</f>
        <v/>
      </c>
      <c r="I34" s="407">
        <f>E34*'E2 Claims &amp; Totals'!I$75*IF($D$103=1,'E3 Carriers'!I$49,'E3 Carriers'!I$48)*(1+$E$103*'E4 Aftermarket'!I$40)*CHOOSE($H$103,'E2 Claims &amp; Totals'!I$116,'E2 Claims &amp; Totals'!I$117,'E2 Claims &amp; Totals'!I$118)</f>
        <v/>
      </c>
      <c r="J34" s="407">
        <f>F34*'E2 Claims &amp; Totals'!J$75*IF($D$103=1,'E3 Carriers'!J$49,'E3 Carriers'!J$48)*(1+$E$103*'E4 Aftermarket'!J$40)*CHOOSE($H$103,'E2 Claims &amp; Totals'!J$116,'E2 Claims &amp; Totals'!J$117,'E2 Claims &amp; Totals'!J$118)</f>
        <v/>
      </c>
      <c r="K34" s="407">
        <f>G34*'E2 Claims &amp; Totals'!K$75*IF($D$103=1,'E3 Carriers'!K$49,'E3 Carriers'!K$48)*(1+$E$103*'E4 Aftermarket'!K$40)*CHOOSE($H$103,'E2 Claims &amp; Totals'!K$116,'E2 Claims &amp; Totals'!K$117,'E2 Claims &amp; Totals'!K$118)</f>
        <v/>
      </c>
      <c r="L34" s="407">
        <f>H34*'E2 Claims &amp; Totals'!L$75*IF($D$103=1,'E3 Carriers'!L$49,'E3 Carriers'!L$48)*(1+$E$103*'E4 Aftermarket'!L$40)*CHOOSE($H$103,'E2 Claims &amp; Totals'!L$116,'E2 Claims &amp; Totals'!L$117,'E2 Claims &amp; Totals'!L$118)</f>
        <v/>
      </c>
      <c r="M34" s="407">
        <f>I34*'E2 Claims &amp; Totals'!M$75*IF($D$103=1,'E3 Carriers'!M$49,'E3 Carriers'!M$48)*(1+$E$103*'E4 Aftermarket'!M$40)*CHOOSE($H$103,'E2 Claims &amp; Totals'!M$116,'E2 Claims &amp; Totals'!M$117,'E2 Claims &amp; Totals'!M$118)</f>
        <v/>
      </c>
      <c r="N34" s="407">
        <f>J34*'E2 Claims &amp; Totals'!N$75*IF($D$103=1,'E3 Carriers'!N$49,'E3 Carriers'!N$48)*(1+$E$103*'E4 Aftermarket'!N$40)*CHOOSE($H$103,'E2 Claims &amp; Totals'!N$116,'E2 Claims &amp; Totals'!N$117,'E2 Claims &amp; Totals'!N$118)</f>
        <v/>
      </c>
      <c r="O34" s="407">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2">
        <f>'E5 Prices &amp; Fees'!$D$45*(1+$F$103)^1*(1+$E$103*'E4 Aftermarket'!H$41)</f>
        <v/>
      </c>
      <c r="I36" s="402">
        <f>'E5 Prices &amp; Fees'!$D$45*(1+$F$103)^1*(1+$E$103*'E4 Aftermarket'!I$41)</f>
        <v/>
      </c>
      <c r="J36" s="402">
        <f>'E5 Prices &amp; Fees'!$D$45*(1+$F$103)^1*(1+$E$103*'E4 Aftermarket'!J$41)</f>
        <v/>
      </c>
      <c r="K36" s="402">
        <f>'E5 Prices &amp; Fees'!$D$45*(1+$F$103)^1*(1+$E$103*'E4 Aftermarket'!K$41)</f>
        <v/>
      </c>
      <c r="L36" s="402">
        <f>'E5 Prices &amp; Fees'!$D$45*(1+$F$103)^2*(1+$E$103*'E4 Aftermarket'!L$41)</f>
        <v/>
      </c>
      <c r="M36" s="402">
        <f>'E5 Prices &amp; Fees'!$D$45*(1+$F$103)^2*(1+$E$103*'E4 Aftermarket'!M$41)</f>
        <v/>
      </c>
      <c r="N36" s="402">
        <f>'E5 Prices &amp; Fees'!$D$45*(1+$F$103)^2*(1+$E$103*'E4 Aftermarket'!N$41)</f>
        <v/>
      </c>
      <c r="O36" s="402">
        <f>'E5 Prices &amp; Fees'!$D$45*(1+$F$103)^2*(1+$E$103*'E4 Aftermarket'!O$41)</f>
        <v/>
      </c>
      <c r="P36" s="401">
        <f>AVERAGE(D36:G36)</f>
        <v/>
      </c>
      <c r="Q36" s="401">
        <f>AVERAGE(H36:K36)</f>
        <v/>
      </c>
      <c r="R36" s="401">
        <f>AVERAGE(L36:O36)</f>
        <v/>
      </c>
    </row>
    <row r="37">
      <c r="B37" s="339" t="inlineStr">
        <is>
          <t>Core RPU</t>
        </is>
      </c>
      <c r="C37" s="364" t="inlineStr">
        <is>
          <t>$</t>
        </is>
      </c>
      <c r="D37" s="402">
        <f>'E5 Prices &amp; Fees'!$D$50*(D36/'E5 Prices &amp; Fees'!$D$45)^'E5 Prices &amp; Fees'!$D$51+IF($D$103=1,'E3 Carriers'!D$56,'E3 Carriers'!D$55)*D36+'E5 Prices &amp; Fees'!$D$48</f>
        <v/>
      </c>
      <c r="E37" s="402">
        <f>'E5 Prices &amp; Fees'!$D$50*(E36/'E5 Prices &amp; Fees'!$D$45)^'E5 Prices &amp; Fees'!$D$51+IF($D$103=1,'E3 Carriers'!E$56,'E3 Carriers'!E$55)*E36+'E5 Prices &amp; Fees'!$D$48</f>
        <v/>
      </c>
      <c r="F37" s="402">
        <f>'E5 Prices &amp; Fees'!$D$50*(F36/'E5 Prices &amp; Fees'!$D$45)^'E5 Prices &amp; Fees'!$D$51+IF($D$103=1,'E3 Carriers'!F$56,'E3 Carriers'!F$55)*F36+'E5 Prices &amp; Fees'!$D$48</f>
        <v/>
      </c>
      <c r="G37" s="402">
        <f>'E5 Prices &amp; Fees'!$D$50*(G36/'E5 Prices &amp; Fees'!$D$45)^'E5 Prices &amp; Fees'!$D$51+IF($D$103=1,'E3 Carriers'!G$56,'E3 Carriers'!G$55)*G36+'E5 Prices &amp; Fees'!$D$48</f>
        <v/>
      </c>
      <c r="H37" s="402">
        <f>'E5 Prices &amp; Fees'!$D$50*(H36/'E5 Prices &amp; Fees'!$D$45)^'E5 Prices &amp; Fees'!$D$51+IF($D$103=1,'E3 Carriers'!H$56,'E3 Carriers'!H$55)*H36+'E5 Prices &amp; Fees'!$D$48</f>
        <v/>
      </c>
      <c r="I37" s="402">
        <f>'E5 Prices &amp; Fees'!$D$50*(I36/'E5 Prices &amp; Fees'!$D$45)^'E5 Prices &amp; Fees'!$D$51+IF($D$103=1,'E3 Carriers'!I$56,'E3 Carriers'!I$55)*I36+'E5 Prices &amp; Fees'!$D$48</f>
        <v/>
      </c>
      <c r="J37" s="402">
        <f>'E5 Prices &amp; Fees'!$D$50*(J36/'E5 Prices &amp; Fees'!$D$45)^'E5 Prices &amp; Fees'!$D$51+IF($D$103=1,'E3 Carriers'!J$56,'E3 Carriers'!J$55)*J36+'E5 Prices &amp; Fees'!$D$48</f>
        <v/>
      </c>
      <c r="K37" s="402">
        <f>'E5 Prices &amp; Fees'!$D$50*(K36/'E5 Prices &amp; Fees'!$D$45)^'E5 Prices &amp; Fees'!$D$51+IF($D$103=1,'E3 Carriers'!K$56,'E3 Carriers'!K$55)*K36+'E5 Prices &amp; Fees'!$D$48</f>
        <v/>
      </c>
      <c r="L37" s="402">
        <f>'E5 Prices &amp; Fees'!$D$50*(L36/'E5 Prices &amp; Fees'!$D$45)^'E5 Prices &amp; Fees'!$D$51+IF($D$103=1,'E3 Carriers'!L$56,'E3 Carriers'!L$55)*L36+'E5 Prices &amp; Fees'!$D$48</f>
        <v/>
      </c>
      <c r="M37" s="402">
        <f>'E5 Prices &amp; Fees'!$D$50*(M36/'E5 Prices &amp; Fees'!$D$45)^'E5 Prices &amp; Fees'!$D$51+IF($D$103=1,'E3 Carriers'!M$56,'E3 Carriers'!M$55)*M36+'E5 Prices &amp; Fees'!$D$48</f>
        <v/>
      </c>
      <c r="N37" s="402">
        <f>'E5 Prices &amp; Fees'!$D$50*(N36/'E5 Prices &amp; Fees'!$D$45)^'E5 Prices &amp; Fees'!$D$51+IF($D$103=1,'E3 Carriers'!N$56,'E3 Carriers'!N$55)*N36+'E5 Prices &amp; Fees'!$D$48</f>
        <v/>
      </c>
      <c r="O37" s="402">
        <f>'E5 Prices &amp; Fees'!$D$50*(O36/'E5 Prices &amp; Fees'!$D$45)^'E5 Prices &amp; Fees'!$D$51+IF($D$103=1,'E3 Carriers'!O$56,'E3 Carriers'!O$55)*O36+'E5 Prices &amp; Fees'!$D$48</f>
        <v/>
      </c>
    </row>
    <row r="38">
      <c r="B38" s="339" t="inlineStr">
        <is>
          <t>All-in insurance RPU</t>
        </is>
      </c>
      <c r="C38" s="364" t="inlineStr">
        <is>
          <t>$</t>
        </is>
      </c>
      <c r="D38" s="402">
        <f>D37+'E5 Prices &amp; Fees'!D24</f>
        <v/>
      </c>
      <c r="E38" s="402">
        <f>E37+'E5 Prices &amp; Fees'!E24</f>
        <v/>
      </c>
      <c r="F38" s="402">
        <f>F37+'E5 Prices &amp; Fees'!F24</f>
        <v/>
      </c>
      <c r="G38" s="402">
        <f>G37+'E5 Prices &amp; Fees'!G24</f>
        <v/>
      </c>
      <c r="H38" s="402">
        <f>H37+'E5 Prices &amp; Fees'!H24</f>
        <v/>
      </c>
      <c r="I38" s="402">
        <f>I37+'E5 Prices &amp; Fees'!I24</f>
        <v/>
      </c>
      <c r="J38" s="402">
        <f>J37+'E5 Prices &amp; Fees'!J24</f>
        <v/>
      </c>
      <c r="K38" s="402">
        <f>K37+'E5 Prices &amp; Fees'!K24</f>
        <v/>
      </c>
      <c r="L38" s="402">
        <f>L37+'E5 Prices &amp; Fees'!L24</f>
        <v/>
      </c>
      <c r="M38" s="402">
        <f>M37+'E5 Prices &amp; Fees'!M24</f>
        <v/>
      </c>
      <c r="N38" s="402">
        <f>N37+'E5 Prices &amp; Fees'!N24</f>
        <v/>
      </c>
      <c r="O38" s="402">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406">
        <f>D42+D43+'E6 Other Branches'!D19</f>
        <v/>
      </c>
      <c r="E44" s="406">
        <f>E42+E43+'E6 Other Branches'!E19</f>
        <v/>
      </c>
      <c r="F44" s="406">
        <f>F42+F43+'E6 Other Branches'!F19</f>
        <v/>
      </c>
      <c r="G44" s="406">
        <f>G42+G43+'E6 Other Branches'!G19</f>
        <v/>
      </c>
      <c r="H44" s="406">
        <f>H42+H43+'E6 Other Branches'!H19</f>
        <v/>
      </c>
      <c r="I44" s="406">
        <f>I42+I43+'E6 Other Branches'!I19</f>
        <v/>
      </c>
      <c r="J44" s="406">
        <f>J42+J43+'E6 Other Branches'!J19</f>
        <v/>
      </c>
      <c r="K44" s="406">
        <f>K42+K43+'E6 Other Branches'!K19</f>
        <v/>
      </c>
      <c r="L44" s="406">
        <f>L42+L43+'E6 Other Branches'!L19</f>
        <v/>
      </c>
      <c r="M44" s="406">
        <f>M42+M43+'E6 Other Branches'!M19</f>
        <v/>
      </c>
      <c r="N44" s="406">
        <f>N42+N43+'E6 Other Branches'!N19</f>
        <v/>
      </c>
      <c r="O44" s="406">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407">
        <f>D47*'E2 Claims &amp; Totals'!H$75*IF($D$104=1,'E3 Carriers'!H$49,'E3 Carriers'!H$48)*(1+$E$104*'E4 Aftermarket'!H$40)*CHOOSE($H$104,'E2 Claims &amp; Totals'!H$116,'E2 Claims &amp; Totals'!H$117,'E2 Claims &amp; Totals'!H$118)</f>
        <v/>
      </c>
      <c r="I47" s="407">
        <f>E47*'E2 Claims &amp; Totals'!I$75*IF($D$104=1,'E3 Carriers'!I$49,'E3 Carriers'!I$48)*(1+$E$104*'E4 Aftermarket'!I$40)*CHOOSE($H$104,'E2 Claims &amp; Totals'!I$116,'E2 Claims &amp; Totals'!I$117,'E2 Claims &amp; Totals'!I$118)</f>
        <v/>
      </c>
      <c r="J47" s="407">
        <f>F47*'E2 Claims &amp; Totals'!J$75*IF($D$104=1,'E3 Carriers'!J$49,'E3 Carriers'!J$48)*(1+$E$104*'E4 Aftermarket'!J$40)*CHOOSE($H$104,'E2 Claims &amp; Totals'!J$116,'E2 Claims &amp; Totals'!J$117,'E2 Claims &amp; Totals'!J$118)</f>
        <v/>
      </c>
      <c r="K47" s="407">
        <f>G47*'E2 Claims &amp; Totals'!K$75*IF($D$104=1,'E3 Carriers'!K$49,'E3 Carriers'!K$48)*(1+$E$104*'E4 Aftermarket'!K$40)*CHOOSE($H$104,'E2 Claims &amp; Totals'!K$116,'E2 Claims &amp; Totals'!K$117,'E2 Claims &amp; Totals'!K$118)</f>
        <v/>
      </c>
      <c r="L47" s="407">
        <f>H47*'E2 Claims &amp; Totals'!L$75*IF($D$104=1,'E3 Carriers'!L$49,'E3 Carriers'!L$48)*(1+$E$104*'E4 Aftermarket'!L$40)*CHOOSE($H$104,'E2 Claims &amp; Totals'!L$116,'E2 Claims &amp; Totals'!L$117,'E2 Claims &amp; Totals'!L$118)</f>
        <v/>
      </c>
      <c r="M47" s="407">
        <f>I47*'E2 Claims &amp; Totals'!M$75*IF($D$104=1,'E3 Carriers'!M$49,'E3 Carriers'!M$48)*(1+$E$104*'E4 Aftermarket'!M$40)*CHOOSE($H$104,'E2 Claims &amp; Totals'!M$116,'E2 Claims &amp; Totals'!M$117,'E2 Claims &amp; Totals'!M$118)</f>
        <v/>
      </c>
      <c r="N47" s="407">
        <f>J47*'E2 Claims &amp; Totals'!N$75*IF($D$104=1,'E3 Carriers'!N$49,'E3 Carriers'!N$48)*(1+$E$104*'E4 Aftermarket'!N$40)*CHOOSE($H$104,'E2 Claims &amp; Totals'!N$116,'E2 Claims &amp; Totals'!N$117,'E2 Claims &amp; Totals'!N$118)</f>
        <v/>
      </c>
      <c r="O47" s="407">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2">
        <f>'E5 Prices &amp; Fees'!$D$45*(1+$F$104)^1*(1+$E$104*'E4 Aftermarket'!H$41)</f>
        <v/>
      </c>
      <c r="I49" s="402">
        <f>'E5 Prices &amp; Fees'!$D$45*(1+$F$104)^1*(1+$E$104*'E4 Aftermarket'!I$41)</f>
        <v/>
      </c>
      <c r="J49" s="402">
        <f>'E5 Prices &amp; Fees'!$D$45*(1+$F$104)^1*(1+$E$104*'E4 Aftermarket'!J$41)</f>
        <v/>
      </c>
      <c r="K49" s="402">
        <f>'E5 Prices &amp; Fees'!$D$45*(1+$F$104)^1*(1+$E$104*'E4 Aftermarket'!K$41)</f>
        <v/>
      </c>
      <c r="L49" s="402">
        <f>'E5 Prices &amp; Fees'!$D$45*(1+$F$104)^2*(1+$E$104*'E4 Aftermarket'!L$41)</f>
        <v/>
      </c>
      <c r="M49" s="402">
        <f>'E5 Prices &amp; Fees'!$D$45*(1+$F$104)^2*(1+$E$104*'E4 Aftermarket'!M$41)</f>
        <v/>
      </c>
      <c r="N49" s="402">
        <f>'E5 Prices &amp; Fees'!$D$45*(1+$F$104)^2*(1+$E$104*'E4 Aftermarket'!N$41)</f>
        <v/>
      </c>
      <c r="O49" s="402">
        <f>'E5 Prices &amp; Fees'!$D$45*(1+$F$104)^2*(1+$E$104*'E4 Aftermarket'!O$41)</f>
        <v/>
      </c>
      <c r="P49" s="401">
        <f>AVERAGE(D49:G49)</f>
        <v/>
      </c>
      <c r="Q49" s="401">
        <f>AVERAGE(H49:K49)</f>
        <v/>
      </c>
      <c r="R49" s="401">
        <f>AVERAGE(L49:O49)</f>
        <v/>
      </c>
    </row>
    <row r="50">
      <c r="B50" s="339" t="inlineStr">
        <is>
          <t>Core RPU</t>
        </is>
      </c>
      <c r="C50" s="364" t="inlineStr">
        <is>
          <t>$</t>
        </is>
      </c>
      <c r="D50" s="402">
        <f>'E5 Prices &amp; Fees'!$D$50*(D49/'E5 Prices &amp; Fees'!$D$45)^'E5 Prices &amp; Fees'!$D$51+IF($D$104=1,'E3 Carriers'!D$56,'E3 Carriers'!D$55)*D49+'E5 Prices &amp; Fees'!$D$48</f>
        <v/>
      </c>
      <c r="E50" s="402">
        <f>'E5 Prices &amp; Fees'!$D$50*(E49/'E5 Prices &amp; Fees'!$D$45)^'E5 Prices &amp; Fees'!$D$51+IF($D$104=1,'E3 Carriers'!E$56,'E3 Carriers'!E$55)*E49+'E5 Prices &amp; Fees'!$D$48</f>
        <v/>
      </c>
      <c r="F50" s="402">
        <f>'E5 Prices &amp; Fees'!$D$50*(F49/'E5 Prices &amp; Fees'!$D$45)^'E5 Prices &amp; Fees'!$D$51+IF($D$104=1,'E3 Carriers'!F$56,'E3 Carriers'!F$55)*F49+'E5 Prices &amp; Fees'!$D$48</f>
        <v/>
      </c>
      <c r="G50" s="402">
        <f>'E5 Prices &amp; Fees'!$D$50*(G49/'E5 Prices &amp; Fees'!$D$45)^'E5 Prices &amp; Fees'!$D$51+IF($D$104=1,'E3 Carriers'!G$56,'E3 Carriers'!G$55)*G49+'E5 Prices &amp; Fees'!$D$48</f>
        <v/>
      </c>
      <c r="H50" s="402">
        <f>'E5 Prices &amp; Fees'!$D$50*(H49/'E5 Prices &amp; Fees'!$D$45)^'E5 Prices &amp; Fees'!$D$51+IF($D$104=1,'E3 Carriers'!H$56,'E3 Carriers'!H$55)*H49+'E5 Prices &amp; Fees'!$D$48</f>
        <v/>
      </c>
      <c r="I50" s="402">
        <f>'E5 Prices &amp; Fees'!$D$50*(I49/'E5 Prices &amp; Fees'!$D$45)^'E5 Prices &amp; Fees'!$D$51+IF($D$104=1,'E3 Carriers'!I$56,'E3 Carriers'!I$55)*I49+'E5 Prices &amp; Fees'!$D$48</f>
        <v/>
      </c>
      <c r="J50" s="402">
        <f>'E5 Prices &amp; Fees'!$D$50*(J49/'E5 Prices &amp; Fees'!$D$45)^'E5 Prices &amp; Fees'!$D$51+IF($D$104=1,'E3 Carriers'!J$56,'E3 Carriers'!J$55)*J49+'E5 Prices &amp; Fees'!$D$48</f>
        <v/>
      </c>
      <c r="K50" s="402">
        <f>'E5 Prices &amp; Fees'!$D$50*(K49/'E5 Prices &amp; Fees'!$D$45)^'E5 Prices &amp; Fees'!$D$51+IF($D$104=1,'E3 Carriers'!K$56,'E3 Carriers'!K$55)*K49+'E5 Prices &amp; Fees'!$D$48</f>
        <v/>
      </c>
      <c r="L50" s="402">
        <f>'E5 Prices &amp; Fees'!$D$50*(L49/'E5 Prices &amp; Fees'!$D$45)^'E5 Prices &amp; Fees'!$D$51+IF($D$104=1,'E3 Carriers'!L$56,'E3 Carriers'!L$55)*L49+'E5 Prices &amp; Fees'!$D$48</f>
        <v/>
      </c>
      <c r="M50" s="402">
        <f>'E5 Prices &amp; Fees'!$D$50*(M49/'E5 Prices &amp; Fees'!$D$45)^'E5 Prices &amp; Fees'!$D$51+IF($D$104=1,'E3 Carriers'!M$56,'E3 Carriers'!M$55)*M49+'E5 Prices &amp; Fees'!$D$48</f>
        <v/>
      </c>
      <c r="N50" s="402">
        <f>'E5 Prices &amp; Fees'!$D$50*(N49/'E5 Prices &amp; Fees'!$D$45)^'E5 Prices &amp; Fees'!$D$51+IF($D$104=1,'E3 Carriers'!N$56,'E3 Carriers'!N$55)*N49+'E5 Prices &amp; Fees'!$D$48</f>
        <v/>
      </c>
      <c r="O50" s="402">
        <f>'E5 Prices &amp; Fees'!$D$50*(O49/'E5 Prices &amp; Fees'!$D$45)^'E5 Prices &amp; Fees'!$D$51+IF($D$104=1,'E3 Carriers'!O$56,'E3 Carriers'!O$55)*O49+'E5 Prices &amp; Fees'!$D$48</f>
        <v/>
      </c>
    </row>
    <row r="51">
      <c r="B51" s="339" t="inlineStr">
        <is>
          <t>All-in insurance RPU</t>
        </is>
      </c>
      <c r="C51" s="364" t="inlineStr">
        <is>
          <t>$</t>
        </is>
      </c>
      <c r="D51" s="402">
        <f>D50+'E5 Prices &amp; Fees'!D24</f>
        <v/>
      </c>
      <c r="E51" s="402">
        <f>E50+'E5 Prices &amp; Fees'!E24</f>
        <v/>
      </c>
      <c r="F51" s="402">
        <f>F50+'E5 Prices &amp; Fees'!F24</f>
        <v/>
      </c>
      <c r="G51" s="402">
        <f>G50+'E5 Prices &amp; Fees'!G24</f>
        <v/>
      </c>
      <c r="H51" s="402">
        <f>H50+'E5 Prices &amp; Fees'!H24</f>
        <v/>
      </c>
      <c r="I51" s="402">
        <f>I50+'E5 Prices &amp; Fees'!I24</f>
        <v/>
      </c>
      <c r="J51" s="402">
        <f>J50+'E5 Prices &amp; Fees'!J24</f>
        <v/>
      </c>
      <c r="K51" s="402">
        <f>K50+'E5 Prices &amp; Fees'!K24</f>
        <v/>
      </c>
      <c r="L51" s="402">
        <f>L50+'E5 Prices &amp; Fees'!L24</f>
        <v/>
      </c>
      <c r="M51" s="402">
        <f>M50+'E5 Prices &amp; Fees'!M24</f>
        <v/>
      </c>
      <c r="N51" s="402">
        <f>N50+'E5 Prices &amp; Fees'!N24</f>
        <v/>
      </c>
      <c r="O51" s="402">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406">
        <f>D55+D56+'E6 Other Branches'!D19</f>
        <v/>
      </c>
      <c r="E57" s="406">
        <f>E55+E56+'E6 Other Branches'!E19</f>
        <v/>
      </c>
      <c r="F57" s="406">
        <f>F55+F56+'E6 Other Branches'!F19</f>
        <v/>
      </c>
      <c r="G57" s="406">
        <f>G55+G56+'E6 Other Branches'!G19</f>
        <v/>
      </c>
      <c r="H57" s="406">
        <f>H55+H56+'E6 Other Branches'!H19</f>
        <v/>
      </c>
      <c r="I57" s="406">
        <f>I55+I56+'E6 Other Branches'!I19</f>
        <v/>
      </c>
      <c r="J57" s="406">
        <f>J55+J56+'E6 Other Branches'!J19</f>
        <v/>
      </c>
      <c r="K57" s="406">
        <f>K55+K56+'E6 Other Branches'!K19</f>
        <v/>
      </c>
      <c r="L57" s="406">
        <f>L55+L56+'E6 Other Branches'!L19</f>
        <v/>
      </c>
      <c r="M57" s="406">
        <f>M55+M56+'E6 Other Branches'!M19</f>
        <v/>
      </c>
      <c r="N57" s="406">
        <f>N55+N56+'E6 Other Branches'!N19</f>
        <v/>
      </c>
      <c r="O57" s="406">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407">
        <f>D60*'E2 Claims &amp; Totals'!H$75*IF($D$105=1,'E3 Carriers'!H$49,'E3 Carriers'!H$48)*(1+$E$105*'E4 Aftermarket'!H$40)*CHOOSE($H$105,'E2 Claims &amp; Totals'!H$116,'E2 Claims &amp; Totals'!H$117,'E2 Claims &amp; Totals'!H$118)</f>
        <v/>
      </c>
      <c r="I60" s="407">
        <f>E60*'E2 Claims &amp; Totals'!I$75*IF($D$105=1,'E3 Carriers'!I$49,'E3 Carriers'!I$48)*(1+$E$105*'E4 Aftermarket'!I$40)*CHOOSE($H$105,'E2 Claims &amp; Totals'!I$116,'E2 Claims &amp; Totals'!I$117,'E2 Claims &amp; Totals'!I$118)</f>
        <v/>
      </c>
      <c r="J60" s="407">
        <f>F60*'E2 Claims &amp; Totals'!J$75*IF($D$105=1,'E3 Carriers'!J$49,'E3 Carriers'!J$48)*(1+$E$105*'E4 Aftermarket'!J$40)*CHOOSE($H$105,'E2 Claims &amp; Totals'!J$116,'E2 Claims &amp; Totals'!J$117,'E2 Claims &amp; Totals'!J$118)</f>
        <v/>
      </c>
      <c r="K60" s="407">
        <f>G60*'E2 Claims &amp; Totals'!K$75*IF($D$105=1,'E3 Carriers'!K$49,'E3 Carriers'!K$48)*(1+$E$105*'E4 Aftermarket'!K$40)*CHOOSE($H$105,'E2 Claims &amp; Totals'!K$116,'E2 Claims &amp; Totals'!K$117,'E2 Claims &amp; Totals'!K$118)</f>
        <v/>
      </c>
      <c r="L60" s="407">
        <f>H60*'E2 Claims &amp; Totals'!L$75*IF($D$105=1,'E3 Carriers'!L$49,'E3 Carriers'!L$48)*(1+$E$105*'E4 Aftermarket'!L$40)*CHOOSE($H$105,'E2 Claims &amp; Totals'!L$116,'E2 Claims &amp; Totals'!L$117,'E2 Claims &amp; Totals'!L$118)</f>
        <v/>
      </c>
      <c r="M60" s="407">
        <f>I60*'E2 Claims &amp; Totals'!M$75*IF($D$105=1,'E3 Carriers'!M$49,'E3 Carriers'!M$48)*(1+$E$105*'E4 Aftermarket'!M$40)*CHOOSE($H$105,'E2 Claims &amp; Totals'!M$116,'E2 Claims &amp; Totals'!M$117,'E2 Claims &amp; Totals'!M$118)</f>
        <v/>
      </c>
      <c r="N60" s="407">
        <f>J60*'E2 Claims &amp; Totals'!N$75*IF($D$105=1,'E3 Carriers'!N$49,'E3 Carriers'!N$48)*(1+$E$105*'E4 Aftermarket'!N$40)*CHOOSE($H$105,'E2 Claims &amp; Totals'!N$116,'E2 Claims &amp; Totals'!N$117,'E2 Claims &amp; Totals'!N$118)</f>
        <v/>
      </c>
      <c r="O60" s="407">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2">
        <f>'E5 Prices &amp; Fees'!$D$45*(1+$F$105)^1*(1+$E$105*'E4 Aftermarket'!H$41)</f>
        <v/>
      </c>
      <c r="I62" s="402">
        <f>'E5 Prices &amp; Fees'!$D$45*(1+$F$105)^1*(1+$E$105*'E4 Aftermarket'!I$41)</f>
        <v/>
      </c>
      <c r="J62" s="402">
        <f>'E5 Prices &amp; Fees'!$D$45*(1+$F$105)^1*(1+$E$105*'E4 Aftermarket'!J$41)</f>
        <v/>
      </c>
      <c r="K62" s="402">
        <f>'E5 Prices &amp; Fees'!$D$45*(1+$F$105)^1*(1+$E$105*'E4 Aftermarket'!K$41)</f>
        <v/>
      </c>
      <c r="L62" s="402">
        <f>'E5 Prices &amp; Fees'!$D$45*(1+$F$105)^2*(1+$E$105*'E4 Aftermarket'!L$41)</f>
        <v/>
      </c>
      <c r="M62" s="402">
        <f>'E5 Prices &amp; Fees'!$D$45*(1+$F$105)^2*(1+$E$105*'E4 Aftermarket'!M$41)</f>
        <v/>
      </c>
      <c r="N62" s="402">
        <f>'E5 Prices &amp; Fees'!$D$45*(1+$F$105)^2*(1+$E$105*'E4 Aftermarket'!N$41)</f>
        <v/>
      </c>
      <c r="O62" s="402">
        <f>'E5 Prices &amp; Fees'!$D$45*(1+$F$105)^2*(1+$E$105*'E4 Aftermarket'!O$41)</f>
        <v/>
      </c>
      <c r="P62" s="401">
        <f>AVERAGE(D62:G62)</f>
        <v/>
      </c>
      <c r="Q62" s="401">
        <f>AVERAGE(H62:K62)</f>
        <v/>
      </c>
      <c r="R62" s="401">
        <f>AVERAGE(L62:O62)</f>
        <v/>
      </c>
    </row>
    <row r="63">
      <c r="B63" s="339" t="inlineStr">
        <is>
          <t>Core RPU</t>
        </is>
      </c>
      <c r="C63" s="364" t="inlineStr">
        <is>
          <t>$</t>
        </is>
      </c>
      <c r="D63" s="402">
        <f>'E5 Prices &amp; Fees'!$D$50*(D62/'E5 Prices &amp; Fees'!$D$45)^'E5 Prices &amp; Fees'!$D$51+IF($D$105=1,'E3 Carriers'!D$56,'E3 Carriers'!D$55)*D62+'E5 Prices &amp; Fees'!$D$48</f>
        <v/>
      </c>
      <c r="E63" s="402">
        <f>'E5 Prices &amp; Fees'!$D$50*(E62/'E5 Prices &amp; Fees'!$D$45)^'E5 Prices &amp; Fees'!$D$51+IF($D$105=1,'E3 Carriers'!E$56,'E3 Carriers'!E$55)*E62+'E5 Prices &amp; Fees'!$D$48</f>
        <v/>
      </c>
      <c r="F63" s="402">
        <f>'E5 Prices &amp; Fees'!$D$50*(F62/'E5 Prices &amp; Fees'!$D$45)^'E5 Prices &amp; Fees'!$D$51+IF($D$105=1,'E3 Carriers'!F$56,'E3 Carriers'!F$55)*F62+'E5 Prices &amp; Fees'!$D$48</f>
        <v/>
      </c>
      <c r="G63" s="402">
        <f>'E5 Prices &amp; Fees'!$D$50*(G62/'E5 Prices &amp; Fees'!$D$45)^'E5 Prices &amp; Fees'!$D$51+IF($D$105=1,'E3 Carriers'!G$56,'E3 Carriers'!G$55)*G62+'E5 Prices &amp; Fees'!$D$48</f>
        <v/>
      </c>
      <c r="H63" s="402">
        <f>'E5 Prices &amp; Fees'!$D$50*(H62/'E5 Prices &amp; Fees'!$D$45)^'E5 Prices &amp; Fees'!$D$51+IF($D$105=1,'E3 Carriers'!H$56,'E3 Carriers'!H$55)*H62+'E5 Prices &amp; Fees'!$D$48</f>
        <v/>
      </c>
      <c r="I63" s="402">
        <f>'E5 Prices &amp; Fees'!$D$50*(I62/'E5 Prices &amp; Fees'!$D$45)^'E5 Prices &amp; Fees'!$D$51+IF($D$105=1,'E3 Carriers'!I$56,'E3 Carriers'!I$55)*I62+'E5 Prices &amp; Fees'!$D$48</f>
        <v/>
      </c>
      <c r="J63" s="402">
        <f>'E5 Prices &amp; Fees'!$D$50*(J62/'E5 Prices &amp; Fees'!$D$45)^'E5 Prices &amp; Fees'!$D$51+IF($D$105=1,'E3 Carriers'!J$56,'E3 Carriers'!J$55)*J62+'E5 Prices &amp; Fees'!$D$48</f>
        <v/>
      </c>
      <c r="K63" s="402">
        <f>'E5 Prices &amp; Fees'!$D$50*(K62/'E5 Prices &amp; Fees'!$D$45)^'E5 Prices &amp; Fees'!$D$51+IF($D$105=1,'E3 Carriers'!K$56,'E3 Carriers'!K$55)*K62+'E5 Prices &amp; Fees'!$D$48</f>
        <v/>
      </c>
      <c r="L63" s="402">
        <f>'E5 Prices &amp; Fees'!$D$50*(L62/'E5 Prices &amp; Fees'!$D$45)^'E5 Prices &amp; Fees'!$D$51+IF($D$105=1,'E3 Carriers'!L$56,'E3 Carriers'!L$55)*L62+'E5 Prices &amp; Fees'!$D$48</f>
        <v/>
      </c>
      <c r="M63" s="402">
        <f>'E5 Prices &amp; Fees'!$D$50*(M62/'E5 Prices &amp; Fees'!$D$45)^'E5 Prices &amp; Fees'!$D$51+IF($D$105=1,'E3 Carriers'!M$56,'E3 Carriers'!M$55)*M62+'E5 Prices &amp; Fees'!$D$48</f>
        <v/>
      </c>
      <c r="N63" s="402">
        <f>'E5 Prices &amp; Fees'!$D$50*(N62/'E5 Prices &amp; Fees'!$D$45)^'E5 Prices &amp; Fees'!$D$51+IF($D$105=1,'E3 Carriers'!N$56,'E3 Carriers'!N$55)*N62+'E5 Prices &amp; Fees'!$D$48</f>
        <v/>
      </c>
      <c r="O63" s="402">
        <f>'E5 Prices &amp; Fees'!$D$50*(O62/'E5 Prices &amp; Fees'!$D$45)^'E5 Prices &amp; Fees'!$D$51+IF($D$105=1,'E3 Carriers'!O$56,'E3 Carriers'!O$55)*O62+'E5 Prices &amp; Fees'!$D$48</f>
        <v/>
      </c>
    </row>
    <row r="64">
      <c r="B64" s="339" t="inlineStr">
        <is>
          <t>All-in insurance RPU</t>
        </is>
      </c>
      <c r="C64" s="364" t="inlineStr">
        <is>
          <t>$</t>
        </is>
      </c>
      <c r="D64" s="402">
        <f>D63+'E5 Prices &amp; Fees'!D24</f>
        <v/>
      </c>
      <c r="E64" s="402">
        <f>E63+'E5 Prices &amp; Fees'!E24</f>
        <v/>
      </c>
      <c r="F64" s="402">
        <f>F63+'E5 Prices &amp; Fees'!F24</f>
        <v/>
      </c>
      <c r="G64" s="402">
        <f>G63+'E5 Prices &amp; Fees'!G24</f>
        <v/>
      </c>
      <c r="H64" s="402">
        <f>H63+'E5 Prices &amp; Fees'!H24</f>
        <v/>
      </c>
      <c r="I64" s="402">
        <f>I63+'E5 Prices &amp; Fees'!I24</f>
        <v/>
      </c>
      <c r="J64" s="402">
        <f>J63+'E5 Prices &amp; Fees'!J24</f>
        <v/>
      </c>
      <c r="K64" s="402">
        <f>K63+'E5 Prices &amp; Fees'!K24</f>
        <v/>
      </c>
      <c r="L64" s="402">
        <f>L63+'E5 Prices &amp; Fees'!L24</f>
        <v/>
      </c>
      <c r="M64" s="402">
        <f>M63+'E5 Prices &amp; Fees'!M24</f>
        <v/>
      </c>
      <c r="N64" s="402">
        <f>N63+'E5 Prices &amp; Fees'!N24</f>
        <v/>
      </c>
      <c r="O64" s="402">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406">
        <f>D68+D69+'E6 Other Branches'!D19</f>
        <v/>
      </c>
      <c r="E70" s="406">
        <f>E68+E69+'E6 Other Branches'!E19</f>
        <v/>
      </c>
      <c r="F70" s="406">
        <f>F68+F69+'E6 Other Branches'!F19</f>
        <v/>
      </c>
      <c r="G70" s="406">
        <f>G68+G69+'E6 Other Branches'!G19</f>
        <v/>
      </c>
      <c r="H70" s="406">
        <f>H68+H69+'E6 Other Branches'!H19</f>
        <v/>
      </c>
      <c r="I70" s="406">
        <f>I68+I69+'E6 Other Branches'!I19</f>
        <v/>
      </c>
      <c r="J70" s="406">
        <f>J68+J69+'E6 Other Branches'!J19</f>
        <v/>
      </c>
      <c r="K70" s="406">
        <f>K68+K69+'E6 Other Branches'!K19</f>
        <v/>
      </c>
      <c r="L70" s="406">
        <f>L68+L69+'E6 Other Branches'!L19</f>
        <v/>
      </c>
      <c r="M70" s="406">
        <f>M68+M69+'E6 Other Branches'!M19</f>
        <v/>
      </c>
      <c r="N70" s="406">
        <f>N68+N69+'E6 Other Branches'!N19</f>
        <v/>
      </c>
      <c r="O70" s="406">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407">
        <f>D73*'E2 Claims &amp; Totals'!H$75*IF($D$106=1,'E3 Carriers'!H$49,'E3 Carriers'!H$48)*(1+$E$106*'E4 Aftermarket'!H$40)*CHOOSE($H$106,'E2 Claims &amp; Totals'!H$116,'E2 Claims &amp; Totals'!H$117,'E2 Claims &amp; Totals'!H$118)</f>
        <v/>
      </c>
      <c r="I73" s="407">
        <f>E73*'E2 Claims &amp; Totals'!I$75*IF($D$106=1,'E3 Carriers'!I$49,'E3 Carriers'!I$48)*(1+$E$106*'E4 Aftermarket'!I$40)*CHOOSE($H$106,'E2 Claims &amp; Totals'!I$116,'E2 Claims &amp; Totals'!I$117,'E2 Claims &amp; Totals'!I$118)</f>
        <v/>
      </c>
      <c r="J73" s="407">
        <f>F73*'E2 Claims &amp; Totals'!J$75*IF($D$106=1,'E3 Carriers'!J$49,'E3 Carriers'!J$48)*(1+$E$106*'E4 Aftermarket'!J$40)*CHOOSE($H$106,'E2 Claims &amp; Totals'!J$116,'E2 Claims &amp; Totals'!J$117,'E2 Claims &amp; Totals'!J$118)</f>
        <v/>
      </c>
      <c r="K73" s="407">
        <f>G73*'E2 Claims &amp; Totals'!K$75*IF($D$106=1,'E3 Carriers'!K$49,'E3 Carriers'!K$48)*(1+$E$106*'E4 Aftermarket'!K$40)*CHOOSE($H$106,'E2 Claims &amp; Totals'!K$116,'E2 Claims &amp; Totals'!K$117,'E2 Claims &amp; Totals'!K$118)</f>
        <v/>
      </c>
      <c r="L73" s="407">
        <f>H73*'E2 Claims &amp; Totals'!L$75*IF($D$106=1,'E3 Carriers'!L$49,'E3 Carriers'!L$48)*(1+$E$106*'E4 Aftermarket'!L$40)*CHOOSE($H$106,'E2 Claims &amp; Totals'!L$116,'E2 Claims &amp; Totals'!L$117,'E2 Claims &amp; Totals'!L$118)</f>
        <v/>
      </c>
      <c r="M73" s="407">
        <f>I73*'E2 Claims &amp; Totals'!M$75*IF($D$106=1,'E3 Carriers'!M$49,'E3 Carriers'!M$48)*(1+$E$106*'E4 Aftermarket'!M$40)*CHOOSE($H$106,'E2 Claims &amp; Totals'!M$116,'E2 Claims &amp; Totals'!M$117,'E2 Claims &amp; Totals'!M$118)</f>
        <v/>
      </c>
      <c r="N73" s="407">
        <f>J73*'E2 Claims &amp; Totals'!N$75*IF($D$106=1,'E3 Carriers'!N$49,'E3 Carriers'!N$48)*(1+$E$106*'E4 Aftermarket'!N$40)*CHOOSE($H$106,'E2 Claims &amp; Totals'!N$116,'E2 Claims &amp; Totals'!N$117,'E2 Claims &amp; Totals'!N$118)</f>
        <v/>
      </c>
      <c r="O73" s="407">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2">
        <f>'E5 Prices &amp; Fees'!$D$45*(1+$F$106)^1*(1+$E$106*'E4 Aftermarket'!H$41)</f>
        <v/>
      </c>
      <c r="I75" s="402">
        <f>'E5 Prices &amp; Fees'!$D$45*(1+$F$106)^1*(1+$E$106*'E4 Aftermarket'!I$41)</f>
        <v/>
      </c>
      <c r="J75" s="402">
        <f>'E5 Prices &amp; Fees'!$D$45*(1+$F$106)^1*(1+$E$106*'E4 Aftermarket'!J$41)</f>
        <v/>
      </c>
      <c r="K75" s="402">
        <f>'E5 Prices &amp; Fees'!$D$45*(1+$F$106)^1*(1+$E$106*'E4 Aftermarket'!K$41)</f>
        <v/>
      </c>
      <c r="L75" s="402">
        <f>'E5 Prices &amp; Fees'!$D$45*(1+$F$106)^2*(1+$E$106*'E4 Aftermarket'!L$41)</f>
        <v/>
      </c>
      <c r="M75" s="402">
        <f>'E5 Prices &amp; Fees'!$D$45*(1+$F$106)^2*(1+$E$106*'E4 Aftermarket'!M$41)</f>
        <v/>
      </c>
      <c r="N75" s="402">
        <f>'E5 Prices &amp; Fees'!$D$45*(1+$F$106)^2*(1+$E$106*'E4 Aftermarket'!N$41)</f>
        <v/>
      </c>
      <c r="O75" s="402">
        <f>'E5 Prices &amp; Fees'!$D$45*(1+$F$106)^2*(1+$E$106*'E4 Aftermarket'!O$41)</f>
        <v/>
      </c>
      <c r="P75" s="401">
        <f>AVERAGE(D75:G75)</f>
        <v/>
      </c>
      <c r="Q75" s="401">
        <f>AVERAGE(H75:K75)</f>
        <v/>
      </c>
      <c r="R75" s="401">
        <f>AVERAGE(L75:O75)</f>
        <v/>
      </c>
    </row>
    <row r="76">
      <c r="B76" s="339" t="inlineStr">
        <is>
          <t>Core RPU</t>
        </is>
      </c>
      <c r="C76" s="364" t="inlineStr">
        <is>
          <t>$</t>
        </is>
      </c>
      <c r="D76" s="402">
        <f>'E5 Prices &amp; Fees'!$D$50*(D75/'E5 Prices &amp; Fees'!$D$45)^'E5 Prices &amp; Fees'!$D$51+IF($D$106=1,'E3 Carriers'!D$56,'E3 Carriers'!D$55)*D75+'E5 Prices &amp; Fees'!$D$48</f>
        <v/>
      </c>
      <c r="E76" s="402">
        <f>'E5 Prices &amp; Fees'!$D$50*(E75/'E5 Prices &amp; Fees'!$D$45)^'E5 Prices &amp; Fees'!$D$51+IF($D$106=1,'E3 Carriers'!E$56,'E3 Carriers'!E$55)*E75+'E5 Prices &amp; Fees'!$D$48</f>
        <v/>
      </c>
      <c r="F76" s="402">
        <f>'E5 Prices &amp; Fees'!$D$50*(F75/'E5 Prices &amp; Fees'!$D$45)^'E5 Prices &amp; Fees'!$D$51+IF($D$106=1,'E3 Carriers'!F$56,'E3 Carriers'!F$55)*F75+'E5 Prices &amp; Fees'!$D$48</f>
        <v/>
      </c>
      <c r="G76" s="402">
        <f>'E5 Prices &amp; Fees'!$D$50*(G75/'E5 Prices &amp; Fees'!$D$45)^'E5 Prices &amp; Fees'!$D$51+IF($D$106=1,'E3 Carriers'!G$56,'E3 Carriers'!G$55)*G75+'E5 Prices &amp; Fees'!$D$48</f>
        <v/>
      </c>
      <c r="H76" s="402">
        <f>'E5 Prices &amp; Fees'!$D$50*(H75/'E5 Prices &amp; Fees'!$D$45)^'E5 Prices &amp; Fees'!$D$51+IF($D$106=1,'E3 Carriers'!H$56,'E3 Carriers'!H$55)*H75+'E5 Prices &amp; Fees'!$D$48</f>
        <v/>
      </c>
      <c r="I76" s="402">
        <f>'E5 Prices &amp; Fees'!$D$50*(I75/'E5 Prices &amp; Fees'!$D$45)^'E5 Prices &amp; Fees'!$D$51+IF($D$106=1,'E3 Carriers'!I$56,'E3 Carriers'!I$55)*I75+'E5 Prices &amp; Fees'!$D$48</f>
        <v/>
      </c>
      <c r="J76" s="402">
        <f>'E5 Prices &amp; Fees'!$D$50*(J75/'E5 Prices &amp; Fees'!$D$45)^'E5 Prices &amp; Fees'!$D$51+IF($D$106=1,'E3 Carriers'!J$56,'E3 Carriers'!J$55)*J75+'E5 Prices &amp; Fees'!$D$48</f>
        <v/>
      </c>
      <c r="K76" s="402">
        <f>'E5 Prices &amp; Fees'!$D$50*(K75/'E5 Prices &amp; Fees'!$D$45)^'E5 Prices &amp; Fees'!$D$51+IF($D$106=1,'E3 Carriers'!K$56,'E3 Carriers'!K$55)*K75+'E5 Prices &amp; Fees'!$D$48</f>
        <v/>
      </c>
      <c r="L76" s="402">
        <f>'E5 Prices &amp; Fees'!$D$50*(L75/'E5 Prices &amp; Fees'!$D$45)^'E5 Prices &amp; Fees'!$D$51+IF($D$106=1,'E3 Carriers'!L$56,'E3 Carriers'!L$55)*L75+'E5 Prices &amp; Fees'!$D$48</f>
        <v/>
      </c>
      <c r="M76" s="402">
        <f>'E5 Prices &amp; Fees'!$D$50*(M75/'E5 Prices &amp; Fees'!$D$45)^'E5 Prices &amp; Fees'!$D$51+IF($D$106=1,'E3 Carriers'!M$56,'E3 Carriers'!M$55)*M75+'E5 Prices &amp; Fees'!$D$48</f>
        <v/>
      </c>
      <c r="N76" s="402">
        <f>'E5 Prices &amp; Fees'!$D$50*(N75/'E5 Prices &amp; Fees'!$D$45)^'E5 Prices &amp; Fees'!$D$51+IF($D$106=1,'E3 Carriers'!N$56,'E3 Carriers'!N$55)*N75+'E5 Prices &amp; Fees'!$D$48</f>
        <v/>
      </c>
      <c r="O76" s="402">
        <f>'E5 Prices &amp; Fees'!$D$50*(O75/'E5 Prices &amp; Fees'!$D$45)^'E5 Prices &amp; Fees'!$D$51+IF($D$106=1,'E3 Carriers'!O$56,'E3 Carriers'!O$55)*O75+'E5 Prices &amp; Fees'!$D$48</f>
        <v/>
      </c>
    </row>
    <row r="77">
      <c r="B77" s="339" t="inlineStr">
        <is>
          <t>All-in insurance RPU</t>
        </is>
      </c>
      <c r="C77" s="364" t="inlineStr">
        <is>
          <t>$</t>
        </is>
      </c>
      <c r="D77" s="402">
        <f>D76+'E5 Prices &amp; Fees'!D24</f>
        <v/>
      </c>
      <c r="E77" s="402">
        <f>E76+'E5 Prices &amp; Fees'!E24</f>
        <v/>
      </c>
      <c r="F77" s="402">
        <f>F76+'E5 Prices &amp; Fees'!F24</f>
        <v/>
      </c>
      <c r="G77" s="402">
        <f>G76+'E5 Prices &amp; Fees'!G24</f>
        <v/>
      </c>
      <c r="H77" s="402">
        <f>H76+'E5 Prices &amp; Fees'!H24</f>
        <v/>
      </c>
      <c r="I77" s="402">
        <f>I76+'E5 Prices &amp; Fees'!I24</f>
        <v/>
      </c>
      <c r="J77" s="402">
        <f>J76+'E5 Prices &amp; Fees'!J24</f>
        <v/>
      </c>
      <c r="K77" s="402">
        <f>K76+'E5 Prices &amp; Fees'!K24</f>
        <v/>
      </c>
      <c r="L77" s="402">
        <f>L76+'E5 Prices &amp; Fees'!L24</f>
        <v/>
      </c>
      <c r="M77" s="402">
        <f>M76+'E5 Prices &amp; Fees'!M24</f>
        <v/>
      </c>
      <c r="N77" s="402">
        <f>N76+'E5 Prices &amp; Fees'!N24</f>
        <v/>
      </c>
      <c r="O77" s="402">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406">
        <f>D81+D82+'E6 Other Branches'!D19</f>
        <v/>
      </c>
      <c r="E83" s="406">
        <f>E81+E82+'E6 Other Branches'!E19</f>
        <v/>
      </c>
      <c r="F83" s="406">
        <f>F81+F82+'E6 Other Branches'!F19</f>
        <v/>
      </c>
      <c r="G83" s="406">
        <f>G81+G82+'E6 Other Branches'!G19</f>
        <v/>
      </c>
      <c r="H83" s="406">
        <f>H81+H82+'E6 Other Branches'!H19</f>
        <v/>
      </c>
      <c r="I83" s="406">
        <f>I81+I82+'E6 Other Branches'!I19</f>
        <v/>
      </c>
      <c r="J83" s="406">
        <f>J81+J82+'E6 Other Branches'!J19</f>
        <v/>
      </c>
      <c r="K83" s="406">
        <f>K81+K82+'E6 Other Branches'!K19</f>
        <v/>
      </c>
      <c r="L83" s="406">
        <f>L81+L82+'E6 Other Branches'!L19</f>
        <v/>
      </c>
      <c r="M83" s="406">
        <f>M81+M82+'E6 Other Branches'!M19</f>
        <v/>
      </c>
      <c r="N83" s="406">
        <f>N81+N82+'E6 Other Branches'!N19</f>
        <v/>
      </c>
      <c r="O83" s="406">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407">
        <f>D86*'E2 Claims &amp; Totals'!H$75*IF($D$107=1,'E3 Carriers'!H$49,'E3 Carriers'!H$48)*(1+$E$107*'E4 Aftermarket'!H$40)*CHOOSE($H$107,'E2 Claims &amp; Totals'!H$116,'E2 Claims &amp; Totals'!H$117,'E2 Claims &amp; Totals'!H$118)</f>
        <v/>
      </c>
      <c r="I86" s="407">
        <f>E86*'E2 Claims &amp; Totals'!I$75*IF($D$107=1,'E3 Carriers'!I$49,'E3 Carriers'!I$48)*(1+$E$107*'E4 Aftermarket'!I$40)*CHOOSE($H$107,'E2 Claims &amp; Totals'!I$116,'E2 Claims &amp; Totals'!I$117,'E2 Claims &amp; Totals'!I$118)</f>
        <v/>
      </c>
      <c r="J86" s="407">
        <f>F86*'E2 Claims &amp; Totals'!J$75*IF($D$107=1,'E3 Carriers'!J$49,'E3 Carriers'!J$48)*(1+$E$107*'E4 Aftermarket'!J$40)*CHOOSE($H$107,'E2 Claims &amp; Totals'!J$116,'E2 Claims &amp; Totals'!J$117,'E2 Claims &amp; Totals'!J$118)</f>
        <v/>
      </c>
      <c r="K86" s="407">
        <f>G86*'E2 Claims &amp; Totals'!K$75*IF($D$107=1,'E3 Carriers'!K$49,'E3 Carriers'!K$48)*(1+$E$107*'E4 Aftermarket'!K$40)*CHOOSE($H$107,'E2 Claims &amp; Totals'!K$116,'E2 Claims &amp; Totals'!K$117,'E2 Claims &amp; Totals'!K$118)</f>
        <v/>
      </c>
      <c r="L86" s="407">
        <f>H86*'E2 Claims &amp; Totals'!L$75*IF($D$107=1,'E3 Carriers'!L$49,'E3 Carriers'!L$48)*(1+$E$107*'E4 Aftermarket'!L$40)*CHOOSE($H$107,'E2 Claims &amp; Totals'!L$116,'E2 Claims &amp; Totals'!L$117,'E2 Claims &amp; Totals'!L$118)</f>
        <v/>
      </c>
      <c r="M86" s="407">
        <f>I86*'E2 Claims &amp; Totals'!M$75*IF($D$107=1,'E3 Carriers'!M$49,'E3 Carriers'!M$48)*(1+$E$107*'E4 Aftermarket'!M$40)*CHOOSE($H$107,'E2 Claims &amp; Totals'!M$116,'E2 Claims &amp; Totals'!M$117,'E2 Claims &amp; Totals'!M$118)</f>
        <v/>
      </c>
      <c r="N86" s="407">
        <f>J86*'E2 Claims &amp; Totals'!N$75*IF($D$107=1,'E3 Carriers'!N$49,'E3 Carriers'!N$48)*(1+$E$107*'E4 Aftermarket'!N$40)*CHOOSE($H$107,'E2 Claims &amp; Totals'!N$116,'E2 Claims &amp; Totals'!N$117,'E2 Claims &amp; Totals'!N$118)</f>
        <v/>
      </c>
      <c r="O86" s="407">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2">
        <f>'E5 Prices &amp; Fees'!$D$45*(1+$F$107)^1*(1+$E$107*'E4 Aftermarket'!H$41)</f>
        <v/>
      </c>
      <c r="I88" s="402">
        <f>'E5 Prices &amp; Fees'!$D$45*(1+$F$107)^1*(1+$E$107*'E4 Aftermarket'!I$41)</f>
        <v/>
      </c>
      <c r="J88" s="402">
        <f>'E5 Prices &amp; Fees'!$D$45*(1+$F$107)^1*(1+$E$107*'E4 Aftermarket'!J$41)</f>
        <v/>
      </c>
      <c r="K88" s="402">
        <f>'E5 Prices &amp; Fees'!$D$45*(1+$F$107)^1*(1+$E$107*'E4 Aftermarket'!K$41)</f>
        <v/>
      </c>
      <c r="L88" s="402">
        <f>'E5 Prices &amp; Fees'!$D$45*(1+$F$107)^2*(1+$E$107*'E4 Aftermarket'!L$41)</f>
        <v/>
      </c>
      <c r="M88" s="402">
        <f>'E5 Prices &amp; Fees'!$D$45*(1+$F$107)^2*(1+$E$107*'E4 Aftermarket'!M$41)</f>
        <v/>
      </c>
      <c r="N88" s="402">
        <f>'E5 Prices &amp; Fees'!$D$45*(1+$F$107)^2*(1+$E$107*'E4 Aftermarket'!N$41)</f>
        <v/>
      </c>
      <c r="O88" s="402">
        <f>'E5 Prices &amp; Fees'!$D$45*(1+$F$107)^2*(1+$E$107*'E4 Aftermarket'!O$41)</f>
        <v/>
      </c>
      <c r="P88" s="401">
        <f>AVERAGE(D88:G88)</f>
        <v/>
      </c>
      <c r="Q88" s="401">
        <f>AVERAGE(H88:K88)</f>
        <v/>
      </c>
      <c r="R88" s="401">
        <f>AVERAGE(L88:O88)</f>
        <v/>
      </c>
    </row>
    <row r="89">
      <c r="B89" s="339" t="inlineStr">
        <is>
          <t>Core RPU</t>
        </is>
      </c>
      <c r="C89" s="364" t="inlineStr">
        <is>
          <t>$</t>
        </is>
      </c>
      <c r="D89" s="402">
        <f>'E5 Prices &amp; Fees'!$D$50*(D88/'E5 Prices &amp; Fees'!$D$45)^'E5 Prices &amp; Fees'!$D$51+IF($D$107=1,'E3 Carriers'!D$56,'E3 Carriers'!D$55)*D88+'E5 Prices &amp; Fees'!$D$48</f>
        <v/>
      </c>
      <c r="E89" s="402">
        <f>'E5 Prices &amp; Fees'!$D$50*(E88/'E5 Prices &amp; Fees'!$D$45)^'E5 Prices &amp; Fees'!$D$51+IF($D$107=1,'E3 Carriers'!E$56,'E3 Carriers'!E$55)*E88+'E5 Prices &amp; Fees'!$D$48</f>
        <v/>
      </c>
      <c r="F89" s="402">
        <f>'E5 Prices &amp; Fees'!$D$50*(F88/'E5 Prices &amp; Fees'!$D$45)^'E5 Prices &amp; Fees'!$D$51+IF($D$107=1,'E3 Carriers'!F$56,'E3 Carriers'!F$55)*F88+'E5 Prices &amp; Fees'!$D$48</f>
        <v/>
      </c>
      <c r="G89" s="402">
        <f>'E5 Prices &amp; Fees'!$D$50*(G88/'E5 Prices &amp; Fees'!$D$45)^'E5 Prices &amp; Fees'!$D$51+IF($D$107=1,'E3 Carriers'!G$56,'E3 Carriers'!G$55)*G88+'E5 Prices &amp; Fees'!$D$48</f>
        <v/>
      </c>
      <c r="H89" s="402">
        <f>'E5 Prices &amp; Fees'!$D$50*(H88/'E5 Prices &amp; Fees'!$D$45)^'E5 Prices &amp; Fees'!$D$51+IF($D$107=1,'E3 Carriers'!H$56,'E3 Carriers'!H$55)*H88+'E5 Prices &amp; Fees'!$D$48</f>
        <v/>
      </c>
      <c r="I89" s="402">
        <f>'E5 Prices &amp; Fees'!$D$50*(I88/'E5 Prices &amp; Fees'!$D$45)^'E5 Prices &amp; Fees'!$D$51+IF($D$107=1,'E3 Carriers'!I$56,'E3 Carriers'!I$55)*I88+'E5 Prices &amp; Fees'!$D$48</f>
        <v/>
      </c>
      <c r="J89" s="402">
        <f>'E5 Prices &amp; Fees'!$D$50*(J88/'E5 Prices &amp; Fees'!$D$45)^'E5 Prices &amp; Fees'!$D$51+IF($D$107=1,'E3 Carriers'!J$56,'E3 Carriers'!J$55)*J88+'E5 Prices &amp; Fees'!$D$48</f>
        <v/>
      </c>
      <c r="K89" s="402">
        <f>'E5 Prices &amp; Fees'!$D$50*(K88/'E5 Prices &amp; Fees'!$D$45)^'E5 Prices &amp; Fees'!$D$51+IF($D$107=1,'E3 Carriers'!K$56,'E3 Carriers'!K$55)*K88+'E5 Prices &amp; Fees'!$D$48</f>
        <v/>
      </c>
      <c r="L89" s="402">
        <f>'E5 Prices &amp; Fees'!$D$50*(L88/'E5 Prices &amp; Fees'!$D$45)^'E5 Prices &amp; Fees'!$D$51+IF($D$107=1,'E3 Carriers'!L$56,'E3 Carriers'!L$55)*L88+'E5 Prices &amp; Fees'!$D$48</f>
        <v/>
      </c>
      <c r="M89" s="402">
        <f>'E5 Prices &amp; Fees'!$D$50*(M88/'E5 Prices &amp; Fees'!$D$45)^'E5 Prices &amp; Fees'!$D$51+IF($D$107=1,'E3 Carriers'!M$56,'E3 Carriers'!M$55)*M88+'E5 Prices &amp; Fees'!$D$48</f>
        <v/>
      </c>
      <c r="N89" s="402">
        <f>'E5 Prices &amp; Fees'!$D$50*(N88/'E5 Prices &amp; Fees'!$D$45)^'E5 Prices &amp; Fees'!$D$51+IF($D$107=1,'E3 Carriers'!N$56,'E3 Carriers'!N$55)*N88+'E5 Prices &amp; Fees'!$D$48</f>
        <v/>
      </c>
      <c r="O89" s="402">
        <f>'E5 Prices &amp; Fees'!$D$50*(O88/'E5 Prices &amp; Fees'!$D$45)^'E5 Prices &amp; Fees'!$D$51+IF($D$107=1,'E3 Carriers'!O$56,'E3 Carriers'!O$55)*O88+'E5 Prices &amp; Fees'!$D$48</f>
        <v/>
      </c>
    </row>
    <row r="90">
      <c r="B90" s="339" t="inlineStr">
        <is>
          <t>All-in insurance RPU</t>
        </is>
      </c>
      <c r="C90" s="364" t="inlineStr">
        <is>
          <t>$</t>
        </is>
      </c>
      <c r="D90" s="402">
        <f>D89+'E5 Prices &amp; Fees'!D24</f>
        <v/>
      </c>
      <c r="E90" s="402">
        <f>E89+'E5 Prices &amp; Fees'!E24</f>
        <v/>
      </c>
      <c r="F90" s="402">
        <f>F89+'E5 Prices &amp; Fees'!F24</f>
        <v/>
      </c>
      <c r="G90" s="402">
        <f>G89+'E5 Prices &amp; Fees'!G24</f>
        <v/>
      </c>
      <c r="H90" s="402">
        <f>H89+'E5 Prices &amp; Fees'!H24</f>
        <v/>
      </c>
      <c r="I90" s="402">
        <f>I89+'E5 Prices &amp; Fees'!I24</f>
        <v/>
      </c>
      <c r="J90" s="402">
        <f>J89+'E5 Prices &amp; Fees'!J24</f>
        <v/>
      </c>
      <c r="K90" s="402">
        <f>K89+'E5 Prices &amp; Fees'!K24</f>
        <v/>
      </c>
      <c r="L90" s="402">
        <f>L89+'E5 Prices &amp; Fees'!L24</f>
        <v/>
      </c>
      <c r="M90" s="402">
        <f>M89+'E5 Prices &amp; Fees'!M24</f>
        <v/>
      </c>
      <c r="N90" s="402">
        <f>N89+'E5 Prices &amp; Fees'!N24</f>
        <v/>
      </c>
      <c r="O90" s="402">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406">
        <f>D94+D95+'E6 Other Branches'!D19</f>
        <v/>
      </c>
      <c r="E96" s="406">
        <f>E94+E95+'E6 Other Branches'!E19</f>
        <v/>
      </c>
      <c r="F96" s="406">
        <f>F94+F95+'E6 Other Branches'!F19</f>
        <v/>
      </c>
      <c r="G96" s="406">
        <f>G94+G95+'E6 Other Branches'!G19</f>
        <v/>
      </c>
      <c r="H96" s="406">
        <f>H94+H95+'E6 Other Branches'!H19</f>
        <v/>
      </c>
      <c r="I96" s="406">
        <f>I94+I95+'E6 Other Branches'!I19</f>
        <v/>
      </c>
      <c r="J96" s="406">
        <f>J94+J95+'E6 Other Branches'!J19</f>
        <v/>
      </c>
      <c r="K96" s="406">
        <f>K94+K95+'E6 Other Branches'!K19</f>
        <v/>
      </c>
      <c r="L96" s="406">
        <f>L94+L95+'E6 Other Branches'!L19</f>
        <v/>
      </c>
      <c r="M96" s="406">
        <f>M94+M95+'E6 Other Branches'!M19</f>
        <v/>
      </c>
      <c r="N96" s="406">
        <f>N94+N95+'E6 Other Branches'!N19</f>
        <v/>
      </c>
      <c r="O96" s="406">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51">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06">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06">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51">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A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3"/>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19"/>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2"/>
    <row r="23">
      <c r="B23" s="335"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000E2841"/>
    <outlinePr summaryBelow="1" summaryRight="1"/>
    <pageSetUpPr/>
  </sheetPr>
  <dimension ref="A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3"/>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1"/>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21.xml><?xml version="1.0" encoding="utf-8"?>
<worksheet xmlns="http://schemas.openxmlformats.org/spreadsheetml/2006/main">
  <sheetPr>
    <tabColor rgb="000E2841"/>
    <outlinePr summaryBelow="1" summaryRight="1"/>
    <pageSetUpPr/>
  </sheetPr>
  <dimension ref="A1:S3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3"/>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461">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8">
      <c r="B18" s="339" t="inlineStr">
        <is>
          <t>3SM: balance sheet balances, FY2027E</t>
        </is>
      </c>
      <c r="D18" s="348">
        <f>'3SM'!I77</f>
        <v/>
      </c>
      <c r="E18" s="383" t="n">
        <v>0</v>
      </c>
      <c r="F18" s="379">
        <f>D18-E18</f>
        <v/>
      </c>
      <c r="G18" s="343">
        <f>IF(ABS(F18)&lt;=0.01,"PASS","FAIL")</f>
        <v/>
      </c>
    </row>
    <row r="19">
      <c r="B19" s="339" t="inlineStr">
        <is>
          <t>3SM: balance sheet balances, FY2031E</t>
        </is>
      </c>
      <c r="D19" s="348">
        <f>'3SM'!M77</f>
        <v/>
      </c>
      <c r="E19" s="383" t="n">
        <v>0</v>
      </c>
      <c r="F19" s="379">
        <f>D19-E19</f>
        <v/>
      </c>
      <c r="G19" s="343">
        <f>IF(ABS(F19)&lt;=0.01,"PASS","FAIL")</f>
        <v/>
      </c>
    </row>
    <row r="20">
      <c r="B20" s="339" t="inlineStr">
        <is>
          <t>3SM: cash flow ending cash ties to balance-sheet cash, FY2031E</t>
        </is>
      </c>
      <c r="D20" s="348">
        <f>'3SM'!M115</f>
        <v/>
      </c>
      <c r="E20" s="383" t="n">
        <v>0</v>
      </c>
      <c r="F20" s="379">
        <f>D20-E20</f>
        <v/>
      </c>
      <c r="G20" s="343">
        <f>IF(ABS(F20)&lt;=0.01,"PASS","FAIL")</f>
        <v/>
      </c>
    </row>
    <row r="21">
      <c r="B21" s="339" t="inlineStr">
        <is>
          <t>3SM: FY2026A total assets tie to PitchBook</t>
        </is>
      </c>
      <c r="D21" s="351">
        <f>'3SM'!H62</f>
        <v/>
      </c>
      <c r="E21" s="351">
        <f>'PB BS (Annual)'!M78/1000</f>
        <v/>
      </c>
      <c r="F21" s="366">
        <f>D21-E21</f>
        <v/>
      </c>
      <c r="G21" s="343">
        <f>IF(ABS(F21)&lt;=0.01,"PASS","FAIL")</f>
        <v/>
      </c>
    </row>
    <row r="22">
      <c r="B22" s="339" t="inlineStr">
        <is>
          <t>3SM: FY2026A operating income ties to the 10-K (1,652.6)</t>
        </is>
      </c>
      <c r="D22" s="351">
        <f>'3SM'!H15</f>
        <v/>
      </c>
      <c r="E22" s="351">
        <f>'D 10-K FY26'!C41</f>
        <v/>
      </c>
      <c r="F22" s="366">
        <f>D22-E22</f>
        <v/>
      </c>
      <c r="G22" s="343">
        <f>IF(ABS(F22)&lt;=0.05,"PASS","FAIL")</f>
        <v/>
      </c>
    </row>
    <row r="23">
      <c r="B23" s="339" t="inlineStr">
        <is>
          <t>3SM: FY2026A adjusted EBITDA ties to Barclays (1,882) within $1m</t>
        </is>
      </c>
      <c r="D23" s="351">
        <f>'3SM'!H18</f>
        <v/>
      </c>
      <c r="E23" s="351">
        <f>'D Barclays'!D6</f>
        <v/>
      </c>
      <c r="F23" s="366">
        <f>D23-E23</f>
        <v/>
      </c>
      <c r="G23" s="343">
        <f>IF(ABS(F23)&lt;=1.0,"PASS","FAIL")</f>
        <v/>
      </c>
    </row>
    <row r="24">
      <c r="B24" s="339" t="inlineStr">
        <is>
          <t>3SM: FY2026A CFO ties to PitchBook / 10-K (1,604.5)</t>
        </is>
      </c>
      <c r="D24" s="351">
        <f>'3SM'!H97</f>
        <v/>
      </c>
      <c r="E24" s="351">
        <f>'PB CF (Annual)'!M56/1000</f>
        <v/>
      </c>
      <c r="F24" s="366">
        <f>D24-E24</f>
        <v/>
      </c>
      <c r="G24" s="343">
        <f>IF(ABS(F24)&lt;=0.01,"PASS","FAIL")</f>
        <v/>
      </c>
    </row>
    <row r="25">
      <c r="B25" s="339" t="inlineStr">
        <is>
          <t>RPM FY2026 service revenue (owner-typed) equals the 10-K (3,969.5)</t>
        </is>
      </c>
      <c r="D25" s="351">
        <f>RPM!H10</f>
        <v/>
      </c>
      <c r="E25" s="351">
        <f>'D 10-K FY26'!C36</f>
        <v/>
      </c>
      <c r="F25" s="366">
        <f>D25-E25</f>
        <v/>
      </c>
      <c r="G25" s="343">
        <f>IF(ABS(F25)&lt;=0.1,"PASS","FAIL")</f>
        <v/>
      </c>
    </row>
    <row r="26">
      <c r="B26" s="339" t="inlineStr">
        <is>
          <t>DCF reads the 3SM: D&amp;A FY2027E</t>
        </is>
      </c>
      <c r="D26" s="351">
        <f>DCF!I29</f>
        <v/>
      </c>
      <c r="E26" s="351">
        <f>'3SM'!I17</f>
        <v/>
      </c>
      <c r="F26" s="366">
        <f>D26-E26</f>
        <v/>
      </c>
      <c r="G26" s="343">
        <f>IF(ABS(F26)&lt;=0.001,"PASS","FAIL")</f>
        <v/>
      </c>
    </row>
    <row r="27">
      <c r="B27" s="339" t="inlineStr">
        <is>
          <t>DCF reads the 3SM: capex FY2027E</t>
        </is>
      </c>
      <c r="D27" s="351">
        <f>DCF!I59</f>
        <v/>
      </c>
      <c r="E27" s="351">
        <f>'3SM'!I99</f>
        <v/>
      </c>
      <c r="F27" s="366">
        <f>D27-E27</f>
        <v/>
      </c>
      <c r="G27" s="343">
        <f>IF(ABS(F27)&lt;=0.001,"PASS","FAIL")</f>
        <v/>
      </c>
    </row>
    <row r="28"/>
    <row r="29">
      <c r="B29" s="343" t="inlineStr">
        <is>
          <t>Typed numbers inside calculation blocks (should be reference rows only)</t>
        </is>
      </c>
      <c r="D29" s="415" t="n">
        <v>6</v>
      </c>
      <c r="E29" s="335" t="inlineStr">
        <is>
          <t>E3 Carriers!I77=2; E3 Carriers!I78=4; E3 Carriers!D79=0.12; E3 Carriers!I79=3; E3 Carriers!D80=-0.2; E3 Carriers!I80=2.2</t>
        </is>
      </c>
    </row>
    <row r="30">
      <c r="B30" s="343" t="inlineStr">
        <is>
          <t>Verified / measured / engine data typed on engine tabs instead of linked to a data tab (must be 0)</t>
        </is>
      </c>
      <c r="D30" s="415" t="n">
        <v>0</v>
      </c>
      <c r="E30" s="335" t="inlineStr"/>
    </row>
    <row r="31">
      <c r="B31" s="343" t="inlineStr">
        <is>
          <t>Inputs without a source note (from the Sources tab; must be 0)</t>
        </is>
      </c>
      <c r="D31" s="415" t="n">
        <v>0</v>
      </c>
      <c r="E31" s="335" t="inlineStr"/>
    </row>
    <row r="32"/>
    <row r="33">
      <c r="B33" s="335"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A1:B3"/>
  <sheetViews>
    <sheetView showGridLines="0" workbookViewId="0">
      <selection activeCell="A1" sqref="A1"/>
    </sheetView>
  </sheetViews>
  <sheetFormatPr baseColWidth="8" defaultRowHeight="15"/>
  <cols>
    <col width="40" customWidth="1" min="2" max="2"/>
  </cols>
  <sheetData>
    <row r="1"/>
    <row r="2"/>
    <row r="3">
      <c r="B3" s="370" t="inlineStr">
        <is>
          <t>DATA -----&gt;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A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3"/>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19"/>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0"/>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49"/>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A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3"/>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A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3"/>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3"/>
    <row r="24">
      <c r="B24" s="335"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A1:S57"/>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3"/>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PARSED from the text extraction; owner to read from Note 12 (reserved shares for all plans 43,587,656)</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cash equivalents, and restricted cash ($m), 31 Jul 2026 / 2025</t>
        </is>
      </c>
      <c r="C12" s="414" t="n">
        <v>1907.901</v>
      </c>
      <c r="D12" s="414" t="n">
        <v>2780.531</v>
      </c>
      <c r="F12" s="347" t="inlineStr">
        <is>
          <t>$m</t>
        </is>
      </c>
      <c r="I12" s="335" t="inlineStr">
        <is>
          <t>Consolidated balance sheets: "Cash, cash equivalents, and restricted cash"</t>
        </is>
      </c>
    </row>
    <row r="13">
      <c r="B13" s="339" t="inlineStr">
        <is>
          <t>Investment in held to maturity securities ($m), 31 Jul 2026 / 2025</t>
        </is>
      </c>
      <c r="C13" s="414" t="n">
        <v>2581.901</v>
      </c>
      <c r="D13" s="414" t="n">
        <v>2008.539</v>
      </c>
      <c r="F13" s="347" t="inlineStr">
        <is>
          <t>$m</t>
        </is>
      </c>
      <c r="I13" s="335" t="inlineStr">
        <is>
          <t>Consolidated balance sheets: "Investment in held to maturity securities"</t>
        </is>
      </c>
    </row>
    <row r="14">
      <c r="B14" s="339" t="inlineStr">
        <is>
          <t>Income taxes receivable ($m), 31 Jul 2026 / 2025</t>
        </is>
      </c>
      <c r="C14" s="414" t="n">
        <v>49.856</v>
      </c>
      <c r="D14" s="414" t="n">
        <v>0.58</v>
      </c>
      <c r="F14" s="347" t="inlineStr">
        <is>
          <t>$m</t>
        </is>
      </c>
      <c r="I14" s="335" t="inlineStr">
        <is>
          <t>Consolidated balance sheets: "Income taxes receivable"</t>
        </is>
      </c>
    </row>
    <row r="15">
      <c r="B15" s="339" t="inlineStr">
        <is>
          <t>Prepaid expenses and other assets ($m), 31 Jul 2026 / 2025</t>
        </is>
      </c>
      <c r="C15" s="414" t="n">
        <v>44.959</v>
      </c>
      <c r="D15" s="414" t="n">
        <v>46.361</v>
      </c>
      <c r="F15" s="347" t="inlineStr">
        <is>
          <t>$m</t>
        </is>
      </c>
      <c r="I15" s="335" t="inlineStr">
        <is>
          <t>Consolidated balance sheets: "Prepaid expenses and other assets"</t>
        </is>
      </c>
    </row>
    <row r="16">
      <c r="B16" s="339" t="inlineStr">
        <is>
          <t>Accounts receivable, net ($m), 31 Jul 2026 / 2025</t>
        </is>
      </c>
      <c r="C16" s="414" t="n">
        <v>809.247</v>
      </c>
      <c r="D16" s="414" t="n">
        <v>762.811</v>
      </c>
      <c r="F16" s="347" t="inlineStr">
        <is>
          <t>$m</t>
        </is>
      </c>
      <c r="I16" s="335" t="inlineStr">
        <is>
          <t>Consolidated balance sheets: "Accounts receivable, net"</t>
        </is>
      </c>
    </row>
    <row r="17">
      <c r="B17" s="339" t="inlineStr">
        <is>
          <t>Vehicle pooling costs ($m), 31 Jul 2026 / 2025</t>
        </is>
      </c>
      <c r="C17" s="414" t="n">
        <v>122.948</v>
      </c>
      <c r="D17" s="414" t="n">
        <v>116.145</v>
      </c>
      <c r="F17" s="347" t="inlineStr">
        <is>
          <t>$m</t>
        </is>
      </c>
      <c r="I17" s="335" t="inlineStr">
        <is>
          <t>Consolidated balance sheets: "Vehicle pooling costs"</t>
        </is>
      </c>
    </row>
    <row r="18">
      <c r="B18" s="339" t="inlineStr">
        <is>
          <t>Inventories ($m), 31 Jul 2026 / 2025</t>
        </is>
      </c>
      <c r="C18" s="414" t="n">
        <v>51.382</v>
      </c>
      <c r="D18" s="414" t="n">
        <v>39.661</v>
      </c>
      <c r="F18" s="347" t="inlineStr">
        <is>
          <t>$m</t>
        </is>
      </c>
      <c r="I18" s="335" t="inlineStr">
        <is>
          <t>Consolidated balance sheets: "Inventories"</t>
        </is>
      </c>
    </row>
    <row r="19">
      <c r="B19" s="339" t="inlineStr">
        <is>
          <t>Total current assets ($m), 31 Jul 2026 / 2025</t>
        </is>
      </c>
      <c r="C19" s="414" t="n">
        <v>5568.194</v>
      </c>
      <c r="D19" s="414" t="n">
        <v>5754.628</v>
      </c>
      <c r="F19" s="347" t="inlineStr">
        <is>
          <t>$m</t>
        </is>
      </c>
      <c r="I19" s="335" t="inlineStr">
        <is>
          <t>Consolidated balance sheets: "Total current assets"</t>
        </is>
      </c>
    </row>
    <row r="20">
      <c r="B20" s="339" t="inlineStr">
        <is>
          <t>Property and equipment, net ($m), 31 Jul 2026 / 2025</t>
        </is>
      </c>
      <c r="C20" s="414" t="n">
        <v>3733.22</v>
      </c>
      <c r="D20" s="414" t="n">
        <v>3598.093</v>
      </c>
      <c r="F20" s="347" t="inlineStr">
        <is>
          <t>$m</t>
        </is>
      </c>
      <c r="I20" s="335" t="inlineStr">
        <is>
          <t>Consolidated balance sheets: "Property and equipment, net"</t>
        </is>
      </c>
    </row>
    <row r="21">
      <c r="B21" s="339" t="inlineStr">
        <is>
          <t>Operating lease right-of-use assets ($m), 31 Jul 2026 / 2025</t>
        </is>
      </c>
      <c r="C21" s="414" t="n">
        <v>83.72799999999999</v>
      </c>
      <c r="D21" s="414" t="n">
        <v>99.708</v>
      </c>
      <c r="F21" s="347" t="inlineStr">
        <is>
          <t>$m</t>
        </is>
      </c>
      <c r="I21" s="335" t="inlineStr">
        <is>
          <t>Consolidated balance sheets: "Operating lease right-of-use assets"</t>
        </is>
      </c>
    </row>
    <row r="22">
      <c r="B22" s="339" t="inlineStr">
        <is>
          <t>Intangibles, net ($m), 31 Jul 2026 / 2025</t>
        </is>
      </c>
      <c r="C22" s="414" t="n">
        <v>50.477</v>
      </c>
      <c r="D22" s="414" t="n">
        <v>62.832</v>
      </c>
      <c r="F22" s="347" t="inlineStr">
        <is>
          <t>$m</t>
        </is>
      </c>
      <c r="I22" s="335" t="inlineStr">
        <is>
          <t>Consolidated balance sheets: "Intangibles, net"</t>
        </is>
      </c>
    </row>
    <row r="23">
      <c r="B23" s="339" t="inlineStr">
        <is>
          <t>Goodwill ($m), 31 Jul 2026 / 2025</t>
        </is>
      </c>
      <c r="C23" s="414" t="n">
        <v>511.297</v>
      </c>
      <c r="D23" s="414" t="n">
        <v>517.779</v>
      </c>
      <c r="F23" s="347" t="inlineStr">
        <is>
          <t>$m</t>
        </is>
      </c>
      <c r="I23" s="335" t="inlineStr">
        <is>
          <t>Consolidated balance sheets: "Goodwill"</t>
        </is>
      </c>
    </row>
    <row r="24">
      <c r="B24" s="339" t="inlineStr">
        <is>
          <t>Total assets ($m), 31 Jul 2026 / 2025</t>
        </is>
      </c>
      <c r="C24" s="414" t="n">
        <v>10027.81</v>
      </c>
      <c r="D24" s="414" t="n">
        <v>10090.902</v>
      </c>
      <c r="F24" s="347" t="inlineStr">
        <is>
          <t>$m</t>
        </is>
      </c>
      <c r="I24" s="335" t="inlineStr">
        <is>
          <t>Consolidated balance sheets: "Total assets"</t>
        </is>
      </c>
    </row>
    <row r="25">
      <c r="B25" s="339" t="inlineStr">
        <is>
          <t>Accounts payable and accrued liabilities ($m), 31 Jul 2026 / 2025</t>
        </is>
      </c>
      <c r="C25" s="414" t="n">
        <v>634.675</v>
      </c>
      <c r="D25" s="414" t="n">
        <v>591.831</v>
      </c>
      <c r="F25" s="347" t="inlineStr">
        <is>
          <t>$m</t>
        </is>
      </c>
      <c r="I25" s="335" t="inlineStr">
        <is>
          <t>Consolidated balance sheets: "Accounts payable and accrued liabilities"</t>
        </is>
      </c>
    </row>
    <row r="26">
      <c r="B26" s="339" t="inlineStr">
        <is>
          <t>Deferred revenue ($m), 31 Jul 2026 / 2025</t>
        </is>
      </c>
      <c r="C26" s="414" t="n">
        <v>32.466</v>
      </c>
      <c r="D26" s="414" t="n">
        <v>30.44</v>
      </c>
      <c r="F26" s="347" t="inlineStr">
        <is>
          <t>$m</t>
        </is>
      </c>
      <c r="I26" s="335" t="inlineStr">
        <is>
          <t>Consolidated balance sheets: "Deferred revenue"</t>
        </is>
      </c>
    </row>
    <row r="27">
      <c r="B27" s="339" t="inlineStr">
        <is>
          <t>Income taxes payable ($m), 31 Jul 2026 / 2025</t>
        </is>
      </c>
      <c r="C27" s="414" t="n">
        <v>21.437</v>
      </c>
      <c r="D27" s="414" t="n">
        <v>41.141</v>
      </c>
      <c r="F27" s="347" t="inlineStr">
        <is>
          <t>$m</t>
        </is>
      </c>
      <c r="I27" s="335" t="inlineStr">
        <is>
          <t>Consolidated balance sheets: "Income taxes payable"</t>
        </is>
      </c>
    </row>
    <row r="28">
      <c r="B28" s="339" t="inlineStr">
        <is>
          <t>Current portion of operating and finance lease liabilities ($m), 31 Jul 2026 / 2025</t>
        </is>
      </c>
      <c r="C28" s="414" t="n">
        <v>15.163</v>
      </c>
      <c r="D28" s="414" t="n">
        <v>19.869</v>
      </c>
      <c r="F28" s="347" t="inlineStr">
        <is>
          <t>$m</t>
        </is>
      </c>
      <c r="I28" s="335" t="inlineStr">
        <is>
          <t>Consolidated balance sheets: "Current portion of operating and finance lease liabilities"</t>
        </is>
      </c>
    </row>
    <row r="29">
      <c r="B29" s="339" t="inlineStr">
        <is>
          <t>Total current liabilities ($m), 31 Jul 2026 / 2025</t>
        </is>
      </c>
      <c r="C29" s="414" t="n">
        <v>703.741</v>
      </c>
      <c r="D29" s="414" t="n">
        <v>683.2809999999999</v>
      </c>
      <c r="F29" s="347" t="inlineStr">
        <is>
          <t>$m</t>
        </is>
      </c>
      <c r="I29" s="335" t="inlineStr">
        <is>
          <t>Consolidated balance sheets: "Total current liabilities"</t>
        </is>
      </c>
    </row>
    <row r="30">
      <c r="B30" s="339" t="inlineStr">
        <is>
          <t>Total liabilities ($m), 31 Jul 2026 / 2025</t>
        </is>
      </c>
      <c r="C30" s="414" t="n">
        <v>913.9299999999999</v>
      </c>
      <c r="D30" s="414" t="n">
        <v>883.4109999999999</v>
      </c>
      <c r="F30" s="347" t="inlineStr">
        <is>
          <t>$m</t>
        </is>
      </c>
      <c r="I30" s="335" t="inlineStr">
        <is>
          <t>Consolidated balance sheets: "Total liabilities"</t>
        </is>
      </c>
    </row>
    <row r="31">
      <c r="B31" s="339" t="inlineStr">
        <is>
          <t>Total stockholders' equity ($m), 31 Jul 2026 / 2025</t>
        </is>
      </c>
      <c r="C31" s="414" t="n">
        <v>9097.295</v>
      </c>
      <c r="D31" s="414" t="n">
        <v>9187.032999999999</v>
      </c>
      <c r="F31" s="347" t="inlineStr">
        <is>
          <t>$m</t>
        </is>
      </c>
      <c r="I31" s="335" t="inlineStr">
        <is>
          <t>Consolidated balance sheets: "Total stockholders' equity"</t>
        </is>
      </c>
    </row>
    <row r="32">
      <c r="B32" s="339" t="inlineStr">
        <is>
          <t>Income taxes paid, net of refunds ($m)</t>
        </is>
      </c>
      <c r="C32" s="414" t="n">
        <v>398.38</v>
      </c>
      <c r="D32" s="414" t="n">
        <v>409.003</v>
      </c>
      <c r="E32" s="414" t="n">
        <v>285.891</v>
      </c>
      <c r="F32" s="347" t="inlineStr">
        <is>
          <t>$m</t>
        </is>
      </c>
      <c r="I32" s="335" t="inlineStr">
        <is>
          <t>Supplemental cash flow: "Income taxes paid, net of refunds"</t>
        </is>
      </c>
    </row>
    <row r="33">
      <c r="B33" s="339" t="inlineStr">
        <is>
          <t>Effective tax rate FY2026 / FY2025</t>
        </is>
      </c>
      <c r="C33" s="365" t="n">
        <v>0.193</v>
      </c>
      <c r="D33" s="365" t="n">
        <v>0.183</v>
      </c>
      <c r="F33" s="347" t="inlineStr">
        <is>
          <t>%</t>
        </is>
      </c>
      <c r="I33" s="335" t="inlineStr">
        <is>
          <t>MD&amp;A Income Taxes: "19.3% and 18.3%"</t>
        </is>
      </c>
    </row>
    <row r="34">
      <c r="B34" s="339" t="inlineStr">
        <is>
          <t>Tax reconciliation FY2026 ($m): FDII benefit / excess stock-option benefit / state taxes</t>
        </is>
      </c>
      <c r="C34" s="414" t="n">
        <v>-46.7</v>
      </c>
      <c r="D34" s="414" t="n">
        <v>-6.6</v>
      </c>
      <c r="E34" s="414" t="n">
        <v>21.5</v>
      </c>
      <c r="F34" s="347" t="inlineStr">
        <is>
          <t>$m</t>
        </is>
      </c>
      <c r="I34" s="335" t="inlineStr">
        <is>
          <t>MD&amp;A Income Taxes paragraph (statutory rate 21.0%)</t>
        </is>
      </c>
    </row>
    <row r="35">
      <c r="B35" s="339" t="inlineStr">
        <is>
          <t>Revolving credit facility: capacity ($m) / maturity</t>
        </is>
      </c>
      <c r="C35" s="414" t="n">
        <v>1250</v>
      </c>
      <c r="F35" s="347" t="inlineStr">
        <is>
          <t>$m</t>
        </is>
      </c>
      <c r="I35" s="335" t="inlineStr">
        <is>
          <t>Risk factors: "2026 Credit Agreement … up to $1,250 million maturing on January 23, 2031"</t>
        </is>
      </c>
    </row>
    <row r="36">
      <c r="B36" s="339" t="inlineStr">
        <is>
          <t>Service revenues ($m), FY2026 / FY2025 / FY2024</t>
        </is>
      </c>
      <c r="C36" s="414" t="n">
        <v>3969.52</v>
      </c>
      <c r="D36" s="414" t="n">
        <v>3968.662</v>
      </c>
      <c r="E36" s="414" t="n">
        <v>3561.002</v>
      </c>
      <c r="F36" s="347" t="inlineStr">
        <is>
          <t>$m</t>
        </is>
      </c>
      <c r="I36" s="335" t="inlineStr">
        <is>
          <t>Consolidated statements of income: "Service revenues"</t>
        </is>
      </c>
    </row>
    <row r="37">
      <c r="B37" s="339" t="inlineStr">
        <is>
          <t>Vehicle sales ($m), FY2026 / FY2025 / FY2024</t>
        </is>
      </c>
      <c r="C37" s="414" t="n">
        <v>696.689</v>
      </c>
      <c r="D37" s="414" t="n">
        <v>678.296</v>
      </c>
      <c r="E37" s="414" t="n">
        <v>675.821</v>
      </c>
      <c r="F37" s="347" t="inlineStr">
        <is>
          <t>$m</t>
        </is>
      </c>
      <c r="I37" s="335" t="inlineStr">
        <is>
          <t>Consolidated statements of income: "Vehicle sales"</t>
        </is>
      </c>
    </row>
    <row r="38">
      <c r="B38" s="339" t="inlineStr">
        <is>
          <t>Facility operations ($m), FY2026 / FY2025 / FY2024</t>
        </is>
      </c>
      <c r="C38" s="414" t="n">
        <v>1965.888</v>
      </c>
      <c r="D38" s="414" t="n">
        <v>1944.318</v>
      </c>
      <c r="E38" s="414" t="n">
        <v>1710.084</v>
      </c>
      <c r="F38" s="347" t="inlineStr">
        <is>
          <t>$m</t>
        </is>
      </c>
      <c r="I38" s="335" t="inlineStr">
        <is>
          <t>Consolidated statements of income: "Facility operations"</t>
        </is>
      </c>
    </row>
    <row r="39">
      <c r="B39" s="339" t="inlineStr">
        <is>
          <t>Cost of vehicle sales ($m), FY2026 / FY2025 / FY2024</t>
        </is>
      </c>
      <c r="C39" s="414" t="n">
        <v>616.463</v>
      </c>
      <c r="D39" s="414" t="n">
        <v>602.997</v>
      </c>
      <c r="E39" s="414" t="n">
        <v>619.487</v>
      </c>
      <c r="F39" s="347" t="inlineStr">
        <is>
          <t>$m</t>
        </is>
      </c>
      <c r="I39" s="335" t="inlineStr">
        <is>
          <t>Consolidated statements of income: "Cost of vehicle sales"</t>
        </is>
      </c>
    </row>
    <row r="40">
      <c r="B40" s="339" t="inlineStr">
        <is>
          <t>General and administrative ($m), FY2026 / FY2025 / FY2024</t>
        </is>
      </c>
      <c r="C40" s="414" t="n">
        <v>431.268</v>
      </c>
      <c r="D40" s="414" t="n">
        <v>402.929</v>
      </c>
      <c r="E40" s="414" t="n">
        <v>335.229</v>
      </c>
      <c r="F40" s="347" t="inlineStr">
        <is>
          <t>$m</t>
        </is>
      </c>
      <c r="I40" s="335" t="inlineStr">
        <is>
          <t>Consolidated statements of income: "General and administrative"</t>
        </is>
      </c>
    </row>
    <row r="41">
      <c r="B41" s="339" t="inlineStr">
        <is>
          <t>Operating income ($m), FY2026 / FY2025 / FY2024</t>
        </is>
      </c>
      <c r="C41" s="414" t="n">
        <v>1652.59</v>
      </c>
      <c r="D41" s="414" t="n">
        <v>1696.714</v>
      </c>
      <c r="E41" s="414" t="n">
        <v>1572.023</v>
      </c>
      <c r="F41" s="347" t="inlineStr">
        <is>
          <t>$m</t>
        </is>
      </c>
      <c r="I41" s="335" t="inlineStr">
        <is>
          <t>Consolidated statements of income: "Operating income"</t>
        </is>
      </c>
    </row>
    <row r="42">
      <c r="B42" s="339" t="inlineStr">
        <is>
          <t>Income before income taxes ($m), FY2026 / FY2025 / FY2024</t>
        </is>
      </c>
      <c r="C42" s="414" t="n">
        <v>1834.977</v>
      </c>
      <c r="D42" s="414" t="n">
        <v>1895.581</v>
      </c>
      <c r="E42" s="414" t="n">
        <v>1714.601</v>
      </c>
      <c r="F42" s="347" t="inlineStr">
        <is>
          <t>$m</t>
        </is>
      </c>
      <c r="I42" s="335" t="inlineStr">
        <is>
          <t>Consolidated statements of income: "Income before income taxes"</t>
        </is>
      </c>
    </row>
    <row r="43">
      <c r="B43" s="339" t="inlineStr">
        <is>
          <t>Income tax expense ($m), FY2026 / FY2025 / FY2024</t>
        </is>
      </c>
      <c r="C43" s="414" t="n">
        <v>354.58</v>
      </c>
      <c r="D43" s="414" t="n">
        <v>347.218</v>
      </c>
      <c r="E43" s="414" t="n">
        <v>352.254</v>
      </c>
      <c r="F43" s="347" t="inlineStr">
        <is>
          <t>$m</t>
        </is>
      </c>
      <c r="I43" s="335" t="inlineStr">
        <is>
          <t>Consolidated statements of income: "Income tax expense"</t>
        </is>
      </c>
    </row>
    <row r="44">
      <c r="B44" s="339" t="inlineStr">
        <is>
          <t>Net income (consolidated) ($m), FY2026 / FY2025 / FY2024</t>
        </is>
      </c>
      <c r="C44" s="414" t="n">
        <v>1480.397</v>
      </c>
      <c r="D44" s="414" t="n">
        <v>1548.363</v>
      </c>
      <c r="E44" s="414" t="n">
        <v>1362.347</v>
      </c>
      <c r="F44" s="347" t="inlineStr">
        <is>
          <t>$m</t>
        </is>
      </c>
      <c r="I44" s="335" t="inlineStr">
        <is>
          <t>Consolidated statements of income: "Net income (consolidated)"</t>
        </is>
      </c>
    </row>
    <row r="45">
      <c r="B45" s="339" t="inlineStr">
        <is>
          <t>Net income attributable to Copart ($m), FY2026 / FY2025 / FY2024</t>
        </is>
      </c>
      <c r="C45" s="414" t="n">
        <v>1484.27</v>
      </c>
      <c r="D45" s="414" t="n">
        <v>1552.449</v>
      </c>
      <c r="E45" s="414" t="n">
        <v>1363.02</v>
      </c>
      <c r="F45" s="347" t="inlineStr">
        <is>
          <t>$m</t>
        </is>
      </c>
      <c r="I45" s="335" t="inlineStr">
        <is>
          <t>Consolidated statements of income: "Net income attributable to Copart"</t>
        </is>
      </c>
    </row>
    <row r="46">
      <c r="B46" s="339" t="inlineStr">
        <is>
          <t>Diluted net income per share ($), FY2026 / FY2025 / FY2024</t>
        </is>
      </c>
      <c r="C46" s="421" t="n">
        <v>1.55</v>
      </c>
      <c r="D46" s="421" t="n">
        <v>1.59</v>
      </c>
      <c r="E46" s="421" t="n">
        <v>1.4</v>
      </c>
      <c r="F46" s="347" t="inlineStr">
        <is>
          <t>mixed</t>
        </is>
      </c>
      <c r="I46" s="335" t="inlineStr">
        <is>
          <t>Consolidated statements of income: "Diluted net income per common share"</t>
        </is>
      </c>
    </row>
    <row r="47">
      <c r="B47" s="339" t="inlineStr">
        <is>
          <t>Diluted weighted-average shares (mn), FY2026 / FY2025 / FY2024</t>
        </is>
      </c>
      <c r="C47" s="414" t="n">
        <v>956.86</v>
      </c>
      <c r="D47" s="414" t="n">
        <v>977.563</v>
      </c>
      <c r="E47" s="414" t="n">
        <v>974.798</v>
      </c>
      <c r="F47" s="347" t="inlineStr">
        <is>
          <t>$m</t>
        </is>
      </c>
      <c r="I47" s="335" t="inlineStr">
        <is>
          <t>Consolidated statements of income: "Diluted weighted average common shares outstanding"</t>
        </is>
      </c>
    </row>
    <row r="48">
      <c r="B48" s="339" t="inlineStr">
        <is>
          <t>Depreciation and amortization, incl. debt cost (cash flow) ($m), FY2026 / FY2025 / FY2024</t>
        </is>
      </c>
      <c r="C48" s="414" t="n">
        <v>238.466</v>
      </c>
      <c r="D48" s="414" t="n">
        <v>217.784</v>
      </c>
      <c r="E48" s="414" t="n">
        <v>190.256</v>
      </c>
      <c r="F48" s="347" t="inlineStr">
        <is>
          <t>$m</t>
        </is>
      </c>
      <c r="I48" s="335" t="inlineStr">
        <is>
          <t>Consolidated statements of cash flows: "Depreciation and amortization, incl. debt cost (cash flow)"</t>
        </is>
      </c>
    </row>
    <row r="49">
      <c r="B49" s="339" t="inlineStr">
        <is>
          <t>Stock-based compensation (cash flow) ($m), FY2026 / FY2025 / FY2024</t>
        </is>
      </c>
      <c r="C49" s="414" t="n">
        <v>38.818</v>
      </c>
      <c r="D49" s="414" t="n">
        <v>38.004</v>
      </c>
      <c r="E49" s="414" t="n">
        <v>35.234</v>
      </c>
      <c r="F49" s="347" t="inlineStr">
        <is>
          <t>$m</t>
        </is>
      </c>
      <c r="I49" s="335" t="inlineStr">
        <is>
          <t>Consolidated statements of cash flows: "Stock-based compensation (cash flow)"</t>
        </is>
      </c>
    </row>
    <row r="50">
      <c r="B50" s="339" t="inlineStr">
        <is>
          <t>Purchases of property and equipment ($m), FY2026 / FY2025 / FY2024</t>
        </is>
      </c>
      <c r="C50" s="414" t="n">
        <v>-337.363</v>
      </c>
      <c r="D50" s="414" t="n">
        <v>-568.99</v>
      </c>
      <c r="E50" s="414" t="n">
        <v>-510.99</v>
      </c>
      <c r="F50" s="347" t="inlineStr">
        <is>
          <t>$m</t>
        </is>
      </c>
      <c r="I50" s="335" t="inlineStr">
        <is>
          <t>Consolidated statements of cash flows: "Purchases of property and equipment"</t>
        </is>
      </c>
    </row>
    <row r="51">
      <c r="B51" s="339" t="inlineStr">
        <is>
          <t>Repurchases of common stock ($m), FY2026 / FY2025 / FY2024</t>
        </is>
      </c>
      <c r="C51" s="414" t="n">
        <v>-1632.538</v>
      </c>
      <c r="D51" s="414" t="n">
        <v>0</v>
      </c>
      <c r="E51" s="414" t="n">
        <v>0</v>
      </c>
      <c r="F51" s="347" t="inlineStr">
        <is>
          <t>$m</t>
        </is>
      </c>
      <c r="I51" s="335" t="inlineStr">
        <is>
          <t>Consolidated statements of cash flows: "Repurchases of common stock"</t>
        </is>
      </c>
    </row>
    <row r="52">
      <c r="B52" s="344" t="inlineStr">
        <is>
          <t>From the FY2024 Form 10-K on disk (raw/sec/10k/cprt_2024-07-31.htm): columns read FY2024 / FY2023 / FY2022</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Service revenues ($m), FY2024 / FY2023 / FY2022</t>
        </is>
      </c>
      <c r="C53" s="414" t="n">
        <v>3561.002</v>
      </c>
      <c r="D53" s="414" t="n">
        <v>3198.128</v>
      </c>
      <c r="E53" s="414" t="n">
        <v>2853.04</v>
      </c>
      <c r="F53" s="347" t="inlineStr">
        <is>
          <t>$m</t>
        </is>
      </c>
      <c r="I53" s="335" t="inlineStr">
        <is>
          <t>FY2024 10-K, consolidated statements of income: "Service revenues"</t>
        </is>
      </c>
    </row>
    <row r="54">
      <c r="B54" s="339" t="inlineStr">
        <is>
          <t>Vehicle sales ($m), FY2024 / FY2023 / FY2022</t>
        </is>
      </c>
      <c r="C54" s="414" t="n">
        <v>675.821</v>
      </c>
      <c r="D54" s="414" t="n">
        <v>671.39</v>
      </c>
      <c r="E54" s="414" t="n">
        <v>647.881</v>
      </c>
      <c r="F54" s="347" t="inlineStr">
        <is>
          <t>$m</t>
        </is>
      </c>
      <c r="I54" s="335" t="inlineStr">
        <is>
          <t>FY2024 10-K, consolidated statements of income: "Vehicle sales"</t>
        </is>
      </c>
    </row>
    <row r="55">
      <c r="B55" s="339" t="inlineStr">
        <is>
          <t>Facility operations ($m), FY2024 / FY2023 / FY2022</t>
        </is>
      </c>
      <c r="C55" s="414" t="n">
        <v>1710.084</v>
      </c>
      <c r="D55" s="414" t="n">
        <v>1518.029</v>
      </c>
      <c r="E55" s="414" t="n">
        <v>1309.497</v>
      </c>
      <c r="F55" s="347" t="inlineStr">
        <is>
          <t>$m</t>
        </is>
      </c>
      <c r="I55" s="335" t="inlineStr">
        <is>
          <t>FY2024 10-K, consolidated statements of income: "Facility operations"</t>
        </is>
      </c>
    </row>
    <row r="56">
      <c r="B56" s="339" t="inlineStr">
        <is>
          <t>Cost of vehicle sales ($m), FY2024 / FY2023 / FY2022</t>
        </is>
      </c>
      <c r="C56" s="414" t="n">
        <v>619.487</v>
      </c>
      <c r="D56" s="414" t="n">
        <v>614.498</v>
      </c>
      <c r="E56" s="414" t="n">
        <v>585.203</v>
      </c>
      <c r="F56" s="347" t="inlineStr">
        <is>
          <t>$m</t>
        </is>
      </c>
      <c r="I56" s="335" t="inlineStr">
        <is>
          <t>FY2024 10-K, consolidated statements of income: "Cost of vehicle sales"</t>
        </is>
      </c>
    </row>
    <row r="57">
      <c r="B57" s="339" t="inlineStr">
        <is>
          <t>General and administrative ($m), FY2024 / FY2023 / FY2022</t>
        </is>
      </c>
      <c r="C57" s="414" t="n">
        <v>335.229</v>
      </c>
      <c r="D57" s="414" t="n">
        <v>250.422</v>
      </c>
      <c r="E57" s="414" t="n">
        <v>231.224</v>
      </c>
      <c r="F57" s="347" t="inlineStr">
        <is>
          <t>$m</t>
        </is>
      </c>
      <c r="I57" s="335"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A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3"/>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3"/>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8"/>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7"/>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A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1"/>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A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3"/>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4"/>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A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3"/>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1"/>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2"/>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00BFBFBF"/>
    <outlinePr summaryBelow="1" summaryRight="1"/>
    <pageSetUpPr/>
  </sheetPr>
  <dimension ref="A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3"/>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5"/>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8"/>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00BFBFBF"/>
    <outlinePr summaryBelow="1" summaryRight="1"/>
    <pageSetUpPr/>
  </sheetPr>
  <dimension ref="A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3"/>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39" t="n">
        <v>0</v>
      </c>
      <c r="C5" s="339" t="inlineStr">
        <is>
          <t>recovery_comparator</t>
        </is>
      </c>
      <c r="D5" s="414" t="n">
        <v>4132.662422084255</v>
      </c>
      <c r="E5" s="414" t="n">
        <v>3122.688228872894</v>
      </c>
      <c r="F5" s="420" t="n">
        <v>3404057.163231479</v>
      </c>
      <c r="G5" s="405" t="n">
        <v>917.3430642123882</v>
      </c>
    </row>
    <row r="6">
      <c r="B6" s="339" t="n">
        <v>1</v>
      </c>
      <c r="C6" s="339" t="inlineStr">
        <is>
          <t>market_allocation</t>
        </is>
      </c>
      <c r="D6" s="414" t="n">
        <v>3997.324308689885</v>
      </c>
      <c r="E6" s="414" t="n">
        <v>2987.350115478524</v>
      </c>
      <c r="F6" s="420" t="n">
        <v>3256568.487807756</v>
      </c>
      <c r="G6" s="405" t="n">
        <v>917.330658533006</v>
      </c>
    </row>
    <row r="7">
      <c r="B7" s="339" t="n">
        <v>2</v>
      </c>
      <c r="C7" s="339" t="inlineStr">
        <is>
          <t>premium_recovery</t>
        </is>
      </c>
      <c r="D7" s="414" t="n">
        <v>4108.93568578827</v>
      </c>
      <c r="E7" s="414" t="n">
        <v>3098.961492576909</v>
      </c>
      <c r="F7" s="420" t="n">
        <v>3378189.645851638</v>
      </c>
      <c r="G7" s="405" t="n">
        <v>917.3438490590319</v>
      </c>
    </row>
    <row r="8">
      <c r="B8" s="339" t="n">
        <v>3</v>
      </c>
      <c r="C8" s="339" t="inlineStr">
        <is>
          <t>market_allocation+premium_recovery</t>
        </is>
      </c>
      <c r="D8" s="414" t="n">
        <v>3974.520103544469</v>
      </c>
      <c r="E8" s="414" t="n">
        <v>2964.545910333108</v>
      </c>
      <c r="F8" s="420" t="n">
        <v>3231706.417616765</v>
      </c>
      <c r="G8" s="405" t="n">
        <v>917.3314426622096</v>
      </c>
    </row>
    <row r="9">
      <c r="B9" s="339" t="n">
        <v>4</v>
      </c>
      <c r="C9" s="339" t="inlineStr">
        <is>
          <t>aftermarket</t>
        </is>
      </c>
      <c r="D9" s="414" t="n">
        <v>4075.42762064511</v>
      </c>
      <c r="E9" s="414" t="n">
        <v>3065.453427433749</v>
      </c>
      <c r="F9" s="420" t="n">
        <v>3360587.950171777</v>
      </c>
      <c r="G9" s="405" t="n">
        <v>912.177712021213</v>
      </c>
    </row>
    <row r="10">
      <c r="B10" s="339" t="n">
        <v>5</v>
      </c>
      <c r="C10" s="339" t="inlineStr">
        <is>
          <t>market_allocation+aftermarket</t>
        </is>
      </c>
      <c r="D10" s="414" t="n">
        <v>3941.963239662224</v>
      </c>
      <c r="E10" s="414" t="n">
        <v>2931.989046450863</v>
      </c>
      <c r="F10" s="420" t="n">
        <v>3214522.640183739</v>
      </c>
      <c r="G10" s="405" t="n">
        <v>912.1071383349389</v>
      </c>
    </row>
    <row r="11">
      <c r="B11" s="339" t="n">
        <v>6</v>
      </c>
      <c r="C11" s="339" t="inlineStr">
        <is>
          <t>premium_recovery+aftermarket</t>
        </is>
      </c>
      <c r="D11" s="414" t="n">
        <v>4052.175472723391</v>
      </c>
      <c r="E11" s="414" t="n">
        <v>3042.20127951203</v>
      </c>
      <c r="F11" s="420" t="n">
        <v>3335080.853031643</v>
      </c>
      <c r="G11" s="405" t="n">
        <v>912.1821669620451</v>
      </c>
    </row>
    <row r="12">
      <c r="B12" s="339" t="n">
        <v>7</v>
      </c>
      <c r="C12" s="339" t="inlineStr">
        <is>
          <t>market_allocation+premium_recovery+aftermarket</t>
        </is>
      </c>
      <c r="D12" s="414" t="n">
        <v>3919.619593811704</v>
      </c>
      <c r="E12" s="414" t="n">
        <v>2909.645400600343</v>
      </c>
      <c r="F12" s="420" t="n">
        <v>3190010.334434816</v>
      </c>
      <c r="G12" s="405" t="n">
        <v>912.1115907343461</v>
      </c>
    </row>
    <row r="13">
      <c r="B13" s="339" t="n">
        <v>8</v>
      </c>
      <c r="C13" s="339" t="inlineStr">
        <is>
          <t>fleet_mix</t>
        </is>
      </c>
      <c r="D13" s="414" t="n">
        <v>4116.682023074879</v>
      </c>
      <c r="E13" s="414" t="n">
        <v>3106.707829863518</v>
      </c>
      <c r="F13" s="420" t="n">
        <v>3392942.331491993</v>
      </c>
      <c r="G13" s="405" t="n">
        <v>915.6382650622274</v>
      </c>
    </row>
    <row r="14">
      <c r="B14" s="339" t="n">
        <v>9</v>
      </c>
      <c r="C14" s="339" t="inlineStr">
        <is>
          <t>market_allocation+fleet_mix</t>
        </is>
      </c>
      <c r="D14" s="414" t="n">
        <v>3982.01631007477</v>
      </c>
      <c r="E14" s="414" t="n">
        <v>2972.042116863409</v>
      </c>
      <c r="F14" s="420" t="n">
        <v>3245904.819907098</v>
      </c>
      <c r="G14" s="405" t="n">
        <v>915.6282398164938</v>
      </c>
    </row>
    <row r="15">
      <c r="B15" s="339" t="n">
        <v>10</v>
      </c>
      <c r="C15" s="339" t="inlineStr">
        <is>
          <t>premium_recovery+fleet_mix</t>
        </is>
      </c>
      <c r="D15" s="414" t="n">
        <v>4093.077730243895</v>
      </c>
      <c r="E15" s="414" t="n">
        <v>3083.103537032534</v>
      </c>
      <c r="F15" s="420" t="n">
        <v>3367160.848567258</v>
      </c>
      <c r="G15" s="405" t="n">
        <v>915.6389242124887</v>
      </c>
    </row>
    <row r="16">
      <c r="B16" s="339" t="n">
        <v>11</v>
      </c>
      <c r="C16" s="339" t="inlineStr">
        <is>
          <t>market_allocation+premium_recovery+fleet_mix</t>
        </is>
      </c>
      <c r="D16" s="414" t="n">
        <v>3959.329945361116</v>
      </c>
      <c r="E16" s="414" t="n">
        <v>2949.355752149755</v>
      </c>
      <c r="F16" s="420" t="n">
        <v>3221125.676442777</v>
      </c>
      <c r="G16" s="405" t="n">
        <v>915.6288975991931</v>
      </c>
    </row>
    <row r="17">
      <c r="B17" s="339" t="n">
        <v>12</v>
      </c>
      <c r="C17" s="339" t="inlineStr">
        <is>
          <t>aftermarket+fleet_mix</t>
        </is>
      </c>
      <c r="D17" s="414" t="n">
        <v>4059.648453516342</v>
      </c>
      <c r="E17" s="414" t="n">
        <v>3049.674260304981</v>
      </c>
      <c r="F17" s="420" t="n">
        <v>3349607.998633471</v>
      </c>
      <c r="G17" s="405" t="n">
        <v>910.4570629008368</v>
      </c>
    </row>
    <row r="18">
      <c r="B18" s="339" t="n">
        <v>13</v>
      </c>
      <c r="C18" s="339" t="inlineStr">
        <is>
          <t>market_allocation+aftermarket+fleet_mix</t>
        </is>
      </c>
      <c r="D18" s="414" t="n">
        <v>3926.851387305016</v>
      </c>
      <c r="E18" s="414" t="n">
        <v>2916.877194093655</v>
      </c>
      <c r="F18" s="420" t="n">
        <v>3203990.469606517</v>
      </c>
      <c r="G18" s="405" t="n">
        <v>910.3888484574293</v>
      </c>
    </row>
    <row r="19">
      <c r="B19" s="339" t="n">
        <v>14</v>
      </c>
      <c r="C19" s="339" t="inlineStr">
        <is>
          <t>premium_recovery+aftermarket+fleet_mix</t>
        </is>
      </c>
      <c r="D19" s="414" t="n">
        <v>4036.517015793495</v>
      </c>
      <c r="E19" s="414" t="n">
        <v>3026.542822582135</v>
      </c>
      <c r="F19" s="420" t="n">
        <v>3324185.772365574</v>
      </c>
      <c r="G19" s="405" t="n">
        <v>910.4613971163143</v>
      </c>
    </row>
    <row r="20">
      <c r="B20" s="339" t="n">
        <v>15</v>
      </c>
      <c r="C20" s="339" t="inlineStr">
        <is>
          <t>market_allocation+premium_recovery+aftermarket+fleet_mix</t>
        </is>
      </c>
      <c r="D20" s="414" t="n">
        <v>3904.623888263005</v>
      </c>
      <c r="E20" s="414" t="n">
        <v>2894.649695051643</v>
      </c>
      <c r="F20" s="420" t="n">
        <v>3179559.953460027</v>
      </c>
      <c r="G20" s="405" t="n">
        <v>910.3931793774352</v>
      </c>
    </row>
    <row r="21"/>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38" t="n">
        <v>-133.6116774172641</v>
      </c>
      <c r="D24" s="338" t="n">
        <v>0.5859171043521828</v>
      </c>
      <c r="E24" s="338" t="n">
        <v>-146054.3960453231</v>
      </c>
      <c r="F24" s="338" t="n">
        <v>-0.0403077390013209</v>
      </c>
      <c r="G24" s="338" t="n">
        <v>-135.3381133943699</v>
      </c>
    </row>
    <row r="25">
      <c r="B25" s="339" t="inlineStr">
        <is>
          <t>premium_recovery</t>
        </is>
      </c>
      <c r="C25" s="338" t="n">
        <v>-22.97373334992725</v>
      </c>
      <c r="D25" s="338" t="n">
        <v>0.1007449616736065</v>
      </c>
      <c r="E25" s="338" t="n">
        <v>-25146.53552633306</v>
      </c>
      <c r="F25" s="338" t="n">
        <v>0.002557493152494317</v>
      </c>
      <c r="G25" s="338" t="n">
        <v>-23.72673629598467</v>
      </c>
    </row>
    <row r="26">
      <c r="B26" s="339" t="inlineStr">
        <is>
          <t>aftermarket</t>
        </is>
      </c>
      <c r="C26" s="338" t="n">
        <v>-55.96696451798034</v>
      </c>
      <c r="D26" s="338" t="n">
        <v>0.2454276633871473</v>
      </c>
      <c r="E26" s="338" t="n">
        <v>-42514.94092617533</v>
      </c>
      <c r="F26" s="338" t="n">
        <v>-5.200532173195521</v>
      </c>
      <c r="G26" s="338" t="n">
        <v>-57.23480143914503</v>
      </c>
    </row>
    <row r="27">
      <c r="B27" s="339" t="inlineStr">
        <is>
          <t>fleet_mix</t>
        </is>
      </c>
      <c r="C27" s="338" t="n">
        <v>-15.48615853607828</v>
      </c>
      <c r="D27" s="338" t="n">
        <v>0.06791027058706332</v>
      </c>
      <c r="E27" s="338" t="n">
        <v>-10781.33727362053</v>
      </c>
      <c r="F27" s="338" t="n">
        <v>-1.71160241590862</v>
      </c>
      <c r="G27" s="338" t="n">
        <v>-15.98039900937601</v>
      </c>
    </row>
    <row r="28"/>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39" t="n">
        <v>0</v>
      </c>
      <c r="C31" s="339" t="inlineStr">
        <is>
          <t>recovery_comparator</t>
        </is>
      </c>
      <c r="D31" s="339" t="inlineStr">
        <is>
          <t>FY2027Q1</t>
        </is>
      </c>
      <c r="E31" s="414" t="n">
        <v>1029.364134959785</v>
      </c>
      <c r="F31" s="420" t="n">
        <v>856641.6743440034</v>
      </c>
      <c r="G31" s="417" t="n">
        <v>0.2309684149019287</v>
      </c>
      <c r="H31" s="405" t="n">
        <v>3117.098260634563</v>
      </c>
    </row>
    <row r="32">
      <c r="B32" s="339" t="n">
        <v>0</v>
      </c>
      <c r="C32" s="339" t="inlineStr">
        <is>
          <t>recovery_comparator</t>
        </is>
      </c>
      <c r="D32" s="339" t="inlineStr">
        <is>
          <t>FY2027Q2</t>
        </is>
      </c>
      <c r="E32" s="414" t="n">
        <v>990.1625914130836</v>
      </c>
      <c r="F32" s="420" t="n">
        <v>822965.1098413144</v>
      </c>
      <c r="G32" s="417" t="n">
        <v>0.2308874862433383</v>
      </c>
      <c r="H32" s="405" t="n">
        <v>3114.64263949011</v>
      </c>
    </row>
    <row r="33">
      <c r="B33" s="339" t="n">
        <v>0</v>
      </c>
      <c r="C33" s="339" t="inlineStr">
        <is>
          <t>recovery_comparator</t>
        </is>
      </c>
      <c r="D33" s="339" t="inlineStr">
        <is>
          <t>FY2027Q3</t>
        </is>
      </c>
      <c r="E33" s="414" t="n">
        <v>1101.169954876998</v>
      </c>
      <c r="F33" s="420" t="n">
        <v>900826.3217013609</v>
      </c>
      <c r="G33" s="417" t="n">
        <v>0.2308139360994703</v>
      </c>
      <c r="H33" s="405" t="n">
        <v>3112.820776046185</v>
      </c>
    </row>
    <row r="34">
      <c r="B34" s="339" t="n">
        <v>0</v>
      </c>
      <c r="C34" s="339" t="inlineStr">
        <is>
          <t>recovery_comparator</t>
        </is>
      </c>
      <c r="D34" s="339" t="inlineStr">
        <is>
          <t>FY2027Q4</t>
        </is>
      </c>
      <c r="E34" s="414" t="n">
        <v>1011.96574083439</v>
      </c>
      <c r="F34" s="420" t="n">
        <v>823624.0573447999</v>
      </c>
      <c r="G34" s="417" t="n">
        <v>0.2307532535590583</v>
      </c>
      <c r="H34" s="405" t="n">
        <v>3111.192549815287</v>
      </c>
    </row>
    <row r="35">
      <c r="B35" s="339" t="n">
        <v>1</v>
      </c>
      <c r="C35" s="339" t="inlineStr">
        <is>
          <t>market_allocation</t>
        </is>
      </c>
      <c r="D35" s="339" t="inlineStr">
        <is>
          <t>FY2027Q1</t>
        </is>
      </c>
      <c r="E35" s="414" t="n">
        <v>976.0677700048616</v>
      </c>
      <c r="F35" s="420" t="n">
        <v>798585.8399364803</v>
      </c>
      <c r="G35" s="417" t="n">
        <v>0.2309684149019288</v>
      </c>
      <c r="H35" s="405" t="n">
        <v>3117.098260634565</v>
      </c>
    </row>
    <row r="36">
      <c r="B36" s="339" t="n">
        <v>1</v>
      </c>
      <c r="C36" s="339" t="inlineStr">
        <is>
          <t>market_allocation</t>
        </is>
      </c>
      <c r="D36" s="339" t="inlineStr">
        <is>
          <t>FY2027Q2</t>
        </is>
      </c>
      <c r="E36" s="414" t="n">
        <v>941.3484286164836</v>
      </c>
      <c r="F36" s="420" t="n">
        <v>769765.3002082428</v>
      </c>
      <c r="G36" s="417" t="n">
        <v>0.2308874862433384</v>
      </c>
      <c r="H36" s="405" t="n">
        <v>3114.642639490111</v>
      </c>
    </row>
    <row r="37">
      <c r="B37" s="339" t="n">
        <v>1</v>
      </c>
      <c r="C37" s="339" t="inlineStr">
        <is>
          <t>market_allocation</t>
        </is>
      </c>
      <c r="D37" s="339" t="inlineStr">
        <is>
          <t>FY2027Q3</t>
        </is>
      </c>
      <c r="E37" s="414" t="n">
        <v>1072.624992886211</v>
      </c>
      <c r="F37" s="420" t="n">
        <v>869701.5898566847</v>
      </c>
      <c r="G37" s="417" t="n">
        <v>0.2308139360994702</v>
      </c>
      <c r="H37" s="405" t="n">
        <v>3112.820776046185</v>
      </c>
    </row>
    <row r="38">
      <c r="B38" s="339" t="n">
        <v>1</v>
      </c>
      <c r="C38" s="339" t="inlineStr">
        <is>
          <t>market_allocation</t>
        </is>
      </c>
      <c r="D38" s="339" t="inlineStr">
        <is>
          <t>FY2027Q4</t>
        </is>
      </c>
      <c r="E38" s="414" t="n">
        <v>1007.28311718233</v>
      </c>
      <c r="F38" s="420" t="n">
        <v>818515.7578063485</v>
      </c>
      <c r="G38" s="417" t="n">
        <v>0.2307532535590583</v>
      </c>
      <c r="H38" s="405" t="n">
        <v>3111.192549815287</v>
      </c>
    </row>
    <row r="39">
      <c r="B39" s="339" t="n">
        <v>2</v>
      </c>
      <c r="C39" s="339" t="inlineStr">
        <is>
          <t>premium_recovery</t>
        </is>
      </c>
      <c r="D39" s="339" t="inlineStr">
        <is>
          <t>FY2027Q1</t>
        </is>
      </c>
      <c r="E39" s="414" t="n">
        <v>1025.412308726546</v>
      </c>
      <c r="F39" s="420" t="n">
        <v>852336.9423121235</v>
      </c>
      <c r="G39" s="417" t="n">
        <v>0.2311949263789927</v>
      </c>
      <c r="H39" s="405" t="n">
        <v>3117.098260634562</v>
      </c>
    </row>
    <row r="40">
      <c r="B40" s="339" t="n">
        <v>2</v>
      </c>
      <c r="C40" s="339" t="inlineStr">
        <is>
          <t>premium_recovery</t>
        </is>
      </c>
      <c r="D40" s="339" t="inlineStr">
        <is>
          <t>FY2027Q2</t>
        </is>
      </c>
      <c r="E40" s="414" t="n">
        <v>984.5288491051532</v>
      </c>
      <c r="F40" s="420" t="n">
        <v>816825.2110674168</v>
      </c>
      <c r="G40" s="417" t="n">
        <v>0.2312262010477369</v>
      </c>
      <c r="H40" s="405" t="n">
        <v>3114.642639490114</v>
      </c>
    </row>
    <row r="41">
      <c r="B41" s="339" t="n">
        <v>2</v>
      </c>
      <c r="C41" s="339" t="inlineStr">
        <is>
          <t>premium_recovery</t>
        </is>
      </c>
      <c r="D41" s="339" t="inlineStr">
        <is>
          <t>FY2027Q3</t>
        </is>
      </c>
      <c r="E41" s="414" t="n">
        <v>1094.015737527335</v>
      </c>
      <c r="F41" s="420" t="n">
        <v>893025.5372183173</v>
      </c>
      <c r="G41" s="417" t="n">
        <v>0.2312084431026211</v>
      </c>
      <c r="H41" s="405" t="n">
        <v>3112.820776046185</v>
      </c>
    </row>
    <row r="42">
      <c r="B42" s="339" t="n">
        <v>2</v>
      </c>
      <c r="C42" s="339" t="inlineStr">
        <is>
          <t>premium_recovery</t>
        </is>
      </c>
      <c r="D42" s="339" t="inlineStr">
        <is>
          <t>FY2027Q4</t>
        </is>
      </c>
      <c r="E42" s="414" t="n">
        <v>1004.978790429237</v>
      </c>
      <c r="F42" s="420" t="n">
        <v>816001.9552537798</v>
      </c>
      <c r="G42" s="417" t="n">
        <v>0.2311755535758398</v>
      </c>
      <c r="H42" s="405" t="n">
        <v>3111.192549815288</v>
      </c>
    </row>
    <row r="43">
      <c r="B43" s="339" t="n">
        <v>3</v>
      </c>
      <c r="C43" s="339" t="inlineStr">
        <is>
          <t>market_allocation+premium_recovery</t>
        </is>
      </c>
      <c r="D43" s="339" t="inlineStr">
        <is>
          <t>FY2027Q1</t>
        </is>
      </c>
      <c r="E43" s="414" t="n">
        <v>972.3837647010447</v>
      </c>
      <c r="F43" s="420" t="n">
        <v>794572.8457659445</v>
      </c>
      <c r="G43" s="417" t="n">
        <v>0.2311949263789928</v>
      </c>
      <c r="H43" s="405" t="n">
        <v>3117.098260634565</v>
      </c>
    </row>
    <row r="44">
      <c r="B44" s="339" t="n">
        <v>3</v>
      </c>
      <c r="C44" s="339" t="inlineStr">
        <is>
          <t>market_allocation+premium_recovery</t>
        </is>
      </c>
      <c r="D44" s="339" t="inlineStr">
        <is>
          <t>FY2027Q2</t>
        </is>
      </c>
      <c r="E44" s="414" t="n">
        <v>936.0788743096234</v>
      </c>
      <c r="F44" s="420" t="n">
        <v>764022.3094466435</v>
      </c>
      <c r="G44" s="417" t="n">
        <v>0.2312262010477366</v>
      </c>
      <c r="H44" s="405" t="n">
        <v>3114.642639490108</v>
      </c>
    </row>
    <row r="45">
      <c r="B45" s="339" t="n">
        <v>3</v>
      </c>
      <c r="C45" s="339" t="inlineStr">
        <is>
          <t>market_allocation+premium_recovery</t>
        </is>
      </c>
      <c r="D45" s="339" t="inlineStr">
        <is>
          <t>FY2027Q3</t>
        </is>
      </c>
      <c r="E45" s="414" t="n">
        <v>1065.717963136645</v>
      </c>
      <c r="F45" s="420" t="n">
        <v>862170.3327168867</v>
      </c>
      <c r="G45" s="417" t="n">
        <v>0.2312084431026214</v>
      </c>
      <c r="H45" s="405" t="n">
        <v>3112.820776046183</v>
      </c>
    </row>
    <row r="46">
      <c r="B46" s="339" t="n">
        <v>3</v>
      </c>
      <c r="C46" s="339" t="inlineStr">
        <is>
          <t>market_allocation+premium_recovery</t>
        </is>
      </c>
      <c r="D46" s="339" t="inlineStr">
        <is>
          <t>FY2027Q4</t>
        </is>
      </c>
      <c r="E46" s="414" t="n">
        <v>1000.339501397155</v>
      </c>
      <c r="F46" s="420" t="n">
        <v>810940.9296872901</v>
      </c>
      <c r="G46" s="417" t="n">
        <v>0.2311755535758398</v>
      </c>
      <c r="H46" s="405" t="n">
        <v>3111.192549815286</v>
      </c>
    </row>
    <row r="47">
      <c r="B47" s="339" t="n">
        <v>4</v>
      </c>
      <c r="C47" s="339" t="inlineStr">
        <is>
          <t>aftermarket</t>
        </is>
      </c>
      <c r="D47" s="339" t="inlineStr">
        <is>
          <t>FY2027Q1</t>
        </is>
      </c>
      <c r="E47" s="414" t="n">
        <v>1023.601230562588</v>
      </c>
      <c r="F47" s="420" t="n">
        <v>852258.8798105858</v>
      </c>
      <c r="G47" s="417" t="n">
        <v>0.229786375948788</v>
      </c>
      <c r="H47" s="405" t="n">
        <v>3102.012654856643</v>
      </c>
    </row>
    <row r="48">
      <c r="B48" s="339" t="n">
        <v>4</v>
      </c>
      <c r="C48" s="339" t="inlineStr">
        <is>
          <t>aftermarket</t>
        </is>
      </c>
      <c r="D48" s="339" t="inlineStr">
        <is>
          <t>FY2027Q2</t>
        </is>
      </c>
      <c r="E48" s="414" t="n">
        <v>979.0786458114052</v>
      </c>
      <c r="F48" s="420" t="n">
        <v>814545.0698317797</v>
      </c>
      <c r="G48" s="417" t="n">
        <v>0.2285241665519835</v>
      </c>
      <c r="H48" s="405" t="n">
        <v>3084.457226681674</v>
      </c>
    </row>
    <row r="49">
      <c r="B49" s="339" t="n">
        <v>4</v>
      </c>
      <c r="C49" s="339" t="inlineStr">
        <is>
          <t>aftermarket</t>
        </is>
      </c>
      <c r="D49" s="339" t="inlineStr">
        <is>
          <t>FY2027Q3</t>
        </is>
      </c>
      <c r="E49" s="414" t="n">
        <v>1082.962465171545</v>
      </c>
      <c r="F49" s="420" t="n">
        <v>887004.6485715101</v>
      </c>
      <c r="G49" s="417" t="n">
        <v>0.2272706929165285</v>
      </c>
      <c r="H49" s="405" t="n">
        <v>3067.509596547071</v>
      </c>
    </row>
    <row r="50">
      <c r="B50" s="339" t="n">
        <v>4</v>
      </c>
      <c r="C50" s="339" t="inlineStr">
        <is>
          <t>aftermarket</t>
        </is>
      </c>
      <c r="D50" s="339" t="inlineStr">
        <is>
          <t>FY2027Q4</t>
        </is>
      </c>
      <c r="E50" s="414" t="n">
        <v>989.7852790995721</v>
      </c>
      <c r="F50" s="420" t="n">
        <v>806779.3519579009</v>
      </c>
      <c r="G50" s="417" t="n">
        <v>0.226031363899194</v>
      </c>
      <c r="H50" s="405" t="n">
        <v>3050.729139659054</v>
      </c>
    </row>
    <row r="51">
      <c r="B51" s="339" t="n">
        <v>5</v>
      </c>
      <c r="C51" s="339" t="inlineStr">
        <is>
          <t>market_allocation+aftermarket</t>
        </is>
      </c>
      <c r="D51" s="339" t="inlineStr">
        <is>
          <t>FY2027Q1</t>
        </is>
      </c>
      <c r="E51" s="414" t="n">
        <v>970.6954259007376</v>
      </c>
      <c r="F51" s="420" t="n">
        <v>794500.0736720526</v>
      </c>
      <c r="G51" s="417" t="n">
        <v>0.2297863759487881</v>
      </c>
      <c r="H51" s="405" t="n">
        <v>3102.012654856643</v>
      </c>
    </row>
    <row r="52">
      <c r="B52" s="339" t="n">
        <v>5</v>
      </c>
      <c r="C52" s="339" t="inlineStr">
        <is>
          <t>market_allocation+aftermarket</t>
        </is>
      </c>
      <c r="D52" s="339" t="inlineStr">
        <is>
          <t>FY2027Q2</t>
        </is>
      </c>
      <c r="E52" s="414" t="n">
        <v>930.9809943090761</v>
      </c>
      <c r="F52" s="420" t="n">
        <v>761889.5658080879</v>
      </c>
      <c r="G52" s="417" t="n">
        <v>0.2285241665519839</v>
      </c>
      <c r="H52" s="405" t="n">
        <v>3084.45722668167</v>
      </c>
    </row>
    <row r="53">
      <c r="B53" s="339" t="n">
        <v>5</v>
      </c>
      <c r="C53" s="339" t="inlineStr">
        <is>
          <t>market_allocation+aftermarket</t>
        </is>
      </c>
      <c r="D53" s="339" t="inlineStr">
        <is>
          <t>FY2027Q3</t>
        </is>
      </c>
      <c r="E53" s="414" t="n">
        <v>1055.046595849339</v>
      </c>
      <c r="F53" s="420" t="n">
        <v>856357.4736758787</v>
      </c>
      <c r="G53" s="417" t="n">
        <v>0.2272706929165283</v>
      </c>
      <c r="H53" s="405" t="n">
        <v>3067.509596547074</v>
      </c>
    </row>
    <row r="54">
      <c r="B54" s="339" t="n">
        <v>5</v>
      </c>
      <c r="C54" s="339" t="inlineStr">
        <is>
          <t>market_allocation+aftermarket</t>
        </is>
      </c>
      <c r="D54" s="339" t="inlineStr">
        <is>
          <t>FY2027Q4</t>
        </is>
      </c>
      <c r="E54" s="414" t="n">
        <v>985.2402236030709</v>
      </c>
      <c r="F54" s="420" t="n">
        <v>801775.52702772</v>
      </c>
      <c r="G54" s="417" t="n">
        <v>0.226031363899194</v>
      </c>
      <c r="H54" s="405" t="n">
        <v>3050.729139659052</v>
      </c>
    </row>
    <row r="55">
      <c r="B55" s="339" t="n">
        <v>6</v>
      </c>
      <c r="C55" s="339" t="inlineStr">
        <is>
          <t>premium_recovery+aftermarket</t>
        </is>
      </c>
      <c r="D55" s="339" t="inlineStr">
        <is>
          <t>FY2027Q1</t>
        </is>
      </c>
      <c r="E55" s="414" t="n">
        <v>1019.678363647928</v>
      </c>
      <c r="F55" s="420" t="n">
        <v>847976.1718718394</v>
      </c>
      <c r="G55" s="417" t="n">
        <v>0.2300120749139815</v>
      </c>
      <c r="H55" s="405" t="n">
        <v>3102.012654856643</v>
      </c>
    </row>
    <row r="56">
      <c r="B56" s="339" t="n">
        <v>6</v>
      </c>
      <c r="C56" s="339" t="inlineStr">
        <is>
          <t>premium_recovery+aftermarket</t>
        </is>
      </c>
      <c r="D56" s="339" t="inlineStr">
        <is>
          <t>FY2027Q2</t>
        </is>
      </c>
      <c r="E56" s="414" t="n">
        <v>973.5275975365463</v>
      </c>
      <c r="F56" s="420" t="n">
        <v>808467.9904808606</v>
      </c>
      <c r="G56" s="417" t="n">
        <v>0.2288604459983519</v>
      </c>
      <c r="H56" s="405" t="n">
        <v>3084.457226681672</v>
      </c>
    </row>
    <row r="57">
      <c r="B57" s="339" t="n">
        <v>6</v>
      </c>
      <c r="C57" s="339" t="inlineStr">
        <is>
          <t>premium_recovery+aftermarket</t>
        </is>
      </c>
      <c r="D57" s="339" t="inlineStr">
        <is>
          <t>FY2027Q3</t>
        </is>
      </c>
      <c r="E57" s="414" t="n">
        <v>1075.965917174729</v>
      </c>
      <c r="F57" s="420" t="n">
        <v>879323.5540782944</v>
      </c>
      <c r="G57" s="417" t="n">
        <v>0.2276609362764543</v>
      </c>
      <c r="H57" s="405" t="n">
        <v>3067.509596547069</v>
      </c>
    </row>
    <row r="58">
      <c r="B58" s="339" t="n">
        <v>6</v>
      </c>
      <c r="C58" s="339" t="inlineStr">
        <is>
          <t>premium_recovery+aftermarket</t>
        </is>
      </c>
      <c r="D58" s="339" t="inlineStr">
        <is>
          <t>FY2027Q4</t>
        </is>
      </c>
      <c r="E58" s="414" t="n">
        <v>983.0035943641881</v>
      </c>
      <c r="F58" s="420" t="n">
        <v>799313.1366006486</v>
      </c>
      <c r="G58" s="417" t="n">
        <v>0.2264475662642594</v>
      </c>
      <c r="H58" s="405" t="n">
        <v>3050.729139659057</v>
      </c>
    </row>
    <row r="59">
      <c r="B59" s="339" t="n">
        <v>7</v>
      </c>
      <c r="C59" s="339" t="inlineStr">
        <is>
          <t>market_allocation+premium_recovery+aftermarket</t>
        </is>
      </c>
      <c r="D59" s="339" t="inlineStr">
        <is>
          <t>FY2027Q1</t>
        </is>
      </c>
      <c r="E59" s="414" t="n">
        <v>967.0384173009616</v>
      </c>
      <c r="F59" s="420" t="n">
        <v>790507.6109902831</v>
      </c>
      <c r="G59" s="417" t="n">
        <v>0.2300120749139814</v>
      </c>
      <c r="H59" s="405" t="n">
        <v>3102.012654856646</v>
      </c>
    </row>
    <row r="60">
      <c r="B60" s="339" t="n">
        <v>7</v>
      </c>
      <c r="C60" s="339" t="inlineStr">
        <is>
          <t>market_allocation+premium_recovery+aftermarket</t>
        </is>
      </c>
      <c r="D60" s="339" t="inlineStr">
        <is>
          <t>FY2027Q2</t>
        </is>
      </c>
      <c r="E60" s="414" t="n">
        <v>925.7887883568802</v>
      </c>
      <c r="F60" s="420" t="n">
        <v>756205.3335666348</v>
      </c>
      <c r="G60" s="417" t="n">
        <v>0.2288604459983519</v>
      </c>
      <c r="H60" s="405" t="n">
        <v>3084.457226681676</v>
      </c>
    </row>
    <row r="61">
      <c r="B61" s="339" t="n">
        <v>7</v>
      </c>
      <c r="C61" s="339" t="inlineStr">
        <is>
          <t>market_allocation+premium_recovery+aftermarket</t>
        </is>
      </c>
      <c r="D61" s="339" t="inlineStr">
        <is>
          <t>FY2027Q3</t>
        </is>
      </c>
      <c r="E61" s="414" t="n">
        <v>1048.291787769522</v>
      </c>
      <c r="F61" s="420" t="n">
        <v>848941.7710796534</v>
      </c>
      <c r="G61" s="417" t="n">
        <v>0.2276609362764544</v>
      </c>
      <c r="H61" s="405" t="n">
        <v>3067.509596547073</v>
      </c>
    </row>
    <row r="62">
      <c r="B62" s="339" t="n">
        <v>7</v>
      </c>
      <c r="C62" s="339" t="inlineStr">
        <is>
          <t>market_allocation+premium_recovery+aftermarket</t>
        </is>
      </c>
      <c r="D62" s="339" t="inlineStr">
        <is>
          <t>FY2027Q4</t>
        </is>
      </c>
      <c r="E62" s="414" t="n">
        <v>978.5006003843397</v>
      </c>
      <c r="F62" s="420" t="n">
        <v>794355.6187982442</v>
      </c>
      <c r="G62" s="417" t="n">
        <v>0.2264475662642594</v>
      </c>
      <c r="H62" s="405" t="n">
        <v>3050.729139659056</v>
      </c>
    </row>
    <row r="63">
      <c r="B63" s="339" t="n">
        <v>8</v>
      </c>
      <c r="C63" s="339" t="inlineStr">
        <is>
          <t>fleet_mix</t>
        </is>
      </c>
      <c r="D63" s="339" t="inlineStr">
        <is>
          <t>FY2027Q1</t>
        </is>
      </c>
      <c r="E63" s="414" t="n">
        <v>1025.507486459717</v>
      </c>
      <c r="F63" s="420" t="n">
        <v>854111.0012595253</v>
      </c>
      <c r="G63" s="417" t="n">
        <v>0.2309161499901453</v>
      </c>
      <c r="H63" s="405" t="n">
        <v>3109.561956774737</v>
      </c>
    </row>
    <row r="64">
      <c r="B64" s="339" t="n">
        <v>8</v>
      </c>
      <c r="C64" s="339" t="inlineStr">
        <is>
          <t>fleet_mix</t>
        </is>
      </c>
      <c r="D64" s="339" t="inlineStr">
        <is>
          <t>FY2027Q2</t>
        </is>
      </c>
      <c r="E64" s="414" t="n">
        <v>986.4830605061766</v>
      </c>
      <c r="F64" s="420" t="n">
        <v>820545.7130904585</v>
      </c>
      <c r="G64" s="417" t="n">
        <v>0.2307648990700315</v>
      </c>
      <c r="H64" s="405" t="n">
        <v>3107.981665915742</v>
      </c>
    </row>
    <row r="65">
      <c r="B65" s="339" t="n">
        <v>8</v>
      </c>
      <c r="C65" s="339" t="inlineStr">
        <is>
          <t>fleet_mix</t>
        </is>
      </c>
      <c r="D65" s="339" t="inlineStr">
        <is>
          <t>FY2027Q3</t>
        </is>
      </c>
      <c r="E65" s="414" t="n">
        <v>1096.908899781877</v>
      </c>
      <c r="F65" s="420" t="n">
        <v>897827.2260926729</v>
      </c>
      <c r="G65" s="417" t="n">
        <v>0.2305897916177987</v>
      </c>
      <c r="H65" s="405" t="n">
        <v>3107.083953240975</v>
      </c>
    </row>
    <row r="66">
      <c r="B66" s="339" t="n">
        <v>8</v>
      </c>
      <c r="C66" s="339" t="inlineStr">
        <is>
          <t>fleet_mix</t>
        </is>
      </c>
      <c r="D66" s="339" t="inlineStr">
        <is>
          <t>FY2027Q4</t>
        </is>
      </c>
      <c r="E66" s="414" t="n">
        <v>1007.782576327108</v>
      </c>
      <c r="F66" s="420" t="n">
        <v>820458.3910493366</v>
      </c>
      <c r="G66" s="417" t="n">
        <v>0.2304178404853408</v>
      </c>
      <c r="H66" s="405" t="n">
        <v>3106.395211293683</v>
      </c>
    </row>
    <row r="67">
      <c r="B67" s="339" t="n">
        <v>9</v>
      </c>
      <c r="C67" s="339" t="inlineStr">
        <is>
          <t>market_allocation+fleet_mix</t>
        </is>
      </c>
      <c r="D67" s="339" t="inlineStr">
        <is>
          <t>FY2027Q1</t>
        </is>
      </c>
      <c r="E67" s="414" t="n">
        <v>972.4724921027863</v>
      </c>
      <c r="F67" s="420" t="n">
        <v>796226.6741950752</v>
      </c>
      <c r="G67" s="417" t="n">
        <v>0.2309161499901456</v>
      </c>
      <c r="H67" s="405" t="n">
        <v>3109.561956774737</v>
      </c>
    </row>
    <row r="68">
      <c r="B68" s="339" t="n">
        <v>9</v>
      </c>
      <c r="C68" s="339" t="inlineStr">
        <is>
          <t>market_allocation+fleet_mix</t>
        </is>
      </c>
      <c r="D68" s="339" t="inlineStr">
        <is>
          <t>FY2027Q2</t>
        </is>
      </c>
      <c r="E68" s="414" t="n">
        <v>937.9067575428124</v>
      </c>
      <c r="F68" s="420" t="n">
        <v>767502.3030969732</v>
      </c>
      <c r="G68" s="417" t="n">
        <v>0.2307648990700318</v>
      </c>
      <c r="H68" s="405" t="n">
        <v>3107.981665915748</v>
      </c>
    </row>
    <row r="69">
      <c r="B69" s="339" t="n">
        <v>9</v>
      </c>
      <c r="C69" s="339" t="inlineStr">
        <is>
          <t>market_allocation+fleet_mix</t>
        </is>
      </c>
      <c r="D69" s="339" t="inlineStr">
        <is>
          <t>FY2027Q3</t>
        </is>
      </c>
      <c r="E69" s="414" t="n">
        <v>1068.511162837713</v>
      </c>
      <c r="F69" s="420" t="n">
        <v>866806.1169379065</v>
      </c>
      <c r="G69" s="417" t="n">
        <v>0.2305897916177984</v>
      </c>
      <c r="H69" s="405" t="n">
        <v>3107.083953240977</v>
      </c>
    </row>
    <row r="70">
      <c r="B70" s="339" t="n">
        <v>9</v>
      </c>
      <c r="C70" s="339" t="inlineStr">
        <is>
          <t>market_allocation+fleet_mix</t>
        </is>
      </c>
      <c r="D70" s="339" t="inlineStr">
        <is>
          <t>FY2027Q4</t>
        </is>
      </c>
      <c r="E70" s="414" t="n">
        <v>1003.125897591459</v>
      </c>
      <c r="F70" s="420" t="n">
        <v>815369.7256771432</v>
      </c>
      <c r="G70" s="417" t="n">
        <v>0.2304178404853408</v>
      </c>
      <c r="H70" s="405" t="n">
        <v>3106.395211293683</v>
      </c>
    </row>
    <row r="71">
      <c r="B71" s="339" t="n">
        <v>10</v>
      </c>
      <c r="C71" s="339" t="inlineStr">
        <is>
          <t>premium_recovery+fleet_mix</t>
        </is>
      </c>
      <c r="D71" s="339" t="inlineStr">
        <is>
          <t>FY2027Q1</t>
        </is>
      </c>
      <c r="E71" s="414" t="n">
        <v>1021.575040369695</v>
      </c>
      <c r="F71" s="420" t="n">
        <v>849818.986177818</v>
      </c>
      <c r="G71" s="417" t="n">
        <v>0.231142625616621</v>
      </c>
      <c r="H71" s="405" t="n">
        <v>3109.561956774742</v>
      </c>
    </row>
    <row r="72">
      <c r="B72" s="339" t="n">
        <v>10</v>
      </c>
      <c r="C72" s="339" t="inlineStr">
        <is>
          <t>premium_recovery+fleet_mix</t>
        </is>
      </c>
      <c r="D72" s="339" t="inlineStr">
        <is>
          <t>FY2027Q2</t>
        </is>
      </c>
      <c r="E72" s="414" t="n">
        <v>980.8767700878014</v>
      </c>
      <c r="F72" s="420" t="n">
        <v>814423.8647186563</v>
      </c>
      <c r="G72" s="417" t="n">
        <v>0.2311034880750509</v>
      </c>
      <c r="H72" s="405" t="n">
        <v>3107.981665915745</v>
      </c>
    </row>
    <row r="73">
      <c r="B73" s="339" t="n">
        <v>10</v>
      </c>
      <c r="C73" s="339" t="inlineStr">
        <is>
          <t>premium_recovery+fleet_mix</t>
        </is>
      </c>
      <c r="D73" s="339" t="inlineStr">
        <is>
          <t>FY2027Q3</t>
        </is>
      </c>
      <c r="E73" s="414" t="n">
        <v>1089.791581412258</v>
      </c>
      <c r="F73" s="420" t="n">
        <v>890052.4125409003</v>
      </c>
      <c r="G73" s="417" t="n">
        <v>0.2309840305593108</v>
      </c>
      <c r="H73" s="405" t="n">
        <v>3107.083953240974</v>
      </c>
    </row>
    <row r="74">
      <c r="B74" s="339" t="n">
        <v>10</v>
      </c>
      <c r="C74" s="339" t="inlineStr">
        <is>
          <t>premium_recovery+fleet_mix</t>
        </is>
      </c>
      <c r="D74" s="339" t="inlineStr">
        <is>
          <t>FY2027Q4</t>
        </is>
      </c>
      <c r="E74" s="414" t="n">
        <v>1000.83433837414</v>
      </c>
      <c r="F74" s="420" t="n">
        <v>812865.5851298833</v>
      </c>
      <c r="G74" s="417" t="n">
        <v>0.2308397108684518</v>
      </c>
      <c r="H74" s="405" t="n">
        <v>3106.395211293685</v>
      </c>
    </row>
    <row r="75">
      <c r="B75" s="339" t="n">
        <v>11</v>
      </c>
      <c r="C75" s="339" t="inlineStr">
        <is>
          <t>market_allocation+premium_recovery+fleet_mix</t>
        </is>
      </c>
      <c r="D75" s="339" t="inlineStr">
        <is>
          <t>FY2027Q1</t>
        </is>
      </c>
      <c r="E75" s="414" t="n">
        <v>968.8065535220962</v>
      </c>
      <c r="F75" s="420" t="n">
        <v>792225.5351287683</v>
      </c>
      <c r="G75" s="417" t="n">
        <v>0.2311426256166211</v>
      </c>
      <c r="H75" s="405" t="n">
        <v>3109.561956774739</v>
      </c>
    </row>
    <row r="76">
      <c r="B76" s="339" t="n">
        <v>11</v>
      </c>
      <c r="C76" s="339" t="inlineStr">
        <is>
          <t>market_allocation+premium_recovery+fleet_mix</t>
        </is>
      </c>
      <c r="D76" s="339" t="inlineStr">
        <is>
          <t>FY2027Q2</t>
        </is>
      </c>
      <c r="E76" s="414" t="n">
        <v>932.6628805237893</v>
      </c>
      <c r="F76" s="420" t="n">
        <v>761776.1958861137</v>
      </c>
      <c r="G76" s="417" t="n">
        <v>0.2311034880750509</v>
      </c>
      <c r="H76" s="405" t="n">
        <v>3107.981665915745</v>
      </c>
    </row>
    <row r="77">
      <c r="B77" s="339" t="n">
        <v>11</v>
      </c>
      <c r="C77" s="339" t="inlineStr">
        <is>
          <t>market_allocation+premium_recovery+fleet_mix</t>
        </is>
      </c>
      <c r="D77" s="339" t="inlineStr">
        <is>
          <t>FY2027Q3</t>
        </is>
      </c>
      <c r="E77" s="414" t="n">
        <v>1061.639757159997</v>
      </c>
      <c r="F77" s="420" t="n">
        <v>859299.9333996139</v>
      </c>
      <c r="G77" s="417" t="n">
        <v>0.2309840305593108</v>
      </c>
      <c r="H77" s="405" t="n">
        <v>3107.083953240976</v>
      </c>
    </row>
    <row r="78">
      <c r="B78" s="339" t="n">
        <v>11</v>
      </c>
      <c r="C78" s="339" t="inlineStr">
        <is>
          <t>market_allocation+premium_recovery+fleet_mix</t>
        </is>
      </c>
      <c r="D78" s="339" t="inlineStr">
        <is>
          <t>FY2027Q4</t>
        </is>
      </c>
      <c r="E78" s="414" t="n">
        <v>996.2207541552331</v>
      </c>
      <c r="F78" s="420" t="n">
        <v>807824.0120282808</v>
      </c>
      <c r="G78" s="417" t="n">
        <v>0.2308397108684518</v>
      </c>
      <c r="H78" s="405" t="n">
        <v>3106.395211293685</v>
      </c>
    </row>
    <row r="79">
      <c r="B79" s="339" t="n">
        <v>12</v>
      </c>
      <c r="C79" s="339" t="inlineStr">
        <is>
          <t>aftermarket+fleet_mix</t>
        </is>
      </c>
      <c r="D79" s="339" t="inlineStr">
        <is>
          <t>FY2027Q1</t>
        </is>
      </c>
      <c r="E79" s="414" t="n">
        <v>1019.756447743504</v>
      </c>
      <c r="F79" s="420" t="n">
        <v>849735.7418255534</v>
      </c>
      <c r="G79" s="417" t="n">
        <v>0.2297329148627688</v>
      </c>
      <c r="H79" s="405" t="n">
        <v>3094.494833579958</v>
      </c>
    </row>
    <row r="80">
      <c r="B80" s="339" t="n">
        <v>12</v>
      </c>
      <c r="C80" s="339" t="inlineStr">
        <is>
          <t>aftermarket+fleet_mix</t>
        </is>
      </c>
      <c r="D80" s="339" t="inlineStr">
        <is>
          <t>FY2027Q2</t>
        </is>
      </c>
      <c r="E80" s="414" t="n">
        <v>975.4231429609433</v>
      </c>
      <c r="F80" s="420" t="n">
        <v>812141.6884811353</v>
      </c>
      <c r="G80" s="417" t="n">
        <v>0.2284003761465528</v>
      </c>
      <c r="H80" s="405" t="n">
        <v>3077.82238369579</v>
      </c>
    </row>
    <row r="81">
      <c r="B81" s="339" t="n">
        <v>12</v>
      </c>
      <c r="C81" s="339" t="inlineStr">
        <is>
          <t>aftermarket+fleet_mix</t>
        </is>
      </c>
      <c r="D81" s="339" t="inlineStr">
        <is>
          <t>FY2027Q3</t>
        </is>
      </c>
      <c r="E81" s="414" t="n">
        <v>1078.761473144321</v>
      </c>
      <c r="F81" s="420" t="n">
        <v>884045.99239547</v>
      </c>
      <c r="G81" s="417" t="n">
        <v>0.2270485580569535</v>
      </c>
      <c r="H81" s="405" t="n">
        <v>3061.798511058403</v>
      </c>
    </row>
    <row r="82">
      <c r="B82" s="339" t="n">
        <v>12</v>
      </c>
      <c r="C82" s="339" t="inlineStr">
        <is>
          <t>aftermarket+fleet_mix</t>
        </is>
      </c>
      <c r="D82" s="339" t="inlineStr">
        <is>
          <t>FY2027Q4</t>
        </is>
      </c>
      <c r="E82" s="414" t="n">
        <v>985.7073896675735</v>
      </c>
      <c r="F82" s="420" t="n">
        <v>803684.5759313126</v>
      </c>
      <c r="G82" s="417" t="n">
        <v>0.2257045450764831</v>
      </c>
      <c r="H82" s="405" t="n">
        <v>3045.949453154524</v>
      </c>
    </row>
    <row r="83">
      <c r="B83" s="339" t="n">
        <v>13</v>
      </c>
      <c r="C83" s="339" t="inlineStr">
        <is>
          <t>market_allocation+aftermarket+fleet_mix</t>
        </is>
      </c>
      <c r="D83" s="339" t="inlineStr">
        <is>
          <t>FY2027Q1</t>
        </is>
      </c>
      <c r="E83" s="414" t="n">
        <v>967.1112095254349</v>
      </c>
      <c r="F83" s="420" t="n">
        <v>792147.9323656006</v>
      </c>
      <c r="G83" s="417" t="n">
        <v>0.2297329148627689</v>
      </c>
      <c r="H83" s="405" t="n">
        <v>3094.494833579958</v>
      </c>
    </row>
    <row r="84">
      <c r="B84" s="339" t="n">
        <v>13</v>
      </c>
      <c r="C84" s="339" t="inlineStr">
        <is>
          <t>market_allocation+aftermarket+fleet_mix</t>
        </is>
      </c>
      <c r="D84" s="339" t="inlineStr">
        <is>
          <t>FY2027Q2</t>
        </is>
      </c>
      <c r="E84" s="414" t="n">
        <v>927.5617980206206</v>
      </c>
      <c r="F84" s="420" t="n">
        <v>759641.5487964673</v>
      </c>
      <c r="G84" s="417" t="n">
        <v>0.2284003761465531</v>
      </c>
      <c r="H84" s="405" t="n">
        <v>3077.822383695789</v>
      </c>
    </row>
    <row r="85">
      <c r="B85" s="339" t="n">
        <v>13</v>
      </c>
      <c r="C85" s="339" t="inlineStr">
        <is>
          <t>market_allocation+aftermarket+fleet_mix</t>
        </is>
      </c>
      <c r="D85" s="339" t="inlineStr">
        <is>
          <t>FY2027Q3</t>
        </is>
      </c>
      <c r="E85" s="414" t="n">
        <v>1050.990753610902</v>
      </c>
      <c r="F85" s="420" t="n">
        <v>853501.0429542696</v>
      </c>
      <c r="G85" s="417" t="n">
        <v>0.2270485580569532</v>
      </c>
      <c r="H85" s="405" t="n">
        <v>3061.798511058405</v>
      </c>
    </row>
    <row r="86">
      <c r="B86" s="339" t="n">
        <v>13</v>
      </c>
      <c r="C86" s="339" t="inlineStr">
        <is>
          <t>market_allocation+aftermarket+fleet_mix</t>
        </is>
      </c>
      <c r="D86" s="339" t="inlineStr">
        <is>
          <t>FY2027Q4</t>
        </is>
      </c>
      <c r="E86" s="414" t="n">
        <v>981.1876261480581</v>
      </c>
      <c r="F86" s="420" t="n">
        <v>798699.9454901796</v>
      </c>
      <c r="G86" s="417" t="n">
        <v>0.2257045450764831</v>
      </c>
      <c r="H86" s="405" t="n">
        <v>3045.949453154524</v>
      </c>
    </row>
    <row r="87">
      <c r="B87" s="339" t="n">
        <v>14</v>
      </c>
      <c r="C87" s="339" t="inlineStr">
        <is>
          <t>premium_recovery+aftermarket+fleet_mix</t>
        </is>
      </c>
      <c r="D87" s="339" t="inlineStr">
        <is>
          <t>FY2027Q1</t>
        </is>
      </c>
      <c r="E87" s="414" t="n">
        <v>1015.852901345523</v>
      </c>
      <c r="F87" s="420" t="n">
        <v>845465.7129721582</v>
      </c>
      <c r="G87" s="417" t="n">
        <v>0.2299585769955041</v>
      </c>
      <c r="H87" s="405" t="n">
        <v>3094.49483357996</v>
      </c>
    </row>
    <row r="88">
      <c r="B88" s="339" t="n">
        <v>14</v>
      </c>
      <c r="C88" s="339" t="inlineStr">
        <is>
          <t>premium_recovery+aftermarket+fleet_mix</t>
        </is>
      </c>
      <c r="D88" s="339" t="inlineStr">
        <is>
          <t>FY2027Q2</t>
        </is>
      </c>
      <c r="E88" s="414" t="n">
        <v>969.8993673094324</v>
      </c>
      <c r="F88" s="420" t="n">
        <v>806082.5400461577</v>
      </c>
      <c r="G88" s="417" t="n">
        <v>0.2287365274412941</v>
      </c>
      <c r="H88" s="405" t="n">
        <v>3077.82238369579</v>
      </c>
    </row>
    <row r="89">
      <c r="B89" s="339" t="n">
        <v>14</v>
      </c>
      <c r="C89" s="339" t="inlineStr">
        <is>
          <t>premium_recovery+aftermarket+fleet_mix</t>
        </is>
      </c>
      <c r="D89" s="339" t="inlineStr">
        <is>
          <t>FY2027Q3</t>
        </is>
      </c>
      <c r="E89" s="414" t="n">
        <v>1071.801304006148</v>
      </c>
      <c r="F89" s="420" t="n">
        <v>876390.5186447143</v>
      </c>
      <c r="G89" s="417" t="n">
        <v>0.2274385322574677</v>
      </c>
      <c r="H89" s="405" t="n">
        <v>3061.798511058397</v>
      </c>
    </row>
    <row r="90">
      <c r="B90" s="339" t="n">
        <v>14</v>
      </c>
      <c r="C90" s="339" t="inlineStr">
        <is>
          <t>premium_recovery+aftermarket+fleet_mix</t>
        </is>
      </c>
      <c r="D90" s="339" t="inlineStr">
        <is>
          <t>FY2027Q4</t>
        </is>
      </c>
      <c r="E90" s="414" t="n">
        <v>978.9634431323916</v>
      </c>
      <c r="F90" s="420" t="n">
        <v>796247.0007025434</v>
      </c>
      <c r="G90" s="417" t="n">
        <v>0.2261203214707115</v>
      </c>
      <c r="H90" s="405" t="n">
        <v>3045.949453154521</v>
      </c>
    </row>
    <row r="91">
      <c r="B91" s="339" t="n">
        <v>15</v>
      </c>
      <c r="C91" s="339" t="inlineStr">
        <is>
          <t>market_allocation+premium_recovery+aftermarket+fleet_mix</t>
        </is>
      </c>
      <c r="D91" s="339" t="inlineStr">
        <is>
          <t>FY2027Q1</t>
        </is>
      </c>
      <c r="E91" s="414" t="n">
        <v>963.4722120632231</v>
      </c>
      <c r="F91" s="420" t="n">
        <v>788167.2894893914</v>
      </c>
      <c r="G91" s="417" t="n">
        <v>0.2299585769955042</v>
      </c>
      <c r="H91" s="405" t="n">
        <v>3094.494833579958</v>
      </c>
    </row>
    <row r="92">
      <c r="B92" s="339" t="n">
        <v>15</v>
      </c>
      <c r="C92" s="339" t="inlineStr">
        <is>
          <t>market_allocation+premium_recovery+aftermarket+fleet_mix</t>
        </is>
      </c>
      <c r="D92" s="339" t="inlineStr">
        <is>
          <t>FY2027Q2</t>
        </is>
      </c>
      <c r="E92" s="414" t="n">
        <v>922.39510167855</v>
      </c>
      <c r="F92" s="420" t="n">
        <v>753974.0883436708</v>
      </c>
      <c r="G92" s="417" t="n">
        <v>0.2287365274412941</v>
      </c>
      <c r="H92" s="405" t="n">
        <v>3077.82238369579</v>
      </c>
    </row>
    <row r="93">
      <c r="B93" s="339" t="n">
        <v>15</v>
      </c>
      <c r="C93" s="339" t="inlineStr">
        <is>
          <t>market_allocation+premium_recovery+aftermarket+fleet_mix</t>
        </is>
      </c>
      <c r="D93" s="339" t="inlineStr">
        <is>
          <t>FY2027Q3</t>
        </is>
      </c>
      <c r="E93" s="414" t="n">
        <v>1044.271067452411</v>
      </c>
      <c r="F93" s="420" t="n">
        <v>846110.0758702225</v>
      </c>
      <c r="G93" s="417" t="n">
        <v>0.2274385322574679</v>
      </c>
      <c r="H93" s="405" t="n">
        <v>3061.7985110584</v>
      </c>
    </row>
    <row r="94">
      <c r="B94" s="339" t="n">
        <v>15</v>
      </c>
      <c r="C94" s="339" t="inlineStr">
        <is>
          <t>market_allocation+premium_recovery+aftermarket+fleet_mix</t>
        </is>
      </c>
      <c r="D94" s="339" t="inlineStr">
        <is>
          <t>FY2027Q4</t>
        </is>
      </c>
      <c r="E94" s="414" t="n">
        <v>974.4855070688204</v>
      </c>
      <c r="F94" s="420" t="n">
        <v>791308.4997567419</v>
      </c>
      <c r="G94" s="417" t="n">
        <v>0.2261203214707115</v>
      </c>
      <c r="H94" s="405" t="n">
        <v>3045.94945315452</v>
      </c>
    </row>
    <row r="95"/>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38" t="n">
        <v>0</v>
      </c>
      <c r="D98" s="338" t="n">
        <v>-1.862645149230957e-10</v>
      </c>
      <c r="E98" s="338" t="n">
        <v>-1.862645149230957e-10</v>
      </c>
      <c r="F98" s="338" t="n">
        <v>-7.963352199880092e-11</v>
      </c>
      <c r="G98" s="338" t="n">
        <v>-2.592814851709591e-11</v>
      </c>
      <c r="H98" s="338" t="n">
        <v>4093.077729918438</v>
      </c>
      <c r="I98" s="338" t="n">
        <v>-3.254567673138808e-07</v>
      </c>
      <c r="J98" s="338" t="n">
        <v>-7.951395097904879e-11</v>
      </c>
      <c r="K98" s="338" t="n">
        <v>32.07772991843831</v>
      </c>
      <c r="L98" s="338" t="n">
        <v>0.007898973139236265</v>
      </c>
      <c r="M98" s="338" t="n">
        <v>-1.609392938917154e-07</v>
      </c>
      <c r="N98" s="338" t="n">
        <v>1</v>
      </c>
      <c r="O98" s="339" t="inlineStr">
        <is>
          <t>Conditional scenario; not an empirically identified forecast</t>
        </is>
      </c>
    </row>
    <row r="99">
      <c r="B99" s="339" t="inlineStr">
        <is>
          <t>ccc_small_shift</t>
        </is>
      </c>
      <c r="C99" s="338" t="n">
        <v>-0.005029940119760479</v>
      </c>
      <c r="D99" s="338" t="n">
        <v>-0.00431330930441618</v>
      </c>
      <c r="E99" s="338" t="n">
        <v>-0.00431330930441618</v>
      </c>
      <c r="F99" s="338" t="n">
        <v>-0.008361894661812364</v>
      </c>
      <c r="G99" s="338" t="n">
        <v>-0.002569282275936224</v>
      </c>
      <c r="H99" s="338" t="n">
        <v>4059.442017568457</v>
      </c>
      <c r="I99" s="338" t="n">
        <v>-33.63571267543784</v>
      </c>
      <c r="J99" s="338" t="n">
        <v>-0.008217706794792168</v>
      </c>
      <c r="K99" s="338" t="n">
        <v>-1.557982431542769</v>
      </c>
      <c r="L99" s="338" t="n">
        <v>-0.000383645021310719</v>
      </c>
      <c r="M99" s="338" t="n">
        <v>-16.63247359750176</v>
      </c>
      <c r="N99" s="338" t="n">
        <v>1</v>
      </c>
      <c r="O99" s="339" t="inlineStr">
        <is>
          <t>Conditional scenario; not an empirically identified forecast</t>
        </is>
      </c>
    </row>
    <row r="100">
      <c r="B100" s="339" t="inlineStr">
        <is>
          <t>ccc_larger_shift</t>
        </is>
      </c>
      <c r="C100" s="338" t="n">
        <v>-0.01029940119760475</v>
      </c>
      <c r="D100" s="338" t="n">
        <v>-0.01682927366346121</v>
      </c>
      <c r="E100" s="338" t="n">
        <v>-0.01682927366346121</v>
      </c>
      <c r="F100" s="338" t="n">
        <v>-0.02045464153553811</v>
      </c>
      <c r="G100" s="338" t="n">
        <v>-0.009138782559093506</v>
      </c>
      <c r="H100" s="338" t="n">
        <v>4002.414465896287</v>
      </c>
      <c r="I100" s="338" t="n">
        <v>-90.66326434760822</v>
      </c>
      <c r="J100" s="338" t="n">
        <v>-0.02215038910150524</v>
      </c>
      <c r="K100" s="338" t="n">
        <v>-58.58553410371314</v>
      </c>
      <c r="L100" s="338" t="n">
        <v>-0.01442638121243855</v>
      </c>
      <c r="M100" s="338" t="n">
        <v>-44.82998956878635</v>
      </c>
      <c r="N100" s="338" t="n">
        <v>1</v>
      </c>
      <c r="O100" s="339" t="inlineStr">
        <is>
          <t>Conditional scenario; not an empirically identified forecast</t>
        </is>
      </c>
    </row>
    <row r="101">
      <c r="B101" s="339" t="inlineStr">
        <is>
          <t>ccc_large_stress</t>
        </is>
      </c>
      <c r="C101" s="338" t="n">
        <v>-0.01556886227544903</v>
      </c>
      <c r="D101" s="338" t="n">
        <v>-0.0294586380943656</v>
      </c>
      <c r="E101" s="338" t="n">
        <v>-0.0294586380943656</v>
      </c>
      <c r="F101" s="338" t="n">
        <v>-0.0324965962072159</v>
      </c>
      <c r="G101" s="338" t="n">
        <v>-0.01540528688603848</v>
      </c>
      <c r="H101" s="338" t="n">
        <v>3946.934726452539</v>
      </c>
      <c r="I101" s="338" t="n">
        <v>-146.143003791356</v>
      </c>
      <c r="J101" s="338" t="n">
        <v>-0.0357049177716563</v>
      </c>
      <c r="K101" s="338" t="n">
        <v>-114.0652735474609</v>
      </c>
      <c r="L101" s="338" t="n">
        <v>-0.0280879767415565</v>
      </c>
      <c r="M101" s="338" t="n">
        <v>-72.26596372908284</v>
      </c>
      <c r="N101" s="338" t="n">
        <v>1</v>
      </c>
      <c r="O101" s="339" t="inlineStr">
        <is>
          <t>Conditional scenario; not an empirically identified forecast</t>
        </is>
      </c>
    </row>
    <row r="102">
      <c r="B102" s="339" t="inlineStr">
        <is>
          <t>ccc_larger_half_switching</t>
        </is>
      </c>
      <c r="C102" s="338" t="n">
        <v>-0.01029940119760475</v>
      </c>
      <c r="D102" s="338" t="n">
        <v>-0.01973368208855391</v>
      </c>
      <c r="E102" s="338" t="n">
        <v>-0.01973368208855391</v>
      </c>
      <c r="F102" s="338" t="n">
        <v>-0.01083273698875686</v>
      </c>
      <c r="G102" s="338" t="n">
        <v>-0.00970412694382583</v>
      </c>
      <c r="H102" s="338" t="n">
        <v>4030.08455520966</v>
      </c>
      <c r="I102" s="338" t="n">
        <v>-62.99317503423526</v>
      </c>
      <c r="J102" s="338" t="n">
        <v>-0.01539017316206248</v>
      </c>
      <c r="K102" s="338" t="n">
        <v>-30.91544479034019</v>
      </c>
      <c r="L102" s="338" t="n">
        <v>-0.00761276650833298</v>
      </c>
      <c r="M102" s="338" t="n">
        <v>-31.14559996592618</v>
      </c>
      <c r="N102" s="338" t="n">
        <v>0.5</v>
      </c>
      <c r="O102" s="339" t="inlineStr">
        <is>
          <t>Conditional scenario; not an empirically identified forecast</t>
        </is>
      </c>
    </row>
    <row r="103"/>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38" t="n">
        <v>1021.575040287509</v>
      </c>
      <c r="E106" s="338" t="n">
        <v>1184.760040287509</v>
      </c>
      <c r="F106" s="338" t="n">
        <v>849818.9861101465</v>
      </c>
      <c r="G106" s="338" t="n">
        <v>-7.963052439663443e-11</v>
      </c>
      <c r="H106" s="338" t="n">
        <v>-0.00295417935910014</v>
      </c>
      <c r="I106" s="338" t="n">
        <v>916.2237352523046</v>
      </c>
      <c r="J106" s="338" t="n">
        <v>-2.592337455809002e-11</v>
      </c>
      <c r="K106" s="338" t="n">
        <v>0.01422209465893265</v>
      </c>
      <c r="L106" s="338" t="n">
        <v>-1.928885939861402e-10</v>
      </c>
      <c r="M106" s="338" t="n">
        <v>-8.218682978622383e-08</v>
      </c>
    </row>
    <row r="107">
      <c r="B107" s="339" t="inlineStr">
        <is>
          <t>ccc_reference</t>
        </is>
      </c>
      <c r="C107" s="339" t="inlineStr">
        <is>
          <t>FY2027Q2</t>
        </is>
      </c>
      <c r="D107" s="338" t="n">
        <v>980.876770009049</v>
      </c>
      <c r="E107" s="338" t="n">
        <v>1150.499770009049</v>
      </c>
      <c r="F107" s="338" t="n">
        <v>814423.8646537777</v>
      </c>
      <c r="G107" s="338" t="n">
        <v>-7.966194370823132e-11</v>
      </c>
      <c r="H107" s="338" t="n">
        <v>-0.002939853448574503</v>
      </c>
      <c r="I107" s="338" t="n">
        <v>915.7839393823263</v>
      </c>
      <c r="J107" s="338" t="n">
        <v>-2.592759340558359e-11</v>
      </c>
      <c r="K107" s="338" t="n">
        <v>0.01425738325862946</v>
      </c>
      <c r="L107" s="338" t="n">
        <v>-1.928990300825717e-10</v>
      </c>
      <c r="M107" s="338" t="n">
        <v>-7.875246410549153e-08</v>
      </c>
    </row>
    <row r="108">
      <c r="B108" s="339" t="inlineStr">
        <is>
          <t>ccc_reference</t>
        </is>
      </c>
      <c r="C108" s="339" t="inlineStr">
        <is>
          <t>FY2027Q3</t>
        </is>
      </c>
      <c r="D108" s="338" t="n">
        <v>1089.791581326242</v>
      </c>
      <c r="E108" s="338" t="n">
        <v>1270.777581326241</v>
      </c>
      <c r="F108" s="338" t="n">
        <v>890052.4124700167</v>
      </c>
      <c r="G108" s="338" t="n">
        <v>-7.963973924773882e-11</v>
      </c>
      <c r="H108" s="338" t="n">
        <v>-0.00332927181182463</v>
      </c>
      <c r="I108" s="338" t="n">
        <v>915.4326752712417</v>
      </c>
      <c r="J108" s="338" t="n">
        <v>-2.593036896314516e-11</v>
      </c>
      <c r="K108" s="338" t="n">
        <v>0.01437759470856803</v>
      </c>
      <c r="L108" s="338" t="n">
        <v>-1.928925907890289e-10</v>
      </c>
      <c r="M108" s="338" t="n">
        <v>-8.601682566222735e-08</v>
      </c>
    </row>
    <row r="109">
      <c r="B109" s="339" t="inlineStr">
        <is>
          <t>ccc_reference</t>
        </is>
      </c>
      <c r="C109" s="339" t="inlineStr">
        <is>
          <t>FY2027Q4</t>
        </is>
      </c>
      <c r="D109" s="338" t="n">
        <v>1000.834338295639</v>
      </c>
      <c r="E109" s="338" t="n">
        <v>1183.729338295639</v>
      </c>
      <c r="F109" s="338" t="n">
        <v>812865.5850651779</v>
      </c>
      <c r="G109" s="338" t="n">
        <v>-7.960154757569171e-11</v>
      </c>
      <c r="H109" s="338" t="n">
        <v>-0.003843581707627775</v>
      </c>
      <c r="I109" s="338" t="n">
        <v>915.1080676230164</v>
      </c>
      <c r="J109" s="338" t="n">
        <v>-2.593003589623777e-11</v>
      </c>
      <c r="K109" s="338" t="n">
        <v>0.01452390543132243</v>
      </c>
      <c r="L109" s="338" t="n">
        <v>-1.928817106033875e-10</v>
      </c>
      <c r="M109" s="338" t="n">
        <v>-7.850076144677587e-08</v>
      </c>
    </row>
    <row r="110">
      <c r="B110" s="339" t="inlineStr">
        <is>
          <t>ccc_small_shift</t>
        </is>
      </c>
      <c r="C110" s="339" t="inlineStr">
        <is>
          <t>FY2027Q1</t>
        </is>
      </c>
      <c r="D110" s="338" t="n">
        <v>1013.082328069004</v>
      </c>
      <c r="E110" s="338" t="n">
        <v>1176.267328069004</v>
      </c>
      <c r="F110" s="338" t="n">
        <v>842711.4672222148</v>
      </c>
      <c r="G110" s="338" t="n">
        <v>-0.008363568090623996</v>
      </c>
      <c r="H110" s="338" t="n">
        <v>-0.01129303989077113</v>
      </c>
      <c r="I110" s="338" t="n">
        <v>913.8734234413637</v>
      </c>
      <c r="J110" s="338" t="n">
        <v>-0.002565216053897923</v>
      </c>
      <c r="K110" s="338" t="n">
        <v>0.01162039588572017</v>
      </c>
      <c r="L110" s="338" t="n">
        <v>-0.005472734966226023</v>
      </c>
      <c r="M110" s="338" t="n">
        <v>-8.492712300691664</v>
      </c>
    </row>
    <row r="111">
      <c r="B111" s="339" t="inlineStr">
        <is>
          <t>ccc_small_shift</t>
        </is>
      </c>
      <c r="C111" s="339" t="inlineStr">
        <is>
          <t>FY2027Q2</t>
        </is>
      </c>
      <c r="D111" s="338" t="n">
        <v>972.7370087909914</v>
      </c>
      <c r="E111" s="338" t="n">
        <v>1142.360008790991</v>
      </c>
      <c r="F111" s="338" t="n">
        <v>807610.9068535336</v>
      </c>
      <c r="G111" s="338" t="n">
        <v>-0.008365371104978925</v>
      </c>
      <c r="H111" s="338" t="n">
        <v>-0.01128063150969849</v>
      </c>
      <c r="I111" s="338" t="n">
        <v>913.4306231148315</v>
      </c>
      <c r="J111" s="338" t="n">
        <v>-0.00256972872090877</v>
      </c>
      <c r="K111" s="338" t="n">
        <v>0.01165101695670545</v>
      </c>
      <c r="L111" s="338" t="n">
        <v>-0.005476173937458251</v>
      </c>
      <c r="M111" s="338" t="n">
        <v>-8.139761296810093</v>
      </c>
    </row>
    <row r="112">
      <c r="B112" s="339" t="inlineStr">
        <is>
          <t>ccc_small_shift</t>
        </is>
      </c>
      <c r="C112" s="339" t="inlineStr">
        <is>
          <t>FY2027Q3</t>
        </is>
      </c>
      <c r="D112" s="338" t="n">
        <v>1080.901204485076</v>
      </c>
      <c r="E112" s="338" t="n">
        <v>1261.887204485076</v>
      </c>
      <c r="F112" s="338" t="n">
        <v>882609.91938966</v>
      </c>
      <c r="G112" s="338" t="n">
        <v>-0.008361859421282425</v>
      </c>
      <c r="H112" s="338" t="n">
        <v>-0.01166329225153051</v>
      </c>
      <c r="I112" s="338" t="n">
        <v>913.0791151714828</v>
      </c>
      <c r="J112" s="338" t="n">
        <v>-0.002570981118560023</v>
      </c>
      <c r="K112" s="338" t="n">
        <v>0.0117696490917174</v>
      </c>
      <c r="L112" s="338" t="n">
        <v>-0.005477849887792097</v>
      </c>
      <c r="M112" s="338" t="n">
        <v>-8.890376927182388</v>
      </c>
    </row>
    <row r="113">
      <c r="B113" s="339" t="inlineStr">
        <is>
          <t>ccc_small_shift</t>
        </is>
      </c>
      <c r="C113" s="339" t="inlineStr">
        <is>
          <t>FY2027Q4</t>
        </is>
      </c>
      <c r="D113" s="338" t="n">
        <v>992.7214762233862</v>
      </c>
      <c r="E113" s="338" t="n">
        <v>1175.616476223386</v>
      </c>
      <c r="F113" s="338" t="n">
        <v>806072.7107767507</v>
      </c>
      <c r="G113" s="338" t="n">
        <v>-0.008356700637101255</v>
      </c>
      <c r="H113" s="338" t="n">
        <v>-0.01216816260439113</v>
      </c>
      <c r="I113" s="338" t="n">
        <v>912.7551185860287</v>
      </c>
      <c r="J113" s="338" t="n">
        <v>-0.0025712253491188</v>
      </c>
      <c r="K113" s="338" t="n">
        <v>0.01191533587462934</v>
      </c>
      <c r="L113" s="338" t="n">
        <v>-0.005478982256570952</v>
      </c>
      <c r="M113" s="338" t="n">
        <v>-8.112862150753699</v>
      </c>
    </row>
    <row r="114">
      <c r="B114" s="339" t="inlineStr">
        <is>
          <t>ccc_larger_shift</t>
        </is>
      </c>
      <c r="C114" s="339" t="inlineStr">
        <is>
          <t>FY2027Q1</t>
        </is>
      </c>
      <c r="D114" s="338" t="n">
        <v>998.684833803279</v>
      </c>
      <c r="E114" s="338" t="n">
        <v>1161.869833803279</v>
      </c>
      <c r="F114" s="338" t="n">
        <v>832433.4591683946</v>
      </c>
      <c r="G114" s="338" t="n">
        <v>-0.02045791785332707</v>
      </c>
      <c r="H114" s="338" t="n">
        <v>-0.0233516607760037</v>
      </c>
      <c r="I114" s="338" t="n">
        <v>907.8612962205021</v>
      </c>
      <c r="J114" s="338" t="n">
        <v>-0.009127070969226048</v>
      </c>
      <c r="K114" s="338" t="n">
        <v>0.004965217648475573</v>
      </c>
      <c r="L114" s="338" t="n">
        <v>-0.01944194306907765</v>
      </c>
      <c r="M114" s="338" t="n">
        <v>-22.8902065664164</v>
      </c>
    </row>
    <row r="115">
      <c r="B115" s="339" t="inlineStr">
        <is>
          <t>ccc_larger_shift</t>
        </is>
      </c>
      <c r="C115" s="339" t="inlineStr">
        <is>
          <t>FY2027Q2</t>
        </is>
      </c>
      <c r="D115" s="338" t="n">
        <v>958.9369870854315</v>
      </c>
      <c r="E115" s="338" t="n">
        <v>1128.559987085431</v>
      </c>
      <c r="F115" s="338" t="n">
        <v>797758.405220761</v>
      </c>
      <c r="G115" s="338" t="n">
        <v>-0.02046288206897329</v>
      </c>
      <c r="H115" s="338" t="n">
        <v>-0.02334257756532709</v>
      </c>
      <c r="I115" s="338" t="n">
        <v>907.4132061017597</v>
      </c>
      <c r="J115" s="338" t="n">
        <v>-0.009140511144735131</v>
      </c>
      <c r="K115" s="338" t="n">
        <v>0.004986552369380837</v>
      </c>
      <c r="L115" s="338" t="n">
        <v>-0.01944935603033371</v>
      </c>
      <c r="M115" s="338" t="n">
        <v>-21.93978300236995</v>
      </c>
    </row>
    <row r="116">
      <c r="B116" s="339" t="inlineStr">
        <is>
          <t>ccc_larger_shift</t>
        </is>
      </c>
      <c r="C116" s="339" t="inlineStr">
        <is>
          <t>FY2027Q3</t>
        </is>
      </c>
      <c r="D116" s="338" t="n">
        <v>1065.827544780329</v>
      </c>
      <c r="E116" s="338" t="n">
        <v>1246.813544780329</v>
      </c>
      <c r="F116" s="338" t="n">
        <v>871846.5395196392</v>
      </c>
      <c r="G116" s="338" t="n">
        <v>-0.02045483250732094</v>
      </c>
      <c r="H116" s="338" t="n">
        <v>-0.02371600454411238</v>
      </c>
      <c r="I116" s="338" t="n">
        <v>907.062182031318</v>
      </c>
      <c r="J116" s="338" t="n">
        <v>-0.00914375626909314</v>
      </c>
      <c r="K116" s="338" t="n">
        <v>0.005102373243786484</v>
      </c>
      <c r="L116" s="338" t="n">
        <v>-0.01945249133745497</v>
      </c>
      <c r="M116" s="338" t="n">
        <v>-23.96403663192905</v>
      </c>
    </row>
    <row r="117">
      <c r="B117" s="339" t="inlineStr">
        <is>
          <t>ccc_larger_shift</t>
        </is>
      </c>
      <c r="C117" s="339" t="inlineStr">
        <is>
          <t>FY2027Q4</t>
        </is>
      </c>
      <c r="D117" s="338" t="n">
        <v>978.9651002272467</v>
      </c>
      <c r="E117" s="338" t="n">
        <v>1161.860100227247</v>
      </c>
      <c r="F117" s="338" t="n">
        <v>796248.3765085215</v>
      </c>
      <c r="G117" s="338" t="n">
        <v>-0.02044275083771274</v>
      </c>
      <c r="H117" s="338" t="n">
        <v>-0.02420775908449246</v>
      </c>
      <c r="I117" s="338" t="n">
        <v>906.7404568957742</v>
      </c>
      <c r="J117" s="338" t="n">
        <v>-0.009143849832390694</v>
      </c>
      <c r="K117" s="338" t="n">
        <v>0.005247251214754112</v>
      </c>
      <c r="L117" s="338" t="n">
        <v>-0.01945430582700625</v>
      </c>
      <c r="M117" s="338" t="n">
        <v>-21.86923814689317</v>
      </c>
    </row>
    <row r="118">
      <c r="B118" s="339" t="inlineStr">
        <is>
          <t>ccc_large_stress</t>
        </is>
      </c>
      <c r="C118" s="339" t="inlineStr">
        <is>
          <t>FY2027Q1</t>
        </is>
      </c>
      <c r="D118" s="338" t="n">
        <v>984.6742523845617</v>
      </c>
      <c r="E118" s="338" t="n">
        <v>1147.859252384562</v>
      </c>
      <c r="F118" s="338" t="n">
        <v>822198.6781649828</v>
      </c>
      <c r="G118" s="338" t="n">
        <v>-0.03250140143027569</v>
      </c>
      <c r="H118" s="338" t="n">
        <v>-0.03535956574331389</v>
      </c>
      <c r="I118" s="338" t="n">
        <v>902.1220266306281</v>
      </c>
      <c r="J118" s="338" t="n">
        <v>-0.01539111911478619</v>
      </c>
      <c r="K118" s="338" t="n">
        <v>-0.001387918382923514</v>
      </c>
      <c r="L118" s="338" t="n">
        <v>-0.0334785666320947</v>
      </c>
      <c r="M118" s="338" t="n">
        <v>-36.90078798513377</v>
      </c>
    </row>
    <row r="119">
      <c r="B119" s="339" t="inlineStr">
        <is>
          <t>ccc_large_stress</t>
        </is>
      </c>
      <c r="C119" s="339" t="inlineStr">
        <is>
          <t>FY2027Q2</t>
        </is>
      </c>
      <c r="D119" s="338" t="n">
        <v>945.5115943438524</v>
      </c>
      <c r="E119" s="338" t="n">
        <v>1115.134594343852</v>
      </c>
      <c r="F119" s="338" t="n">
        <v>787947.3456699875</v>
      </c>
      <c r="G119" s="338" t="n">
        <v>-0.03250950788115126</v>
      </c>
      <c r="H119" s="338" t="n">
        <v>-0.03535378806402423</v>
      </c>
      <c r="I119" s="338" t="n">
        <v>901.6733457364571</v>
      </c>
      <c r="J119" s="338" t="n">
        <v>-0.01540821263885084</v>
      </c>
      <c r="K119" s="338" t="n">
        <v>-0.001370510147251869</v>
      </c>
      <c r="L119" s="338" t="n">
        <v>-0.03348986031442192</v>
      </c>
      <c r="M119" s="338" t="n">
        <v>-35.36517574394907</v>
      </c>
    </row>
    <row r="120">
      <c r="B120" s="339" t="inlineStr">
        <is>
          <t>ccc_large_stress</t>
        </is>
      </c>
      <c r="C120" s="339" t="inlineStr">
        <is>
          <t>FY2027Q3</t>
        </is>
      </c>
      <c r="D120" s="338" t="n">
        <v>1051.164627596203</v>
      </c>
      <c r="E120" s="338" t="n">
        <v>1232.150627596203</v>
      </c>
      <c r="F120" s="338" t="n">
        <v>861128.3561843168</v>
      </c>
      <c r="G120" s="338" t="n">
        <v>-0.03249702596054072</v>
      </c>
      <c r="H120" s="338" t="n">
        <v>-0.03571810626307159</v>
      </c>
      <c r="I120" s="338" t="n">
        <v>901.3245258676426</v>
      </c>
      <c r="J120" s="338" t="n">
        <v>-0.01541145494155594</v>
      </c>
      <c r="K120" s="338" t="n">
        <v>-0.001255439860109231</v>
      </c>
      <c r="L120" s="338" t="n">
        <v>-0.03349442583830053</v>
      </c>
      <c r="M120" s="338" t="n">
        <v>-38.62695381605499</v>
      </c>
    </row>
    <row r="121">
      <c r="B121" s="339" t="inlineStr">
        <is>
          <t>ccc_large_stress</t>
        </is>
      </c>
      <c r="C121" s="339" t="inlineStr">
        <is>
          <t>FY2027Q4</t>
        </is>
      </c>
      <c r="D121" s="338" t="n">
        <v>965.5842521279213</v>
      </c>
      <c r="E121" s="338" t="n">
        <v>1148.479252127921</v>
      </c>
      <c r="F121" s="338" t="n">
        <v>786465.2020873337</v>
      </c>
      <c r="G121" s="338" t="n">
        <v>-0.03247816554852823</v>
      </c>
      <c r="H121" s="338" t="n">
        <v>-0.03619691469643604</v>
      </c>
      <c r="I121" s="338" t="n">
        <v>901.0058763411655</v>
      </c>
      <c r="J121" s="338" t="n">
        <v>-0.01541041086201367</v>
      </c>
      <c r="K121" s="338" t="n">
        <v>-0.001110324754807657</v>
      </c>
      <c r="L121" s="338" t="n">
        <v>-0.03349691310838099</v>
      </c>
      <c r="M121" s="338" t="n">
        <v>-35.25008624621853</v>
      </c>
    </row>
    <row r="122">
      <c r="B122" s="339" t="inlineStr">
        <is>
          <t>ccc_larger_half_switching</t>
        </is>
      </c>
      <c r="C122" s="339" t="inlineStr">
        <is>
          <t>FY2027Q1</t>
        </is>
      </c>
      <c r="D122" s="338" t="n">
        <v>1005.672722247023</v>
      </c>
      <c r="E122" s="338" t="n">
        <v>1168.857722247023</v>
      </c>
      <c r="F122" s="338" t="n">
        <v>840611.7454918515</v>
      </c>
      <c r="G122" s="338" t="n">
        <v>-0.01083435512235076</v>
      </c>
      <c r="H122" s="338" t="n">
        <v>-0.0137565277746442</v>
      </c>
      <c r="I122" s="338" t="n">
        <v>907.341601865677</v>
      </c>
      <c r="J122" s="338" t="n">
        <v>-0.009694284341698389</v>
      </c>
      <c r="K122" s="338" t="n">
        <v>0.004389937313713066</v>
      </c>
      <c r="L122" s="338" t="n">
        <v>-0.02107044083619269</v>
      </c>
      <c r="M122" s="338" t="n">
        <v>-15.90231812267223</v>
      </c>
    </row>
    <row r="123">
      <c r="B123" s="339" t="inlineStr">
        <is>
          <t>ccc_larger_half_switching</t>
        </is>
      </c>
      <c r="C123" s="339" t="inlineStr">
        <is>
          <t>FY2027Q2</t>
        </is>
      </c>
      <c r="D123" s="338" t="n">
        <v>965.6334882445475</v>
      </c>
      <c r="E123" s="338" t="n">
        <v>1135.256488244548</v>
      </c>
      <c r="F123" s="338" t="n">
        <v>805597.898807276</v>
      </c>
      <c r="G123" s="338" t="n">
        <v>-0.01083706690548558</v>
      </c>
      <c r="H123" s="338" t="n">
        <v>-0.01374506088697858</v>
      </c>
      <c r="I123" s="338" t="n">
        <v>906.895380954679</v>
      </c>
      <c r="J123" s="338" t="n">
        <v>-0.009705955814376832</v>
      </c>
      <c r="K123" s="338" t="n">
        <v>0.004413045938357563</v>
      </c>
      <c r="L123" s="338" t="n">
        <v>-0.02107417344164075</v>
      </c>
      <c r="M123" s="338" t="n">
        <v>-15.24328184325395</v>
      </c>
    </row>
    <row r="124">
      <c r="B124" s="339" t="inlineStr">
        <is>
          <t>ccc_larger_half_switching</t>
        </is>
      </c>
      <c r="C124" s="339" t="inlineStr">
        <is>
          <t>FY2027Q3</t>
        </is>
      </c>
      <c r="D124" s="338" t="n">
        <v>1073.140606214305</v>
      </c>
      <c r="E124" s="338" t="n">
        <v>1254.126606214305</v>
      </c>
      <c r="F124" s="338" t="n">
        <v>880410.5829512732</v>
      </c>
      <c r="G124" s="338" t="n">
        <v>-0.01083287843926162</v>
      </c>
      <c r="H124" s="338" t="n">
        <v>-0.01412608457574283</v>
      </c>
      <c r="I124" s="338" t="n">
        <v>906.545311270169</v>
      </c>
      <c r="J124" s="338" t="n">
        <v>-0.009708375355889864</v>
      </c>
      <c r="K124" s="338" t="n">
        <v>0.004529636292580186</v>
      </c>
      <c r="L124" s="338" t="n">
        <v>-0.02107568001671078</v>
      </c>
      <c r="M124" s="338" t="n">
        <v>-16.65097519795381</v>
      </c>
    </row>
    <row r="125">
      <c r="B125" s="339" t="inlineStr">
        <is>
          <t>ccc_larger_half_switching</t>
        </is>
      </c>
      <c r="C125" s="339" t="inlineStr">
        <is>
          <t>FY2027Q4</t>
        </is>
      </c>
      <c r="D125" s="338" t="n">
        <v>985.6377385037842</v>
      </c>
      <c r="E125" s="338" t="n">
        <v>1168.532738503784</v>
      </c>
      <c r="F125" s="338" t="n">
        <v>804065.0534454884</v>
      </c>
      <c r="G125" s="338" t="n">
        <v>-0.01082655219434414</v>
      </c>
      <c r="H125" s="338" t="n">
        <v>-0.01462852108556389</v>
      </c>
      <c r="I125" s="338" t="n">
        <v>906.2242561991815</v>
      </c>
      <c r="J125" s="338" t="n">
        <v>-0.009707936976677489</v>
      </c>
      <c r="K125" s="338" t="n">
        <v>0.004674971322113697</v>
      </c>
      <c r="L125" s="338" t="n">
        <v>-0.0210764990029576</v>
      </c>
      <c r="M125" s="338" t="n">
        <v>-15.19659987035561</v>
      </c>
    </row>
    <row r="126"/>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38" t="n">
        <v>0</v>
      </c>
      <c r="D129" s="417" t="n">
        <v>0.1183813516328002</v>
      </c>
      <c r="E129" s="417" t="n">
        <v>0.1091230123939371</v>
      </c>
      <c r="F129" s="417" t="n">
        <v>0.118381351632816</v>
      </c>
      <c r="G129" s="383" t="n">
        <v>1.059633582008694</v>
      </c>
      <c r="H129" s="399" t="n">
        <v>0.01593130178343029</v>
      </c>
      <c r="I129" s="399" t="n">
        <v>0.008156041846226276</v>
      </c>
    </row>
    <row r="130">
      <c r="B130" s="339" t="inlineStr">
        <is>
          <t>Car</t>
        </is>
      </c>
      <c r="C130" s="338" t="n">
        <v>1</v>
      </c>
      <c r="D130" s="417" t="n">
        <v>0.1415623139327181</v>
      </c>
      <c r="E130" s="417" t="n">
        <v>0.1205647558195921</v>
      </c>
      <c r="F130" s="417" t="n">
        <v>0.1415623139327016</v>
      </c>
      <c r="G130" s="383" t="n">
        <v>1.12586789939437</v>
      </c>
      <c r="H130" s="399" t="n">
        <v>0.06094522059338143</v>
      </c>
      <c r="I130" s="399" t="n">
        <v>0.0373105965404406</v>
      </c>
    </row>
    <row r="131">
      <c r="B131" s="339" t="inlineStr">
        <is>
          <t>Car</t>
        </is>
      </c>
      <c r="C131" s="338" t="n">
        <v>2</v>
      </c>
      <c r="D131" s="417" t="n">
        <v>0.1977589061254522</v>
      </c>
      <c r="E131" s="417" t="n">
        <v>0.1735868709385493</v>
      </c>
      <c r="F131" s="417" t="n">
        <v>0.1977589061255647</v>
      </c>
      <c r="G131" s="383" t="n">
        <v>1.113123588957844</v>
      </c>
      <c r="H131" s="399" t="n">
        <v>0.06935348150426961</v>
      </c>
      <c r="I131" s="399" t="n">
        <v>0.05931290634620359</v>
      </c>
    </row>
    <row r="132">
      <c r="B132" s="339" t="inlineStr">
        <is>
          <t>Car</t>
        </is>
      </c>
      <c r="C132" s="338" t="n">
        <v>3</v>
      </c>
      <c r="D132" s="417" t="n">
        <v>0.3725497056948419</v>
      </c>
      <c r="E132" s="417" t="n">
        <v>0.3657485697409447</v>
      </c>
      <c r="F132" s="417" t="n">
        <v>0.3725497056951755</v>
      </c>
      <c r="G132" s="383" t="n">
        <v>1.015330596299799</v>
      </c>
      <c r="H132" s="399" t="n">
        <v>0.2390134418122138</v>
      </c>
      <c r="I132" s="399" t="n">
        <v>0.3850804202277194</v>
      </c>
    </row>
    <row r="133">
      <c r="B133" s="339" t="inlineStr">
        <is>
          <t>Pickup</t>
        </is>
      </c>
      <c r="C133" s="338" t="n">
        <v>0</v>
      </c>
      <c r="D133" s="417" t="n">
        <v>0.07939869462574642</v>
      </c>
      <c r="E133" s="417" t="n">
        <v>0.09021245195389849</v>
      </c>
      <c r="F133" s="417" t="n">
        <v>0.07939869462582583</v>
      </c>
      <c r="G133" s="383" t="n">
        <v>0.9188939735447921</v>
      </c>
      <c r="H133" s="399" t="n">
        <v>0.006134221765749301</v>
      </c>
      <c r="I133" s="399" t="n">
        <v>0.00210628784544408</v>
      </c>
    </row>
    <row r="134">
      <c r="B134" s="339" t="inlineStr">
        <is>
          <t>Pickup</t>
        </is>
      </c>
      <c r="C134" s="338" t="n">
        <v>1</v>
      </c>
      <c r="D134" s="417" t="n">
        <v>0.07724710964719902</v>
      </c>
      <c r="E134" s="417" t="n">
        <v>0.1001470462555045</v>
      </c>
      <c r="F134" s="417" t="n">
        <v>0.07724710964711079</v>
      </c>
      <c r="G134" s="383" t="n">
        <v>0.8406645976928742</v>
      </c>
      <c r="H134" s="399" t="n">
        <v>0.03425588828501813</v>
      </c>
      <c r="I134" s="399" t="n">
        <v>0.01144359182152214</v>
      </c>
    </row>
    <row r="135">
      <c r="B135" s="339" t="inlineStr">
        <is>
          <t>Pickup</t>
        </is>
      </c>
      <c r="C135" s="338" t="n">
        <v>2</v>
      </c>
      <c r="D135" s="417" t="n">
        <v>0.1016189230849166</v>
      </c>
      <c r="E135" s="417" t="n">
        <v>0.1468769091148332</v>
      </c>
      <c r="F135" s="417" t="n">
        <v>0.1016189230849431</v>
      </c>
      <c r="G135" s="383" t="n">
        <v>0.7654177531488167</v>
      </c>
      <c r="H135" s="399" t="n">
        <v>0.03273775762728166</v>
      </c>
      <c r="I135" s="399" t="n">
        <v>0.01438693905373976</v>
      </c>
    </row>
    <row r="136">
      <c r="B136" s="339" t="inlineStr">
        <is>
          <t>Pickup</t>
        </is>
      </c>
      <c r="C136" s="338" t="n">
        <v>3</v>
      </c>
      <c r="D136" s="417" t="n">
        <v>0.2549647815842466</v>
      </c>
      <c r="E136" s="417" t="n">
        <v>0.2878543326055265</v>
      </c>
      <c r="F136" s="417" t="n">
        <v>0.2549647815845643</v>
      </c>
      <c r="G136" s="383" t="n">
        <v>0.918421599541726</v>
      </c>
      <c r="H136" s="399" t="n">
        <v>0.07366484499823636</v>
      </c>
      <c r="I136" s="399" t="n">
        <v>0.08122418479426913</v>
      </c>
    </row>
    <row r="137">
      <c r="B137" s="339" t="inlineStr">
        <is>
          <t>Utility Vehicle</t>
        </is>
      </c>
      <c r="C137" s="338" t="n">
        <v>0</v>
      </c>
      <c r="D137" s="417" t="n">
        <v>0.08619093438151845</v>
      </c>
      <c r="E137" s="417" t="n">
        <v>0.09254120816188083</v>
      </c>
      <c r="F137" s="417" t="n">
        <v>0.08619093438148084</v>
      </c>
      <c r="G137" s="383" t="n">
        <v>0.9534463782637166</v>
      </c>
      <c r="H137" s="399" t="n">
        <v>0.03121188335400751</v>
      </c>
      <c r="I137" s="399" t="n">
        <v>0.01163393011488954</v>
      </c>
    </row>
    <row r="138">
      <c r="B138" s="339" t="inlineStr">
        <is>
          <t>Utility Vehicle</t>
        </is>
      </c>
      <c r="C138" s="338" t="n">
        <v>1</v>
      </c>
      <c r="D138" s="417" t="n">
        <v>0.09858732104120195</v>
      </c>
      <c r="E138" s="417" t="n">
        <v>0.102667897984104</v>
      </c>
      <c r="F138" s="417" t="n">
        <v>0.0985873210410444</v>
      </c>
      <c r="G138" s="383" t="n">
        <v>0.9724109665656389</v>
      </c>
      <c r="H138" s="399" t="n">
        <v>0.1201677668745806</v>
      </c>
      <c r="I138" s="399" t="n">
        <v>0.05123349022194487</v>
      </c>
    </row>
    <row r="139">
      <c r="B139" s="339" t="inlineStr">
        <is>
          <t>Utility Vehicle</t>
        </is>
      </c>
      <c r="C139" s="338" t="n">
        <v>2</v>
      </c>
      <c r="D139" s="417" t="n">
        <v>0.1484455351339005</v>
      </c>
      <c r="E139" s="417" t="n">
        <v>0.1502088112584266</v>
      </c>
      <c r="F139" s="417" t="n">
        <v>0.148445535134037</v>
      </c>
      <c r="G139" s="383" t="n">
        <v>0.9909819917198179</v>
      </c>
      <c r="H139" s="399" t="n">
        <v>0.1067426582228952</v>
      </c>
      <c r="I139" s="399" t="n">
        <v>0.06852515714403061</v>
      </c>
    </row>
    <row r="140">
      <c r="B140" s="339" t="inlineStr">
        <is>
          <t>Utility Vehicle</t>
        </is>
      </c>
      <c r="C140" s="338" t="n">
        <v>3</v>
      </c>
      <c r="D140" s="417" t="n">
        <v>0.3043503197499355</v>
      </c>
      <c r="E140" s="417" t="n">
        <v>0.2947541402853784</v>
      </c>
      <c r="F140" s="417" t="n">
        <v>0.3043503197495744</v>
      </c>
      <c r="G140" s="383" t="n">
        <v>1.023839697436235</v>
      </c>
      <c r="H140" s="399" t="n">
        <v>0.1754738620812766</v>
      </c>
      <c r="I140" s="399" t="n">
        <v>0.2309569755766239</v>
      </c>
    </row>
    <row r="141">
      <c r="B141" s="339" t="inlineStr">
        <is>
          <t>Van</t>
        </is>
      </c>
      <c r="C141" s="338" t="n">
        <v>0</v>
      </c>
      <c r="D141" s="417" t="n">
        <v>0.06411315802265105</v>
      </c>
      <c r="E141" s="417" t="n">
        <v>0.1062068808501724</v>
      </c>
      <c r="F141" s="417" t="n">
        <v>0.06411315802266926</v>
      </c>
      <c r="G141" s="383" t="n">
        <v>0.7168168612368286</v>
      </c>
      <c r="H141" s="399" t="n">
        <v>0.001460310918372159</v>
      </c>
      <c r="I141" s="399" t="n">
        <v>0.0004048903148765467</v>
      </c>
    </row>
    <row r="142">
      <c r="B142" s="339" t="inlineStr">
        <is>
          <t>Van</t>
        </is>
      </c>
      <c r="C142" s="338" t="n">
        <v>1</v>
      </c>
      <c r="D142" s="417" t="n">
        <v>0.0879353362537799</v>
      </c>
      <c r="E142" s="417" t="n">
        <v>0.1174238114088531</v>
      </c>
      <c r="F142" s="417" t="n">
        <v>0.08793533625373584</v>
      </c>
      <c r="G142" s="383" t="n">
        <v>0.8186560039688775</v>
      </c>
      <c r="H142" s="399" t="n">
        <v>0.006164163291097801</v>
      </c>
      <c r="I142" s="399" t="n">
        <v>0.002344134086431362</v>
      </c>
    </row>
    <row r="143">
      <c r="B143" s="339" t="inlineStr">
        <is>
          <t>Van</t>
        </is>
      </c>
      <c r="C143" s="338" t="n">
        <v>2</v>
      </c>
      <c r="D143" s="417" t="n">
        <v>0.1522345377290566</v>
      </c>
      <c r="E143" s="417" t="n">
        <v>0.16951772407095</v>
      </c>
      <c r="F143" s="417" t="n">
        <v>0.1522345377290855</v>
      </c>
      <c r="G143" s="383" t="n">
        <v>0.9190923149676858</v>
      </c>
      <c r="H143" s="399" t="n">
        <v>0.00698900010691186</v>
      </c>
      <c r="I143" s="399" t="n">
        <v>0.004601221352707585</v>
      </c>
    </row>
    <row r="144">
      <c r="B144" s="339" t="inlineStr">
        <is>
          <t>Van</t>
        </is>
      </c>
      <c r="C144" s="338" t="n">
        <v>3</v>
      </c>
      <c r="D144" s="417" t="n">
        <v>0.3661439216994772</v>
      </c>
      <c r="E144" s="417" t="n">
        <v>0.3342167040699808</v>
      </c>
      <c r="F144" s="417" t="n">
        <v>0.3661439216993546</v>
      </c>
      <c r="G144" s="383" t="n">
        <v>1.075743672968322</v>
      </c>
      <c r="H144" s="399" t="n">
        <v>0.01975419678127776</v>
      </c>
      <c r="I144" s="399"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2026-10-02T20:06:54Z</dcterms:modified>
  <cp:lastModifiedBy>Wu, Kendall Shen</cp:lastModifiedBy>
  <cp:revision>0</cp:revision>
</cp:coreProperties>
</file>