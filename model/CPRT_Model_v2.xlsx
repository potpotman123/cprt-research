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Barclays" sheetId="23" state="visible" r:id="rId23"/>
    <sheet xmlns:r="http://schemas.openxmlformats.org/officeDocument/2006/relationships" name="D 10-K FY26" sheetId="24" state="visible" r:id="rId24"/>
    <sheet xmlns:r="http://schemas.openxmlformats.org/officeDocument/2006/relationships" name="D Coverage" sheetId="25" state="visible" r:id="rId25"/>
    <sheet xmlns:r="http://schemas.openxmlformats.org/officeDocument/2006/relationships" name="D CCC" sheetId="26" state="visible" r:id="rId26"/>
    <sheet xmlns:r="http://schemas.openxmlformats.org/officeDocument/2006/relationships" name="D Fleet" sheetId="27" state="visible" r:id="rId27"/>
    <sheet xmlns:r="http://schemas.openxmlformats.org/officeDocument/2006/relationships" name="D Fees" sheetId="28" state="visible" r:id="rId28"/>
    <sheet xmlns:r="http://schemas.openxmlformats.org/officeDocument/2006/relationships" name="D Carriers" sheetId="29" state="visible" r:id="rId29"/>
    <sheet xmlns:r="http://schemas.openxmlformats.org/officeDocument/2006/relationships" name="D Engine" sheetId="30" state="visible" r:id="rId30"/>
    <sheet xmlns:r="http://schemas.openxmlformats.org/officeDocument/2006/relationships" name="Volume Build" sheetId="31" state="hidden" r:id="rId31"/>
    <sheet xmlns:r="http://schemas.openxmlformats.org/officeDocument/2006/relationships" name="RPU Build" sheetId="32" state="hidden" r:id="rId32"/>
    <sheet xmlns:r="http://schemas.openxmlformats.org/officeDocument/2006/relationships" name="PB IS (Annual)" sheetId="33" state="hidden" r:id="rId33"/>
    <sheet xmlns:r="http://schemas.openxmlformats.org/officeDocument/2006/relationships" name="PB BS (Annual)" sheetId="34" state="hidden" r:id="rId34"/>
    <sheet xmlns:r="http://schemas.openxmlformats.org/officeDocument/2006/relationships" name="PB CF (Annual)" sheetId="35" state="hidden" r:id="rId35"/>
    <sheet xmlns:r="http://schemas.openxmlformats.org/officeDocument/2006/relationships" name="PB IS (Qtr)" sheetId="36" state="hidden" r:id="rId36"/>
    <sheet xmlns:r="http://schemas.openxmlformats.org/officeDocument/2006/relationships" name="PB BS (Qtr)" sheetId="37" state="hidden" r:id="rId37"/>
    <sheet xmlns:r="http://schemas.openxmlformats.org/officeDocument/2006/relationships" name="PB CF (Qtr)" sheetId="38" state="hidden" r:id="rId38"/>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s>
  <fonts count="78">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34">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Copart, Inc. (NASDAQ: CPRT) — revenue architecture, DCF and reverse DCF</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Fiscal year ends 31 July. $ millions unless stated. Built by scripts/build_cprt_model.py from the repository data; see docs/workbook_plan_2026-10-01.</t>
        </is>
      </c>
    </row>
    <row r="4">
      <c r="B4" s="336" t="inlineStr">
        <is>
          <t>Colour and label legend</t>
        </is>
      </c>
      <c r="C4" s="337" t="n"/>
      <c r="D4" s="337" t="n"/>
      <c r="E4" s="337" t="n"/>
      <c r="F4" s="337" t="n"/>
      <c r="G4" s="337" t="n"/>
      <c r="H4" s="337" t="n"/>
      <c r="I4" s="337" t="n"/>
      <c r="J4" s="337" t="n"/>
      <c r="K4" s="337" t="n"/>
      <c r="L4" s="337" t="n"/>
      <c r="M4" s="337" t="n"/>
      <c r="N4" s="337" t="n"/>
      <c r="O4" s="337" t="n"/>
      <c r="P4" s="337" t="n"/>
      <c r="Q4" s="337" t="n"/>
      <c r="R4" s="337" t="n"/>
      <c r="S4" s="337" t="n"/>
    </row>
    <row r="5">
      <c r="B5" s="338" t="inlineStr">
        <is>
          <t>Blue: typed input (every one carries a label and a source in the Notes column)</t>
        </is>
      </c>
    </row>
    <row r="6">
      <c r="B6" s="339" t="inlineStr">
        <is>
          <t>Black: formula</t>
        </is>
      </c>
    </row>
    <row r="7">
      <c r="B7" s="340" t="inlineStr">
        <is>
          <t>Green: link from another tab</t>
        </is>
      </c>
    </row>
    <row r="8">
      <c r="B8" s="341" t="inlineStr">
        <is>
          <t>Red: toggle, probability or scenario selector</t>
        </is>
      </c>
    </row>
    <row r="9">
      <c r="B9" s="342" t="inlineStr">
        <is>
          <t>Purple: value pasted from the Python engine (file, date and hash on D Engine)</t>
        </is>
      </c>
    </row>
    <row r="10">
      <c r="B10" s="335" t="inlineStr">
        <is>
          <t>Grey italic: notes and sources</t>
        </is>
      </c>
    </row>
    <row r="12">
      <c r="B12" s="335" t="inlineStr">
        <is>
          <t>Evidence labels: VERIFIED (filing or page on disk) · MEASURED (computed from verified data by a committed script) · FITTED · CALIBRATED · ASSUMED · UNVERIFIED (recalled or second-hand) · ENGINE</t>
        </is>
      </c>
    </row>
    <row r="14">
      <c r="B14" s="336" t="inlineStr">
        <is>
          <t>Tab map</t>
        </is>
      </c>
      <c r="C14" s="337" t="n"/>
      <c r="D14" s="337" t="n"/>
      <c r="E14" s="337" t="n"/>
      <c r="F14" s="337" t="n"/>
      <c r="G14" s="337" t="n"/>
      <c r="H14" s="337" t="n"/>
      <c r="I14" s="337" t="n"/>
      <c r="J14" s="337" t="n"/>
      <c r="K14" s="337" t="n"/>
      <c r="L14" s="337" t="n"/>
      <c r="M14" s="337" t="n"/>
      <c r="N14" s="337" t="n"/>
      <c r="O14" s="337" t="n"/>
      <c r="P14" s="337" t="n"/>
      <c r="Q14" s="337" t="n"/>
      <c r="R14" s="337" t="n"/>
      <c r="S14" s="337" t="n"/>
    </row>
    <row r="15">
      <c r="B15" s="343" t="inlineStr">
        <is>
          <t>RPM</t>
        </is>
      </c>
      <c r="D15" s="335" t="inlineStr">
        <is>
          <t>One page: revenue by channel, units, RPU, y/y, delta to Street, scenario selector</t>
        </is>
      </c>
    </row>
    <row r="16">
      <c r="B16" s="343" t="inlineStr">
        <is>
          <t>DCF / Reverse DCF</t>
        </is>
      </c>
      <c r="D16" s="335" t="inlineStr">
        <is>
          <t>Owner's valuation (unchanged; reads RPM rows 6, 10, 12, 29)</t>
        </is>
      </c>
    </row>
    <row r="17">
      <c r="B17" s="343" t="inlineStr">
        <is>
          <t>E1 Fleet / E1a</t>
        </is>
      </c>
      <c r="D17" s="335" t="inlineStr">
        <is>
          <t>Vehicles on the road by age and body; claims-weighted mix checked against CCC 2020–2025</t>
        </is>
      </c>
    </row>
    <row r="18">
      <c r="B18" s="343" t="inlineStr">
        <is>
          <t>E2 Claims &amp; Totals</t>
        </is>
      </c>
      <c r="D18" s="335" t="inlineStr">
        <is>
          <t>Claims × total-loss frequency by cell → total-loss pool by fiscal quarter</t>
        </is>
      </c>
    </row>
    <row r="19">
      <c r="B19" s="343" t="inlineStr">
        <is>
          <t>E3 Carriers</t>
        </is>
      </c>
      <c r="D19" s="335" t="inlineStr">
        <is>
          <t>Thesis A: carrier weights × Copart allocation paths; seller terms</t>
        </is>
      </c>
    </row>
    <row r="20">
      <c r="B20" s="343" t="inlineStr">
        <is>
          <t>E4 Aftermarket</t>
        </is>
      </c>
      <c r="D20" s="335" t="inlineStr">
        <is>
          <t>Thesis B: sourcing shift → repair saving → units; recycled displacement → bids → prices</t>
        </is>
      </c>
    </row>
    <row r="21">
      <c r="B21" s="343" t="inlineStr">
        <is>
          <t>E5 Prices &amp; Fees</t>
        </is>
      </c>
      <c r="D21" s="335" t="inlineStr">
        <is>
          <t>ASP path, posted fee grid, buyer mix, seller fee, services → all-in RPU; historical ledger</t>
        </is>
      </c>
    </row>
    <row r="22">
      <c r="B22" s="343" t="inlineStr">
        <is>
          <t>E6 Other Branches</t>
        </is>
      </c>
      <c r="D22" s="335" t="inlineStr">
        <is>
          <t>Non-insurance, international, purchased vehicles, ACV gate</t>
        </is>
      </c>
    </row>
    <row r="23">
      <c r="B23" s="343" t="inlineStr">
        <is>
          <t>Scenarios</t>
        </is>
      </c>
      <c r="D23" s="335" t="inlineStr">
        <is>
          <t>Neither / A only / B only / Both / Bull offset, assembled live; engine 16-subset table for parity</t>
        </is>
      </c>
    </row>
    <row r="24">
      <c r="B24" s="343" t="inlineStr">
        <is>
          <t>Street</t>
        </is>
      </c>
      <c r="D24" s="335" t="inlineStr">
        <is>
          <t>Named-broker FY27 assumptions; not-disclosed preserved</t>
        </is>
      </c>
    </row>
    <row r="25">
      <c r="B25" s="343" t="inlineStr">
        <is>
          <t>Checks</t>
        </is>
      </c>
      <c r="D25" s="335" t="inlineStr">
        <is>
          <t>Ties to 8-Ks, identities, engine parity, no typed numbers outside Inputs blocks</t>
        </is>
      </c>
    </row>
    <row r="26">
      <c r="B26" s="343" t="inlineStr">
        <is>
          <t>D …</t>
        </is>
      </c>
      <c r="D26" s="335" t="inlineStr">
        <is>
          <t>Data tabs: values only, with source and date</t>
        </is>
      </c>
    </row>
    <row r="27">
      <c r="B27" s="343" t="inlineStr">
        <is>
          <t>PB …</t>
        </is>
      </c>
      <c r="D27" s="335" t="inlineStr">
        <is>
          <t>PitchBook statements (owner's original download)</t>
        </is>
      </c>
    </row>
    <row r="30">
      <c r="B30" s="336" t="inlineStr">
        <is>
          <t>Dated benchmarks</t>
        </is>
      </c>
      <c r="C30" s="337" t="n"/>
      <c r="D30" s="337" t="n"/>
      <c r="E30" s="337" t="n"/>
      <c r="F30" s="337" t="n"/>
      <c r="G30" s="337" t="n"/>
      <c r="H30" s="337" t="n"/>
      <c r="I30" s="337" t="n"/>
      <c r="J30" s="337" t="n"/>
      <c r="K30" s="337" t="n"/>
      <c r="L30" s="337" t="n"/>
      <c r="M30" s="337" t="n"/>
      <c r="N30" s="337" t="n"/>
      <c r="O30" s="337" t="n"/>
      <c r="P30" s="337" t="n"/>
      <c r="Q30" s="337" t="n"/>
      <c r="R30" s="337" t="n"/>
      <c r="S30" s="337" t="n"/>
    </row>
    <row r="31">
      <c r="B31" s="335" t="inlineStr">
        <is>
          <t>JPMorgan 11 Sep 2026: FY27 service revenue $4,061m (ex-ACV), purchased $721m, total $4,782m — VERIFIED, licensed report held locally</t>
        </is>
      </c>
    </row>
    <row r="32">
      <c r="B32" s="335" t="inlineStr">
        <is>
          <t>CapIQ 28 Sep 2026: FY27 total revenue $4,860.97m, acquisition perimeter unresolved — VERIFIED export</t>
        </is>
      </c>
    </row>
    <row r="33">
      <c r="B33" s="335"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FY26'!E33/1834.977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FY26'!C33/1834.977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FY26'!D33/1834.977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FY26'!C32</f>
        <v/>
      </c>
      <c r="T34" s="416">
        <f>'D 10-K FY26'!D32</f>
        <v/>
      </c>
    </row>
    <row r="35" ht="15" customHeight="1">
      <c r="B35" s="87" t="inlineStr">
        <is>
          <t>WACC</t>
        </is>
      </c>
      <c r="H35" s="179">
        <f>DCF!H88</f>
        <v/>
      </c>
      <c r="R35" s="347" t="inlineStr">
        <is>
          <t>Cash taxes paid ÷ pre-tax income, FY2026 / FY2025</t>
        </is>
      </c>
      <c r="S35" s="396">
        <f>'D 10-K FY26'!C31/1834.977</f>
        <v/>
      </c>
      <c r="T35" s="396">
        <f>'D 10-K FY26'!D31/1895.581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3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F6" s="347" t="inlineStr">
        <is>
          <t>mixed</t>
        </is>
      </c>
      <c r="I6" s="335" t="inlineStr">
        <is>
          <t>Note 12 options table: "Outstanding as of July 31, 2026"</t>
        </is>
      </c>
    </row>
    <row r="7">
      <c r="B7" s="339" t="inlineStr">
        <is>
          <t>Stock options exercisable, 31 Jul 2026 (thousands) / weighted-average exercise price ($)</t>
        </is>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FOUND in text extraction; reserved shares for all equity plans 43,587,656 (Note 12)</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F11" s="347" t="inlineStr">
        <is>
          <t>$m</t>
        </is>
      </c>
      <c r="I11" s="335" t="inlineStr">
        <is>
          <t>Consolidated statements of income: "Interest income, net"</t>
        </is>
      </c>
    </row>
    <row r="12">
      <c r="B12" s="339" t="inlineStr">
        <is>
          <t>Cash and cash equivalents ($m), 31 Jul 2026 / 2025</t>
        </is>
      </c>
      <c r="F12" s="347" t="inlineStr">
        <is>
          <t>$m</t>
        </is>
      </c>
      <c r="I12" s="335" t="inlineStr">
        <is>
          <t>Consolidated balance sheets: "Cash and cash equivalents"</t>
        </is>
      </c>
    </row>
    <row r="13">
      <c r="B13" s="339" t="inlineStr">
        <is>
          <t>Held-to-maturity securities, current ($m), 31 Jul 2026 / 2025</t>
        </is>
      </c>
      <c r="F13" s="347" t="inlineStr">
        <is>
          <t>$m</t>
        </is>
      </c>
      <c r="I13" s="335" t="inlineStr">
        <is>
          <t>Consolidated balance sheets: "Held-to-maturity securities, current"</t>
        </is>
      </c>
    </row>
    <row r="14">
      <c r="B14" s="339" t="inlineStr">
        <is>
          <t>Accounts receivable, net ($m), 31 Jul 2026 / 2025</t>
        </is>
      </c>
      <c r="F14" s="347" t="inlineStr">
        <is>
          <t>$m</t>
        </is>
      </c>
      <c r="I14" s="335" t="inlineStr">
        <is>
          <t>Consolidated balance sheets: "Accounts receivable, net"</t>
        </is>
      </c>
    </row>
    <row r="15">
      <c r="B15" s="339" t="inlineStr">
        <is>
          <t>Vehicle pooling costs ($m), 31 Jul 2026 / 2025</t>
        </is>
      </c>
      <c r="F15" s="347" t="inlineStr">
        <is>
          <t>$m</t>
        </is>
      </c>
      <c r="I15" s="335" t="inlineStr">
        <is>
          <t>Consolidated balance sheets: "Vehicle pooling costs"</t>
        </is>
      </c>
    </row>
    <row r="16">
      <c r="B16" s="339" t="inlineStr">
        <is>
          <t>Inventories ($m), 31 Jul 2026 / 2025</t>
        </is>
      </c>
      <c r="F16" s="347" t="inlineStr">
        <is>
          <t>$m</t>
        </is>
      </c>
      <c r="I16" s="335" t="inlineStr">
        <is>
          <t>Consolidated balance sheets: "Inventories"</t>
        </is>
      </c>
    </row>
    <row r="17">
      <c r="B17" s="339" t="inlineStr">
        <is>
          <t>Total current assets ($m), 31 Jul 2026 / 2025</t>
        </is>
      </c>
      <c r="F17" s="347" t="inlineStr">
        <is>
          <t>$m</t>
        </is>
      </c>
      <c r="I17" s="335" t="inlineStr">
        <is>
          <t>Consolidated balance sheets: "Total current assets"</t>
        </is>
      </c>
    </row>
    <row r="18">
      <c r="B18" s="339" t="inlineStr">
        <is>
          <t>Property and equipment, net ($m), 31 Jul 2026 / 2025</t>
        </is>
      </c>
      <c r="F18" s="347" t="inlineStr">
        <is>
          <t>$m</t>
        </is>
      </c>
      <c r="I18" s="335" t="inlineStr">
        <is>
          <t>Consolidated balance sheets: "Property and equipment, net"</t>
        </is>
      </c>
    </row>
    <row r="19">
      <c r="B19" s="339" t="inlineStr">
        <is>
          <t>Operating lease right-of-use assets ($m), 31 Jul 2026 / 2025</t>
        </is>
      </c>
      <c r="F19" s="347" t="inlineStr">
        <is>
          <t>$m</t>
        </is>
      </c>
      <c r="I19" s="335" t="inlineStr">
        <is>
          <t>Consolidated balance sheets: "Operating lease right-of-use assets"</t>
        </is>
      </c>
    </row>
    <row r="20">
      <c r="B20" s="339" t="inlineStr">
        <is>
          <t>Intangibles, net ($m), 31 Jul 2026 / 2025</t>
        </is>
      </c>
      <c r="F20" s="347" t="inlineStr">
        <is>
          <t>$m</t>
        </is>
      </c>
      <c r="I20" s="335" t="inlineStr">
        <is>
          <t>Consolidated balance sheets: "Intangibles, net"</t>
        </is>
      </c>
    </row>
    <row r="21">
      <c r="B21" s="339" t="inlineStr">
        <is>
          <t>Goodwill ($m), 31 Jul 2026 / 2025</t>
        </is>
      </c>
      <c r="F21" s="347" t="inlineStr">
        <is>
          <t>$m</t>
        </is>
      </c>
      <c r="I21" s="335" t="inlineStr">
        <is>
          <t>Consolidated balance sheets: "Goodwill"</t>
        </is>
      </c>
    </row>
    <row r="22">
      <c r="B22" s="339" t="inlineStr">
        <is>
          <t>Total assets ($m), 31 Jul 2026 / 2025</t>
        </is>
      </c>
      <c r="F22" s="347" t="inlineStr">
        <is>
          <t>$m</t>
        </is>
      </c>
      <c r="I22" s="335" t="inlineStr">
        <is>
          <t>Consolidated balance sheets: "Total assets"</t>
        </is>
      </c>
    </row>
    <row r="23">
      <c r="B23" s="339" t="inlineStr">
        <is>
          <t>Accounts payable and accrued liabilities ($m), 31 Jul 2026 / 2025</t>
        </is>
      </c>
      <c r="F23" s="347" t="inlineStr">
        <is>
          <t>$m</t>
        </is>
      </c>
      <c r="I23" s="335" t="inlineStr">
        <is>
          <t>Consolidated balance sheets: "Accounts payable and accrued liabilities"</t>
        </is>
      </c>
    </row>
    <row r="24">
      <c r="B24" s="339" t="inlineStr">
        <is>
          <t>Deferred revenue ($m), 31 Jul 2026 / 2025</t>
        </is>
      </c>
      <c r="F24" s="347" t="inlineStr">
        <is>
          <t>$m</t>
        </is>
      </c>
      <c r="I24" s="335" t="inlineStr">
        <is>
          <t>Consolidated balance sheets: "Deferred revenue"</t>
        </is>
      </c>
    </row>
    <row r="25">
      <c r="B25" s="339" t="inlineStr">
        <is>
          <t>Income taxes payable ($m), 31 Jul 2026 / 2025</t>
        </is>
      </c>
      <c r="F25" s="347" t="inlineStr">
        <is>
          <t>$m</t>
        </is>
      </c>
      <c r="I25" s="335" t="inlineStr">
        <is>
          <t>Consolidated balance sheets: "Income taxes payable"</t>
        </is>
      </c>
    </row>
    <row r="26">
      <c r="B26" s="339" t="inlineStr">
        <is>
          <t>Current portion of operating and finance lease liabilities ($m), 31 Jul 2026 / 2025</t>
        </is>
      </c>
      <c r="F26" s="347" t="inlineStr">
        <is>
          <t>$m</t>
        </is>
      </c>
      <c r="I26" s="335" t="inlineStr">
        <is>
          <t>Consolidated balance sheets: "Current portion of operating and finance lease liabilities"</t>
        </is>
      </c>
    </row>
    <row r="27">
      <c r="B27" s="339" t="inlineStr">
        <is>
          <t>Total current liabilities ($m), 31 Jul 2026 / 2025</t>
        </is>
      </c>
      <c r="F27" s="347" t="inlineStr">
        <is>
          <t>$m</t>
        </is>
      </c>
      <c r="I27" s="335" t="inlineStr">
        <is>
          <t>Consolidated balance sheets: "Total current liabilities"</t>
        </is>
      </c>
    </row>
    <row r="28">
      <c r="B28" s="339" t="inlineStr">
        <is>
          <t>Total liabilities ($m), 31 Jul 2026 / 2025</t>
        </is>
      </c>
      <c r="F28" s="347" t="inlineStr">
        <is>
          <t>$m</t>
        </is>
      </c>
      <c r="I28" s="335" t="inlineStr">
        <is>
          <t>Consolidated balance sheets: "Total liabilities"</t>
        </is>
      </c>
    </row>
    <row r="29">
      <c r="B29" s="339" t="inlineStr">
        <is>
          <t>Noncontrolling interest ($m), 31 Jul 2026 / 2025</t>
        </is>
      </c>
      <c r="F29" s="347" t="inlineStr">
        <is>
          <t>$m</t>
        </is>
      </c>
      <c r="I29" s="335" t="inlineStr">
        <is>
          <t>Consolidated balance sheets: "Noncontrolling interest"</t>
        </is>
      </c>
    </row>
    <row r="30">
      <c r="B30" s="339" t="inlineStr">
        <is>
          <t>Total stockholders' equity ($m), 31 Jul 2026 / 2025</t>
        </is>
      </c>
      <c r="F30" s="347" t="inlineStr">
        <is>
          <t>$m</t>
        </is>
      </c>
      <c r="I30" s="335" t="inlineStr">
        <is>
          <t>Consolidated balance sheets: "Total stockholders' equity"</t>
        </is>
      </c>
    </row>
    <row r="31">
      <c r="B31" s="339" t="inlineStr">
        <is>
          <t>Income taxes paid, net of refunds ($m)</t>
        </is>
      </c>
      <c r="F31" s="347" t="inlineStr">
        <is>
          <t>$m</t>
        </is>
      </c>
      <c r="I31" s="335" t="inlineStr">
        <is>
          <t>Supplemental cash flow: "Income taxes paid, net of refunds"</t>
        </is>
      </c>
    </row>
    <row r="32">
      <c r="B32" s="339" t="inlineStr">
        <is>
          <t>Effective tax rate FY2026 / FY2025</t>
        </is>
      </c>
      <c r="C32" s="365" t="n">
        <v>0.193</v>
      </c>
      <c r="D32" s="365" t="n">
        <v>0.183</v>
      </c>
      <c r="F32" s="347" t="inlineStr">
        <is>
          <t>%</t>
        </is>
      </c>
      <c r="I32" s="335" t="inlineStr">
        <is>
          <t>MD&amp;A Income Taxes: "19.3% and 18.3%"</t>
        </is>
      </c>
    </row>
    <row r="33">
      <c r="B33" s="339" t="inlineStr">
        <is>
          <t>Tax reconciliation FY2026 ($m): FDII benefit / excess stock-option benefit / state taxes</t>
        </is>
      </c>
      <c r="C33" s="414" t="n">
        <v>-46.7</v>
      </c>
      <c r="D33" s="414" t="n">
        <v>-6.6</v>
      </c>
      <c r="E33" s="414" t="n">
        <v>21.5</v>
      </c>
      <c r="F33" s="347" t="inlineStr">
        <is>
          <t>$m</t>
        </is>
      </c>
      <c r="I33" s="335" t="inlineStr">
        <is>
          <t>MD&amp;A Income Taxes paragraph (statutory rate 21.0%)</t>
        </is>
      </c>
    </row>
    <row r="34">
      <c r="B34" s="339" t="inlineStr">
        <is>
          <t>Revolving credit facility: capacity ($m) / maturity</t>
        </is>
      </c>
      <c r="C34" s="414" t="n">
        <v>1250</v>
      </c>
      <c r="F34" s="347" t="inlineStr">
        <is>
          <t>$m</t>
        </is>
      </c>
      <c r="I34" s="335" t="inlineStr">
        <is>
          <t>Risk factors: "2026 Credit Agreement … up to $1,250 million maturing on January 23, 2031"</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1.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2026-10-02T18:58:33Z</dcterms:modified>
  <cp:lastModifiedBy>Wu, Kendall Shen</cp:lastModifiedBy>
  <cp:revision>0</cp:revision>
</cp:coreProperties>
</file>