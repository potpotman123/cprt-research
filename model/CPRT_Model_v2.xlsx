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Scenarios" sheetId="13" state="visible" r:id="rId13"/>
    <sheet xmlns:r="http://schemas.openxmlformats.org/officeDocument/2006/relationships" name="Street" sheetId="14" state="visible" r:id="rId14"/>
    <sheet xmlns:r="http://schemas.openxmlformats.org/officeDocument/2006/relationships" name="Checks" sheetId="15" state="visible" r:id="rId15"/>
    <sheet xmlns:r="http://schemas.openxmlformats.org/officeDocument/2006/relationships" name="DATA -----&gt;" sheetId="16" state="visible" r:id="rId16"/>
    <sheet xmlns:r="http://schemas.openxmlformats.org/officeDocument/2006/relationships" name="D Reported" sheetId="17" state="visible" r:id="rId17"/>
    <sheet xmlns:r="http://schemas.openxmlformats.org/officeDocument/2006/relationships" name="D CCC" sheetId="18" state="visible" r:id="rId18"/>
    <sheet xmlns:r="http://schemas.openxmlformats.org/officeDocument/2006/relationships" name="D Fleet" sheetId="19" state="visible" r:id="rId19"/>
    <sheet xmlns:r="http://schemas.openxmlformats.org/officeDocument/2006/relationships" name="D Fees" sheetId="20" state="visible" r:id="rId20"/>
    <sheet xmlns:r="http://schemas.openxmlformats.org/officeDocument/2006/relationships" name="D Carriers" sheetId="21" state="visible" r:id="rId21"/>
    <sheet xmlns:r="http://schemas.openxmlformats.org/officeDocument/2006/relationships" name="D Engine" sheetId="22" state="visible" r:id="rId22"/>
    <sheet xmlns:r="http://schemas.openxmlformats.org/officeDocument/2006/relationships" name="Volume Build" sheetId="23" state="hidden" r:id="rId23"/>
    <sheet xmlns:r="http://schemas.openxmlformats.org/officeDocument/2006/relationships" name="RPU Build" sheetId="24" state="hidden" r:id="rId24"/>
    <sheet xmlns:r="http://schemas.openxmlformats.org/officeDocument/2006/relationships" name="PB IS (Annual)" sheetId="25" state="hidden" r:id="rId25"/>
    <sheet xmlns:r="http://schemas.openxmlformats.org/officeDocument/2006/relationships" name="PB BS (Annual)" sheetId="26" state="hidden" r:id="rId26"/>
    <sheet xmlns:r="http://schemas.openxmlformats.org/officeDocument/2006/relationships" name="PB CF (Annual)" sheetId="27" state="hidden" r:id="rId27"/>
    <sheet xmlns:r="http://schemas.openxmlformats.org/officeDocument/2006/relationships" name="PB IS (Qtr)" sheetId="28" state="hidden" r:id="rId28"/>
    <sheet xmlns:r="http://schemas.openxmlformats.org/officeDocument/2006/relationships" name="PB BS (Qtr)" sheetId="29" state="hidden" r:id="rId29"/>
    <sheet xmlns:r="http://schemas.openxmlformats.org/officeDocument/2006/relationships" name="PB CF (Qtr)" sheetId="30" state="hidden" r:id="rId30"/>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008000"/>
      <sz val="11"/>
    </font>
    <font>
      <name val="Garamond"/>
      <b val="1"/>
      <color rgb="007030A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18">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67"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77" fontId="52" fillId="0" borderId="0" pivotButton="0" quotePrefix="0" xfId="0"/>
    <xf numFmtId="176" fontId="55" fillId="0" borderId="0" pivotButton="0" quotePrefix="0" xfId="0"/>
    <xf numFmtId="176" fontId="56" fillId="0" borderId="0" pivotButton="0" quotePrefix="0" xfId="0"/>
    <xf numFmtId="176" fontId="51" fillId="0" borderId="0" pivotButton="0" quotePrefix="0" xfId="0"/>
    <xf numFmtId="176" fontId="54"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66" fontId="57" fillId="0" borderId="0" pivotButton="0" quotePrefix="0" xfId="0"/>
    <xf numFmtId="1" fontId="52" fillId="0" borderId="0" pivotButton="0" quotePrefix="0" xfId="0"/>
    <xf numFmtId="167" fontId="57" fillId="0" borderId="0" pivotButton="0" quotePrefix="0" xfId="0"/>
    <xf numFmtId="0" fontId="56" fillId="0" borderId="0" applyAlignment="1" pivotButton="0" quotePrefix="0" xfId="0">
      <alignment indent="1"/>
    </xf>
    <xf numFmtId="166" fontId="55" fillId="0" borderId="16" pivotButton="0" quotePrefix="0" xfId="0"/>
    <xf numFmtId="166" fontId="50" fillId="0" borderId="0" pivotButton="0" quotePrefix="0" xfId="0"/>
    <xf numFmtId="166" fontId="58"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 fontId="50" fillId="0" borderId="0" pivotButton="0" quotePrefix="0" xfId="0"/>
    <xf numFmtId="177" fontId="50" fillId="0" borderId="0" pivotButton="0" quotePrefix="0" xfId="0"/>
    <xf numFmtId="176" fontId="52" fillId="0" borderId="0" pivotButton="0" quotePrefix="0" xfId="0"/>
    <xf numFmtId="176" fontId="50" fillId="0" borderId="0" pivotButton="0" quotePrefix="0" xfId="0"/>
    <xf numFmtId="1" fontId="51"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175"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B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Neither · 2 A only · 3 B only · 4 Both · 5 Bull offset   (drives rows 10, 12, 21 for FY27–28)</t>
        </is>
      </c>
      <c r="D3" s="243" t="n">
        <v>1</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Scenarios!Q97</f>
        <v/>
      </c>
      <c r="J10" s="246">
        <f>Scenarios!R97</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Scenarios!Q98</f>
        <v/>
      </c>
      <c r="J12" s="246">
        <f>Scenarios!R98</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Scenarios!Q99/Scenarios!P99-1</f>
        <v/>
      </c>
      <c r="J21" s="249">
        <f>Scenarios!R99/Scenarios!Q99-1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row>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6" ht="15" customHeight="1">
      <c r="B36" s="27" t="inlineStr">
        <is>
          <t>Disclosed revenue-per-unit and ASP growth (for checking purposes)</t>
        </is>
      </c>
      <c r="C36" s="28" t="n"/>
      <c r="D36" s="28" t="n"/>
      <c r="E36" s="28" t="n"/>
      <c r="F36" s="28" t="n"/>
      <c r="G36" s="28" t="n"/>
      <c r="H36" s="28" t="n"/>
      <c r="I36" s="28" t="n"/>
      <c r="J36" s="28" t="n"/>
      <c r="K36" s="28" t="n"/>
      <c r="L36" s="28" t="n"/>
      <c r="M36" s="28" t="n"/>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row>
    <row r="38" ht="15" customHeight="1">
      <c r="B38" s="34" t="inlineStr">
        <is>
          <t>Global ASP, y/y (disclosed)</t>
        </is>
      </c>
      <c r="C38" s="24" t="inlineStr">
        <is>
          <t>%</t>
        </is>
      </c>
      <c r="D38" s="42" t="n"/>
      <c r="E38" s="29" t="n"/>
      <c r="F38" s="29" t="n"/>
      <c r="G38" s="29" t="n"/>
      <c r="H38" s="43" t="n">
        <v>0.055</v>
      </c>
      <c r="I38" s="37" t="n"/>
      <c r="J38" s="29" t="n"/>
      <c r="K38" s="29" t="n"/>
      <c r="L38" s="29" t="n"/>
      <c r="M38" s="29" t="n"/>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row>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8" t="n"/>
      <c r="Q43" s="238" t="n"/>
      <c r="R43" s="238" t="n"/>
      <c r="S43" s="234" t="inlineStr">
        <is>
          <t>ASSUMED: roughly the FY28 engine growth; the engines stop at FY28</t>
        </is>
      </c>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8" t="n"/>
      <c r="Q44" s="238" t="n"/>
      <c r="R44" s="238" t="n"/>
      <c r="S44" s="234" t="inlineStr">
        <is>
          <t>ASSUMED flat</t>
        </is>
      </c>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8" t="n"/>
      <c r="Q45" s="238" t="n"/>
      <c r="R45" s="238" t="n"/>
      <c r="S45" s="234" t="inlineStr">
        <is>
          <t>ASSUMED</t>
        </is>
      </c>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'Scenarios'!$D$81</f>
        <v/>
      </c>
      <c r="E48" s="238" t="n"/>
      <c r="F48" s="238" t="n"/>
      <c r="G48" s="238" t="n"/>
      <c r="H48" s="238" t="n"/>
      <c r="I48" s="238" t="n"/>
      <c r="J48" s="238" t="n"/>
      <c r="K48" s="238" t="n"/>
      <c r="L48" s="238" t="n"/>
      <c r="M48" s="238" t="n"/>
      <c r="N48" s="238" t="n"/>
      <c r="O48" s="238" t="n"/>
      <c r="P48" s="238" t="n"/>
      <c r="Q48" s="238" t="n"/>
      <c r="R48" s="238" t="n"/>
      <c r="S48" s="234" t="inlineStr">
        <is>
          <t>VERIFIED, licensed report held locally</t>
        </is>
      </c>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Scenarios!D91</f>
        <v/>
      </c>
      <c r="E51" s="262">
        <f>Scenarios!D92</f>
        <v/>
      </c>
      <c r="F51" s="238" t="n"/>
      <c r="G51" s="238" t="n"/>
      <c r="H51" s="238" t="n"/>
      <c r="I51" s="238" t="n"/>
      <c r="J51" s="238" t="n"/>
      <c r="K51" s="238" t="n"/>
      <c r="L51" s="238" t="n"/>
      <c r="M51" s="238" t="n"/>
      <c r="N51" s="238" t="n"/>
      <c r="O51" s="238" t="n"/>
      <c r="P51" s="238" t="n"/>
      <c r="Q51" s="238" t="n"/>
      <c r="R51" s="238" t="n"/>
      <c r="S51" s="234" t="inlineStr">
        <is>
          <t>ENGINE; see Scenarios summary</t>
        </is>
      </c>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Fleet'!$C$5:$C$62,MATCH(D$3,'D Fleet'!$B$5:$B$62,0))</f>
        <v/>
      </c>
      <c r="E6" s="270">
        <f>INDEX('D Fleet'!$C$5:$C$62,MATCH(E$3,'D Fleet'!$B$5:$B$62,0))</f>
        <v/>
      </c>
      <c r="F6" s="270">
        <f>INDEX('D Fleet'!$C$5:$C$62,MATCH(F$3,'D Fleet'!$B$5:$B$62,0))</f>
        <v/>
      </c>
      <c r="G6" s="270">
        <f>INDEX('D Fleet'!$C$5:$C$62,MATCH(G$3,'D Fleet'!$B$5:$B$62,0))</f>
        <v/>
      </c>
      <c r="H6" s="270">
        <f>INDEX('D Fleet'!$C$5:$C$62,MATCH(H$3,'D Fleet'!$B$5:$B$62,0))</f>
        <v/>
      </c>
      <c r="I6" s="270">
        <f>INDEX('D Fleet'!$C$5:$C$62,MATCH(I$3,'D Fleet'!$B$5:$B$62,0))</f>
        <v/>
      </c>
      <c r="J6" s="270">
        <f>INDEX('D Fleet'!$C$5:$C$62,MATCH(J$3,'D Fleet'!$B$5:$B$62,0))</f>
        <v/>
      </c>
      <c r="K6" s="270">
        <f>INDEX('D Fleet'!$C$5:$C$62,MATCH(K$3,'D Fleet'!$B$5:$B$62,0))</f>
        <v/>
      </c>
      <c r="L6" s="270">
        <f>INDEX('D Fleet'!$C$5:$C$62,MATCH(L$3,'D Fleet'!$B$5:$B$62,0))</f>
        <v/>
      </c>
      <c r="M6" s="270">
        <f>INDEX('D Fleet'!$C$5:$C$62,MATCH(M$3,'D Fleet'!$B$5:$B$62,0))</f>
        <v/>
      </c>
      <c r="S6" s="234" t="inlineStr">
        <is>
          <t>D Fleet; Ward's/ORNL to 2021, FRED 2022–25 (VERIFIED); SUV/pickup/van split is an EPA composition proxy (ASSUMED)</t>
        </is>
      </c>
    </row>
    <row r="7">
      <c r="B7" s="238" t="inlineStr">
        <is>
          <t>Utility vehicle (SUV)</t>
        </is>
      </c>
      <c r="C7" s="256" t="inlineStr">
        <is>
          <t>000s</t>
        </is>
      </c>
      <c r="D7" s="270">
        <f>INDEX('D Fleet'!$D$5:$D$62,MATCH(D$3,'D Fleet'!$B$5:$B$62,0))</f>
        <v/>
      </c>
      <c r="E7" s="270">
        <f>INDEX('D Fleet'!$D$5:$D$62,MATCH(E$3,'D Fleet'!$B$5:$B$62,0))</f>
        <v/>
      </c>
      <c r="F7" s="270">
        <f>INDEX('D Fleet'!$D$5:$D$62,MATCH(F$3,'D Fleet'!$B$5:$B$62,0))</f>
        <v/>
      </c>
      <c r="G7" s="270">
        <f>INDEX('D Fleet'!$D$5:$D$62,MATCH(G$3,'D Fleet'!$B$5:$B$62,0))</f>
        <v/>
      </c>
      <c r="H7" s="270">
        <f>INDEX('D Fleet'!$D$5:$D$62,MATCH(H$3,'D Fleet'!$B$5:$B$62,0))</f>
        <v/>
      </c>
      <c r="I7" s="270">
        <f>INDEX('D Fleet'!$D$5:$D$62,MATCH(I$3,'D Fleet'!$B$5:$B$62,0))</f>
        <v/>
      </c>
      <c r="J7" s="270">
        <f>INDEX('D Fleet'!$D$5:$D$62,MATCH(J$3,'D Fleet'!$B$5:$B$62,0))</f>
        <v/>
      </c>
      <c r="K7" s="270">
        <f>INDEX('D Fleet'!$D$5:$D$62,MATCH(K$3,'D Fleet'!$B$5:$B$62,0))</f>
        <v/>
      </c>
      <c r="L7" s="270">
        <f>INDEX('D Fleet'!$D$5:$D$62,MATCH(L$3,'D Fleet'!$B$5:$B$62,0))</f>
        <v/>
      </c>
      <c r="M7" s="270">
        <f>INDEX('D Fleet'!$D$5:$D$62,MATCH(M$3,'D Fleet'!$B$5:$B$62,0))</f>
        <v/>
      </c>
    </row>
    <row r="8">
      <c r="B8" s="238" t="inlineStr">
        <is>
          <t>Pickup</t>
        </is>
      </c>
      <c r="C8" s="256" t="inlineStr">
        <is>
          <t>000s</t>
        </is>
      </c>
      <c r="D8" s="270">
        <f>INDEX('D Fleet'!$E$5:$E$62,MATCH(D$3,'D Fleet'!$B$5:$B$62,0))</f>
        <v/>
      </c>
      <c r="E8" s="270">
        <f>INDEX('D Fleet'!$E$5:$E$62,MATCH(E$3,'D Fleet'!$B$5:$B$62,0))</f>
        <v/>
      </c>
      <c r="F8" s="270">
        <f>INDEX('D Fleet'!$E$5:$E$62,MATCH(F$3,'D Fleet'!$B$5:$B$62,0))</f>
        <v/>
      </c>
      <c r="G8" s="270">
        <f>INDEX('D Fleet'!$E$5:$E$62,MATCH(G$3,'D Fleet'!$B$5:$B$62,0))</f>
        <v/>
      </c>
      <c r="H8" s="270">
        <f>INDEX('D Fleet'!$E$5:$E$62,MATCH(H$3,'D Fleet'!$B$5:$B$62,0))</f>
        <v/>
      </c>
      <c r="I8" s="270">
        <f>INDEX('D Fleet'!$E$5:$E$62,MATCH(I$3,'D Fleet'!$B$5:$B$62,0))</f>
        <v/>
      </c>
      <c r="J8" s="270">
        <f>INDEX('D Fleet'!$E$5:$E$62,MATCH(J$3,'D Fleet'!$B$5:$B$62,0))</f>
        <v/>
      </c>
      <c r="K8" s="270">
        <f>INDEX('D Fleet'!$E$5:$E$62,MATCH(K$3,'D Fleet'!$B$5:$B$62,0))</f>
        <v/>
      </c>
      <c r="L8" s="270">
        <f>INDEX('D Fleet'!$E$5:$E$62,MATCH(L$3,'D Fleet'!$B$5:$B$62,0))</f>
        <v/>
      </c>
      <c r="M8" s="270">
        <f>INDEX('D Fleet'!$E$5:$E$62,MATCH(M$3,'D Fleet'!$B$5:$B$62,0))</f>
        <v/>
      </c>
    </row>
    <row r="9">
      <c r="B9" s="238" t="inlineStr">
        <is>
          <t>Van / minivan</t>
        </is>
      </c>
      <c r="C9" s="256" t="inlineStr">
        <is>
          <t>000s</t>
        </is>
      </c>
      <c r="D9" s="270">
        <f>INDEX('D Fleet'!$F$5:$F$62,MATCH(D$3,'D Fleet'!$B$5:$B$62,0))</f>
        <v/>
      </c>
      <c r="E9" s="270">
        <f>INDEX('D Fleet'!$F$5:$F$62,MATCH(E$3,'D Fleet'!$B$5:$B$62,0))</f>
        <v/>
      </c>
      <c r="F9" s="270">
        <f>INDEX('D Fleet'!$F$5:$F$62,MATCH(F$3,'D Fleet'!$B$5:$B$62,0))</f>
        <v/>
      </c>
      <c r="G9" s="270">
        <f>INDEX('D Fleet'!$F$5:$F$62,MATCH(G$3,'D Fleet'!$B$5:$B$62,0))</f>
        <v/>
      </c>
      <c r="H9" s="270">
        <f>INDEX('D Fleet'!$F$5:$F$62,MATCH(H$3,'D Fleet'!$B$5:$B$62,0))</f>
        <v/>
      </c>
      <c r="I9" s="270">
        <f>INDEX('D Fleet'!$F$5:$F$62,MATCH(I$3,'D Fleet'!$B$5:$B$62,0))</f>
        <v/>
      </c>
      <c r="J9" s="270">
        <f>INDEX('D Fleet'!$F$5:$F$62,MATCH(J$3,'D Fleet'!$B$5:$B$62,0))</f>
        <v/>
      </c>
      <c r="K9" s="270">
        <f>INDEX('D Fleet'!$F$5:$F$62,MATCH(K$3,'D Fleet'!$B$5:$B$62,0))</f>
        <v/>
      </c>
      <c r="L9" s="270">
        <f>INDEX('D Fleet'!$F$5:$F$62,MATCH(L$3,'D Fleet'!$B$5:$B$62,0))</f>
        <v/>
      </c>
      <c r="M9" s="270">
        <f>INDEX('D Fleet'!$F$5:$F$62,MATCH(M$3,'D Fleet'!$B$5:$B$62,0))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S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S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SUMPRODUCT(MAX(ABS(E40:E55-E56:E71)))</f>
        <v/>
      </c>
      <c r="F77" s="261">
        <f>SUMPRODUCT(MAX(ABS(F40:F55-F56:F71)))</f>
        <v/>
      </c>
      <c r="G77" s="261">
        <f>SUMPRODUCT(MAX(ABS(G40:G55-G56:G71)))</f>
        <v/>
      </c>
      <c r="H77" s="261">
        <f>SUMPRODUCT(MAX(ABS(H40:H55-H56:H71)))</f>
        <v/>
      </c>
      <c r="I77" s="261">
        <f>SUMPRODUCT(MAX(ABS(I40:I55-I56:I71)))</f>
        <v/>
      </c>
      <c r="J77" s="261">
        <f>SUMPRODUCT(MAX(ABS(J40:J55-J56:J71)))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S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S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SUMPRODUCT(MAX(ABS(E73:I76)))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S89" s="234" t="inlineStr">
        <is>
          <t>docs/AGE_CURVES.md §2.3 — reproduces IHS 2013 census of cars by age (ORNL Table 3.11)</t>
        </is>
      </c>
    </row>
    <row r="90">
      <c r="B90" s="238" t="inlineStr">
        <is>
          <t>k_cars(2013)</t>
        </is>
      </c>
      <c r="D90" s="280" t="n">
        <v>1.064</v>
      </c>
      <c r="E90" s="234" t="inlineStr">
        <is>
          <t>FITTED</t>
        </is>
      </c>
      <c r="S90" s="234" t="inlineStr">
        <is>
          <t>same (duplicate row kept for formula anchoring)</t>
        </is>
      </c>
    </row>
    <row r="91">
      <c r="B91" s="238" t="inlineStr">
        <is>
          <t>k_light trucks(2013)</t>
        </is>
      </c>
      <c r="D91" s="280" t="n">
        <v>0.921</v>
      </c>
      <c r="E91" s="234" t="inlineStr">
        <is>
          <t>FITTED</t>
        </is>
      </c>
      <c r="S91" s="234" t="inlineStr">
        <is>
          <t>docs/AGE_CURVES.md §2.3 — IHS 2013 census of trucks (ORNL Table 3.12)</t>
        </is>
      </c>
    </row>
    <row r="92">
      <c r="B92" s="238" t="inlineStr">
        <is>
          <t>m(2024): drift multiplier</t>
        </is>
      </c>
      <c r="D92" s="280" t="n">
        <v>1.194</v>
      </c>
      <c r="E92" s="234" t="inlineStr">
        <is>
          <t>FITTED</t>
        </is>
      </c>
      <c r="S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S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S94" s="234" t="inlineStr">
        <is>
          <t>scripts/age_curves.py — fitted jointly with P(a) to eight CCC 2024 statistics</t>
        </is>
      </c>
    </row>
    <row r="95">
      <c r="B95" s="238" t="inlineStr">
        <is>
          <t>Vehicles in operation, 2024 (thousands)</t>
        </is>
      </c>
      <c r="D95" s="281" t="n">
        <v>292000</v>
      </c>
      <c r="E95" s="234" t="inlineStr">
        <is>
          <t>UNVERIFIED</t>
        </is>
      </c>
      <c r="S95" s="234" t="inlineStr">
        <is>
          <t>Experian figure on disk per PROVENANCE (file to be cited); the recalled S&amp;P 289M is retired</t>
        </is>
      </c>
    </row>
    <row r="96">
      <c r="B96" s="238" t="inlineStr">
        <is>
          <t>Share aged 7+, 2024</t>
        </is>
      </c>
      <c r="D96" s="280" t="n">
        <v>0.66</v>
      </c>
      <c r="E96" s="234" t="inlineStr">
        <is>
          <t>UNVERIFIED</t>
        </is>
      </c>
      <c r="S96" s="234" t="inlineStr">
        <is>
          <t>recalled S&amp;P Global Mobility release; not on disk</t>
        </is>
      </c>
    </row>
    <row r="97">
      <c r="B97" s="238" t="inlineStr">
        <is>
          <t>Body factor: Car (claims per vehicle vs common curve)</t>
        </is>
      </c>
      <c r="D97" s="280" t="n">
        <v>1.11</v>
      </c>
      <c r="E97" s="234" t="inlineStr">
        <is>
          <t>CALIBRATED</t>
        </is>
      </c>
      <c r="S97" s="234" t="inlineStr">
        <is>
          <t>scripts/fleet_vs_ccc_backtest.py — fitted to 2025 CCC cells only; 2020–24 are the test</t>
        </is>
      </c>
    </row>
    <row r="98">
      <c r="B98" s="238" t="inlineStr">
        <is>
          <t>Body factor: Utility vehicle (SUV)</t>
        </is>
      </c>
      <c r="D98" s="280" t="n">
        <v>0.917</v>
      </c>
      <c r="E98" s="234" t="inlineStr">
        <is>
          <t>CALIBRATED</t>
        </is>
      </c>
      <c r="S98" s="234" t="inlineStr">
        <is>
          <t>same</t>
        </is>
      </c>
    </row>
    <row r="99">
      <c r="B99" s="238" t="inlineStr">
        <is>
          <t>Body factor: Pickup</t>
        </is>
      </c>
      <c r="D99" s="280" t="n">
        <v>1.028</v>
      </c>
      <c r="E99" s="234" t="inlineStr">
        <is>
          <t>CALIBRATED</t>
        </is>
      </c>
      <c r="S99" s="234" t="inlineStr">
        <is>
          <t>same</t>
        </is>
      </c>
    </row>
    <row r="100">
      <c r="B100" s="238" t="inlineStr">
        <is>
          <t>Body factor: Van / minivan</t>
        </is>
      </c>
      <c r="D100" s="280" t="n">
        <v>0.923</v>
      </c>
      <c r="E100" s="234" t="inlineStr">
        <is>
          <t>CALIBRATED</t>
        </is>
      </c>
      <c r="S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2">
        <f>'E1 Fleet'!D15</f>
        <v/>
      </c>
      <c r="F4" s="282">
        <f>'E1 Fleet'!E15</f>
        <v/>
      </c>
      <c r="G4" s="282">
        <f>'E1 Fleet'!F15</f>
        <v/>
      </c>
      <c r="H4" s="282">
        <f>'E1 Fleet'!G15</f>
        <v/>
      </c>
      <c r="I4" s="282">
        <f>'E1 Fleet'!H15</f>
        <v/>
      </c>
      <c r="J4" s="282">
        <f>'E1 Fleet'!I15</f>
        <v/>
      </c>
      <c r="K4" s="282">
        <f>'E1 Fleet'!J15</f>
        <v/>
      </c>
      <c r="L4" s="282">
        <f>'E1 Fleet'!K15</f>
        <v/>
      </c>
      <c r="M4" s="282">
        <f>'E1 Fleet'!L15</f>
        <v/>
      </c>
      <c r="N4" s="282">
        <f>'E1 Fleet'!M15</f>
        <v/>
      </c>
    </row>
    <row r="5">
      <c r="D5" s="234" t="inlineStr">
        <is>
          <t>k light trucks</t>
        </is>
      </c>
      <c r="E5" s="282">
        <f>'E1 Fleet'!D16</f>
        <v/>
      </c>
      <c r="F5" s="282">
        <f>'E1 Fleet'!E16</f>
        <v/>
      </c>
      <c r="G5" s="282">
        <f>'E1 Fleet'!F16</f>
        <v/>
      </c>
      <c r="H5" s="282">
        <f>'E1 Fleet'!G16</f>
        <v/>
      </c>
      <c r="I5" s="282">
        <f>'E1 Fleet'!H16</f>
        <v/>
      </c>
      <c r="J5" s="282">
        <f>'E1 Fleet'!I16</f>
        <v/>
      </c>
      <c r="K5" s="282">
        <f>'E1 Fleet'!J16</f>
        <v/>
      </c>
      <c r="L5" s="282">
        <f>'E1 Fleet'!K16</f>
        <v/>
      </c>
      <c r="M5" s="282">
        <f>'E1 Fleet'!L16</f>
        <v/>
      </c>
      <c r="N5" s="282">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Fleet'!$C$5:$C$62,MATCH(E$3-$B7,'D Fleet'!$B$5:$B$62,0)),0)*IFERROR(INDEX('D Fleet'!$J$5:$J$36,INT(($B7/E$4))+1)+(($B7/E$4)-INT(($B7/E$4)))*(INDEX('D Fleet'!$J$5:$J$36,INT(($B7/E$4))+2)-INDEX('D Fleet'!$J$5:$J$36,INT(($B7/E$4))+1)),0)</f>
        <v/>
      </c>
      <c r="F7" s="276">
        <f>IFERROR(INDEX('D Fleet'!$C$5:$C$62,MATCH(F$3-$B7,'D Fleet'!$B$5:$B$62,0)),0)*IFERROR(INDEX('D Fleet'!$J$5:$J$36,INT(($B7/F$4))+1)+(($B7/F$4)-INT(($B7/F$4)))*(INDEX('D Fleet'!$J$5:$J$36,INT(($B7/F$4))+2)-INDEX('D Fleet'!$J$5:$J$36,INT(($B7/F$4))+1)),0)</f>
        <v/>
      </c>
      <c r="G7" s="276">
        <f>IFERROR(INDEX('D Fleet'!$C$5:$C$62,MATCH(G$3-$B7,'D Fleet'!$B$5:$B$62,0)),0)*IFERROR(INDEX('D Fleet'!$J$5:$J$36,INT(($B7/G$4))+1)+(($B7/G$4)-INT(($B7/G$4)))*(INDEX('D Fleet'!$J$5:$J$36,INT(($B7/G$4))+2)-INDEX('D Fleet'!$J$5:$J$36,INT(($B7/G$4))+1)),0)</f>
        <v/>
      </c>
      <c r="H7" s="276">
        <f>IFERROR(INDEX('D Fleet'!$C$5:$C$62,MATCH(H$3-$B7,'D Fleet'!$B$5:$B$62,0)),0)*IFERROR(INDEX('D Fleet'!$J$5:$J$36,INT(($B7/H$4))+1)+(($B7/H$4)-INT(($B7/H$4)))*(INDEX('D Fleet'!$J$5:$J$36,INT(($B7/H$4))+2)-INDEX('D Fleet'!$J$5:$J$36,INT(($B7/H$4))+1)),0)</f>
        <v/>
      </c>
      <c r="I7" s="276">
        <f>IFERROR(INDEX('D Fleet'!$C$5:$C$62,MATCH(I$3-$B7,'D Fleet'!$B$5:$B$62,0)),0)*IFERROR(INDEX('D Fleet'!$J$5:$J$36,INT(($B7/I$4))+1)+(($B7/I$4)-INT(($B7/I$4)))*(INDEX('D Fleet'!$J$5:$J$36,INT(($B7/I$4))+2)-INDEX('D Fleet'!$J$5:$J$36,INT(($B7/I$4))+1)),0)</f>
        <v/>
      </c>
      <c r="J7" s="276">
        <f>IFERROR(INDEX('D Fleet'!$C$5:$C$62,MATCH(J$3-$B7,'D Fleet'!$B$5:$B$62,0)),0)*IFERROR(INDEX('D Fleet'!$J$5:$J$36,INT(($B7/J$4))+1)+(($B7/J$4)-INT(($B7/J$4)))*(INDEX('D Fleet'!$J$5:$J$36,INT(($B7/J$4))+2)-INDEX('D Fleet'!$J$5:$J$36,INT(($B7/J$4))+1)),0)</f>
        <v/>
      </c>
      <c r="K7" s="276">
        <f>IFERROR(INDEX('D Fleet'!$C$5:$C$62,MATCH(K$3-$B7,'D Fleet'!$B$5:$B$62,0)),0)*IFERROR(INDEX('D Fleet'!$J$5:$J$36,INT(($B7/K$4))+1)+(($B7/K$4)-INT(($B7/K$4)))*(INDEX('D Fleet'!$J$5:$J$36,INT(($B7/K$4))+2)-INDEX('D Fleet'!$J$5:$J$36,INT(($B7/K$4))+1)),0)</f>
        <v/>
      </c>
      <c r="L7" s="276">
        <f>IFERROR(INDEX('D Fleet'!$C$5:$C$62,MATCH(L$3-$B7,'D Fleet'!$B$5:$B$62,0)),0)*IFERROR(INDEX('D Fleet'!$J$5:$J$36,INT(($B7/L$4))+1)+(($B7/L$4)-INT(($B7/L$4)))*(INDEX('D Fleet'!$J$5:$J$36,INT(($B7/L$4))+2)-INDEX('D Fleet'!$J$5:$J$36,INT(($B7/L$4))+1)),0)</f>
        <v/>
      </c>
      <c r="M7" s="276">
        <f>IFERROR(INDEX('D Fleet'!$C$5:$C$62,MATCH(M$3-$B7,'D Fleet'!$B$5:$B$62,0)),0)*IFERROR(INDEX('D Fleet'!$J$5:$J$36,INT(($B7/M$4))+1)+(($B7/M$4)-INT(($B7/M$4)))*(INDEX('D Fleet'!$J$5:$J$36,INT(($B7/M$4))+2)-INDEX('D Fleet'!$J$5:$J$36,INT(($B7/M$4))+1)),0)</f>
        <v/>
      </c>
      <c r="N7" s="276">
        <f>IFERROR(INDEX('D Fleet'!$C$5:$C$62,MATCH(N$3-$B7,'D Fleet'!$B$5:$B$62,0)),0)*IFERROR(INDEX('D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Fleet'!$C$5:$C$62,MATCH(E$3-$B8,'D Fleet'!$B$5:$B$62,0)),0)*IFERROR(INDEX('D Fleet'!$J$5:$J$36,INT(($B8/E$4))+1)+(($B8/E$4)-INT(($B8/E$4)))*(INDEX('D Fleet'!$J$5:$J$36,INT(($B8/E$4))+2)-INDEX('D Fleet'!$J$5:$J$36,INT(($B8/E$4))+1)),0)</f>
        <v/>
      </c>
      <c r="F8" s="276">
        <f>IFERROR(INDEX('D Fleet'!$C$5:$C$62,MATCH(F$3-$B8,'D Fleet'!$B$5:$B$62,0)),0)*IFERROR(INDEX('D Fleet'!$J$5:$J$36,INT(($B8/F$4))+1)+(($B8/F$4)-INT(($B8/F$4)))*(INDEX('D Fleet'!$J$5:$J$36,INT(($B8/F$4))+2)-INDEX('D Fleet'!$J$5:$J$36,INT(($B8/F$4))+1)),0)</f>
        <v/>
      </c>
      <c r="G8" s="276">
        <f>IFERROR(INDEX('D Fleet'!$C$5:$C$62,MATCH(G$3-$B8,'D Fleet'!$B$5:$B$62,0)),0)*IFERROR(INDEX('D Fleet'!$J$5:$J$36,INT(($B8/G$4))+1)+(($B8/G$4)-INT(($B8/G$4)))*(INDEX('D Fleet'!$J$5:$J$36,INT(($B8/G$4))+2)-INDEX('D Fleet'!$J$5:$J$36,INT(($B8/G$4))+1)),0)</f>
        <v/>
      </c>
      <c r="H8" s="276">
        <f>IFERROR(INDEX('D Fleet'!$C$5:$C$62,MATCH(H$3-$B8,'D Fleet'!$B$5:$B$62,0)),0)*IFERROR(INDEX('D Fleet'!$J$5:$J$36,INT(($B8/H$4))+1)+(($B8/H$4)-INT(($B8/H$4)))*(INDEX('D Fleet'!$J$5:$J$36,INT(($B8/H$4))+2)-INDEX('D Fleet'!$J$5:$J$36,INT(($B8/H$4))+1)),0)</f>
        <v/>
      </c>
      <c r="I8" s="276">
        <f>IFERROR(INDEX('D Fleet'!$C$5:$C$62,MATCH(I$3-$B8,'D Fleet'!$B$5:$B$62,0)),0)*IFERROR(INDEX('D Fleet'!$J$5:$J$36,INT(($B8/I$4))+1)+(($B8/I$4)-INT(($B8/I$4)))*(INDEX('D Fleet'!$J$5:$J$36,INT(($B8/I$4))+2)-INDEX('D Fleet'!$J$5:$J$36,INT(($B8/I$4))+1)),0)</f>
        <v/>
      </c>
      <c r="J8" s="276">
        <f>IFERROR(INDEX('D Fleet'!$C$5:$C$62,MATCH(J$3-$B8,'D Fleet'!$B$5:$B$62,0)),0)*IFERROR(INDEX('D Fleet'!$J$5:$J$36,INT(($B8/J$4))+1)+(($B8/J$4)-INT(($B8/J$4)))*(INDEX('D Fleet'!$J$5:$J$36,INT(($B8/J$4))+2)-INDEX('D Fleet'!$J$5:$J$36,INT(($B8/J$4))+1)),0)</f>
        <v/>
      </c>
      <c r="K8" s="276">
        <f>IFERROR(INDEX('D Fleet'!$C$5:$C$62,MATCH(K$3-$B8,'D Fleet'!$B$5:$B$62,0)),0)*IFERROR(INDEX('D Fleet'!$J$5:$J$36,INT(($B8/K$4))+1)+(($B8/K$4)-INT(($B8/K$4)))*(INDEX('D Fleet'!$J$5:$J$36,INT(($B8/K$4))+2)-INDEX('D Fleet'!$J$5:$J$36,INT(($B8/K$4))+1)),0)</f>
        <v/>
      </c>
      <c r="L8" s="276">
        <f>IFERROR(INDEX('D Fleet'!$C$5:$C$62,MATCH(L$3-$B8,'D Fleet'!$B$5:$B$62,0)),0)*IFERROR(INDEX('D Fleet'!$J$5:$J$36,INT(($B8/L$4))+1)+(($B8/L$4)-INT(($B8/L$4)))*(INDEX('D Fleet'!$J$5:$J$36,INT(($B8/L$4))+2)-INDEX('D Fleet'!$J$5:$J$36,INT(($B8/L$4))+1)),0)</f>
        <v/>
      </c>
      <c r="M8" s="276">
        <f>IFERROR(INDEX('D Fleet'!$C$5:$C$62,MATCH(M$3-$B8,'D Fleet'!$B$5:$B$62,0)),0)*IFERROR(INDEX('D Fleet'!$J$5:$J$36,INT(($B8/M$4))+1)+(($B8/M$4)-INT(($B8/M$4)))*(INDEX('D Fleet'!$J$5:$J$36,INT(($B8/M$4))+2)-INDEX('D Fleet'!$J$5:$J$36,INT(($B8/M$4))+1)),0)</f>
        <v/>
      </c>
      <c r="N8" s="276">
        <f>IFERROR(INDEX('D Fleet'!$C$5:$C$62,MATCH(N$3-$B8,'D Fleet'!$B$5:$B$62,0)),0)*IFERROR(INDEX('D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Fleet'!$C$5:$C$62,MATCH(E$3-$B9,'D Fleet'!$B$5:$B$62,0)),0)*IFERROR(INDEX('D Fleet'!$J$5:$J$36,INT(($B9/E$4))+1)+(($B9/E$4)-INT(($B9/E$4)))*(INDEX('D Fleet'!$J$5:$J$36,INT(($B9/E$4))+2)-INDEX('D Fleet'!$J$5:$J$36,INT(($B9/E$4))+1)),0)</f>
        <v/>
      </c>
      <c r="F9" s="276">
        <f>IFERROR(INDEX('D Fleet'!$C$5:$C$62,MATCH(F$3-$B9,'D Fleet'!$B$5:$B$62,0)),0)*IFERROR(INDEX('D Fleet'!$J$5:$J$36,INT(($B9/F$4))+1)+(($B9/F$4)-INT(($B9/F$4)))*(INDEX('D Fleet'!$J$5:$J$36,INT(($B9/F$4))+2)-INDEX('D Fleet'!$J$5:$J$36,INT(($B9/F$4))+1)),0)</f>
        <v/>
      </c>
      <c r="G9" s="276">
        <f>IFERROR(INDEX('D Fleet'!$C$5:$C$62,MATCH(G$3-$B9,'D Fleet'!$B$5:$B$62,0)),0)*IFERROR(INDEX('D Fleet'!$J$5:$J$36,INT(($B9/G$4))+1)+(($B9/G$4)-INT(($B9/G$4)))*(INDEX('D Fleet'!$J$5:$J$36,INT(($B9/G$4))+2)-INDEX('D Fleet'!$J$5:$J$36,INT(($B9/G$4))+1)),0)</f>
        <v/>
      </c>
      <c r="H9" s="276">
        <f>IFERROR(INDEX('D Fleet'!$C$5:$C$62,MATCH(H$3-$B9,'D Fleet'!$B$5:$B$62,0)),0)*IFERROR(INDEX('D Fleet'!$J$5:$J$36,INT(($B9/H$4))+1)+(($B9/H$4)-INT(($B9/H$4)))*(INDEX('D Fleet'!$J$5:$J$36,INT(($B9/H$4))+2)-INDEX('D Fleet'!$J$5:$J$36,INT(($B9/H$4))+1)),0)</f>
        <v/>
      </c>
      <c r="I9" s="276">
        <f>IFERROR(INDEX('D Fleet'!$C$5:$C$62,MATCH(I$3-$B9,'D Fleet'!$B$5:$B$62,0)),0)*IFERROR(INDEX('D Fleet'!$J$5:$J$36,INT(($B9/I$4))+1)+(($B9/I$4)-INT(($B9/I$4)))*(INDEX('D Fleet'!$J$5:$J$36,INT(($B9/I$4))+2)-INDEX('D Fleet'!$J$5:$J$36,INT(($B9/I$4))+1)),0)</f>
        <v/>
      </c>
      <c r="J9" s="276">
        <f>IFERROR(INDEX('D Fleet'!$C$5:$C$62,MATCH(J$3-$B9,'D Fleet'!$B$5:$B$62,0)),0)*IFERROR(INDEX('D Fleet'!$J$5:$J$36,INT(($B9/J$4))+1)+(($B9/J$4)-INT(($B9/J$4)))*(INDEX('D Fleet'!$J$5:$J$36,INT(($B9/J$4))+2)-INDEX('D Fleet'!$J$5:$J$36,INT(($B9/J$4))+1)),0)</f>
        <v/>
      </c>
      <c r="K9" s="276">
        <f>IFERROR(INDEX('D Fleet'!$C$5:$C$62,MATCH(K$3-$B9,'D Fleet'!$B$5:$B$62,0)),0)*IFERROR(INDEX('D Fleet'!$J$5:$J$36,INT(($B9/K$4))+1)+(($B9/K$4)-INT(($B9/K$4)))*(INDEX('D Fleet'!$J$5:$J$36,INT(($B9/K$4))+2)-INDEX('D Fleet'!$J$5:$J$36,INT(($B9/K$4))+1)),0)</f>
        <v/>
      </c>
      <c r="L9" s="276">
        <f>IFERROR(INDEX('D Fleet'!$C$5:$C$62,MATCH(L$3-$B9,'D Fleet'!$B$5:$B$62,0)),0)*IFERROR(INDEX('D Fleet'!$J$5:$J$36,INT(($B9/L$4))+1)+(($B9/L$4)-INT(($B9/L$4)))*(INDEX('D Fleet'!$J$5:$J$36,INT(($B9/L$4))+2)-INDEX('D Fleet'!$J$5:$J$36,INT(($B9/L$4))+1)),0)</f>
        <v/>
      </c>
      <c r="M9" s="276">
        <f>IFERROR(INDEX('D Fleet'!$C$5:$C$62,MATCH(M$3-$B9,'D Fleet'!$B$5:$B$62,0)),0)*IFERROR(INDEX('D Fleet'!$J$5:$J$36,INT(($B9/M$4))+1)+(($B9/M$4)-INT(($B9/M$4)))*(INDEX('D Fleet'!$J$5:$J$36,INT(($B9/M$4))+2)-INDEX('D Fleet'!$J$5:$J$36,INT(($B9/M$4))+1)),0)</f>
        <v/>
      </c>
      <c r="N9" s="276">
        <f>IFERROR(INDEX('D Fleet'!$C$5:$C$62,MATCH(N$3-$B9,'D Fleet'!$B$5:$B$62,0)),0)*IFERROR(INDEX('D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Fleet'!$C$5:$C$62,MATCH(E$3-$B10,'D Fleet'!$B$5:$B$62,0)),0)*IFERROR(INDEX('D Fleet'!$J$5:$J$36,INT(($B10/E$4))+1)+(($B10/E$4)-INT(($B10/E$4)))*(INDEX('D Fleet'!$J$5:$J$36,INT(($B10/E$4))+2)-INDEX('D Fleet'!$J$5:$J$36,INT(($B10/E$4))+1)),0)</f>
        <v/>
      </c>
      <c r="F10" s="276">
        <f>IFERROR(INDEX('D Fleet'!$C$5:$C$62,MATCH(F$3-$B10,'D Fleet'!$B$5:$B$62,0)),0)*IFERROR(INDEX('D Fleet'!$J$5:$J$36,INT(($B10/F$4))+1)+(($B10/F$4)-INT(($B10/F$4)))*(INDEX('D Fleet'!$J$5:$J$36,INT(($B10/F$4))+2)-INDEX('D Fleet'!$J$5:$J$36,INT(($B10/F$4))+1)),0)</f>
        <v/>
      </c>
      <c r="G10" s="276">
        <f>IFERROR(INDEX('D Fleet'!$C$5:$C$62,MATCH(G$3-$B10,'D Fleet'!$B$5:$B$62,0)),0)*IFERROR(INDEX('D Fleet'!$J$5:$J$36,INT(($B10/G$4))+1)+(($B10/G$4)-INT(($B10/G$4)))*(INDEX('D Fleet'!$J$5:$J$36,INT(($B10/G$4))+2)-INDEX('D Fleet'!$J$5:$J$36,INT(($B10/G$4))+1)),0)</f>
        <v/>
      </c>
      <c r="H10" s="276">
        <f>IFERROR(INDEX('D Fleet'!$C$5:$C$62,MATCH(H$3-$B10,'D Fleet'!$B$5:$B$62,0)),0)*IFERROR(INDEX('D Fleet'!$J$5:$J$36,INT(($B10/H$4))+1)+(($B10/H$4)-INT(($B10/H$4)))*(INDEX('D Fleet'!$J$5:$J$36,INT(($B10/H$4))+2)-INDEX('D Fleet'!$J$5:$J$36,INT(($B10/H$4))+1)),0)</f>
        <v/>
      </c>
      <c r="I10" s="276">
        <f>IFERROR(INDEX('D Fleet'!$C$5:$C$62,MATCH(I$3-$B10,'D Fleet'!$B$5:$B$62,0)),0)*IFERROR(INDEX('D Fleet'!$J$5:$J$36,INT(($B10/I$4))+1)+(($B10/I$4)-INT(($B10/I$4)))*(INDEX('D Fleet'!$J$5:$J$36,INT(($B10/I$4))+2)-INDEX('D Fleet'!$J$5:$J$36,INT(($B10/I$4))+1)),0)</f>
        <v/>
      </c>
      <c r="J10" s="276">
        <f>IFERROR(INDEX('D Fleet'!$C$5:$C$62,MATCH(J$3-$B10,'D Fleet'!$B$5:$B$62,0)),0)*IFERROR(INDEX('D Fleet'!$J$5:$J$36,INT(($B10/J$4))+1)+(($B10/J$4)-INT(($B10/J$4)))*(INDEX('D Fleet'!$J$5:$J$36,INT(($B10/J$4))+2)-INDEX('D Fleet'!$J$5:$J$36,INT(($B10/J$4))+1)),0)</f>
        <v/>
      </c>
      <c r="K10" s="276">
        <f>IFERROR(INDEX('D Fleet'!$C$5:$C$62,MATCH(K$3-$B10,'D Fleet'!$B$5:$B$62,0)),0)*IFERROR(INDEX('D Fleet'!$J$5:$J$36,INT(($B10/K$4))+1)+(($B10/K$4)-INT(($B10/K$4)))*(INDEX('D Fleet'!$J$5:$J$36,INT(($B10/K$4))+2)-INDEX('D Fleet'!$J$5:$J$36,INT(($B10/K$4))+1)),0)</f>
        <v/>
      </c>
      <c r="L10" s="276">
        <f>IFERROR(INDEX('D Fleet'!$C$5:$C$62,MATCH(L$3-$B10,'D Fleet'!$B$5:$B$62,0)),0)*IFERROR(INDEX('D Fleet'!$J$5:$J$36,INT(($B10/L$4))+1)+(($B10/L$4)-INT(($B10/L$4)))*(INDEX('D Fleet'!$J$5:$J$36,INT(($B10/L$4))+2)-INDEX('D Fleet'!$J$5:$J$36,INT(($B10/L$4))+1)),0)</f>
        <v/>
      </c>
      <c r="M10" s="276">
        <f>IFERROR(INDEX('D Fleet'!$C$5:$C$62,MATCH(M$3-$B10,'D Fleet'!$B$5:$B$62,0)),0)*IFERROR(INDEX('D Fleet'!$J$5:$J$36,INT(($B10/M$4))+1)+(($B10/M$4)-INT(($B10/M$4)))*(INDEX('D Fleet'!$J$5:$J$36,INT(($B10/M$4))+2)-INDEX('D Fleet'!$J$5:$J$36,INT(($B10/M$4))+1)),0)</f>
        <v/>
      </c>
      <c r="N10" s="276">
        <f>IFERROR(INDEX('D Fleet'!$C$5:$C$62,MATCH(N$3-$B10,'D Fleet'!$B$5:$B$62,0)),0)*IFERROR(INDEX('D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Fleet'!$C$5:$C$62,MATCH(E$3-$B11,'D Fleet'!$B$5:$B$62,0)),0)*IFERROR(INDEX('D Fleet'!$J$5:$J$36,INT(($B11/E$4))+1)+(($B11/E$4)-INT(($B11/E$4)))*(INDEX('D Fleet'!$J$5:$J$36,INT(($B11/E$4))+2)-INDEX('D Fleet'!$J$5:$J$36,INT(($B11/E$4))+1)),0)</f>
        <v/>
      </c>
      <c r="F11" s="276">
        <f>IFERROR(INDEX('D Fleet'!$C$5:$C$62,MATCH(F$3-$B11,'D Fleet'!$B$5:$B$62,0)),0)*IFERROR(INDEX('D Fleet'!$J$5:$J$36,INT(($B11/F$4))+1)+(($B11/F$4)-INT(($B11/F$4)))*(INDEX('D Fleet'!$J$5:$J$36,INT(($B11/F$4))+2)-INDEX('D Fleet'!$J$5:$J$36,INT(($B11/F$4))+1)),0)</f>
        <v/>
      </c>
      <c r="G11" s="276">
        <f>IFERROR(INDEX('D Fleet'!$C$5:$C$62,MATCH(G$3-$B11,'D Fleet'!$B$5:$B$62,0)),0)*IFERROR(INDEX('D Fleet'!$J$5:$J$36,INT(($B11/G$4))+1)+(($B11/G$4)-INT(($B11/G$4)))*(INDEX('D Fleet'!$J$5:$J$36,INT(($B11/G$4))+2)-INDEX('D Fleet'!$J$5:$J$36,INT(($B11/G$4))+1)),0)</f>
        <v/>
      </c>
      <c r="H11" s="276">
        <f>IFERROR(INDEX('D Fleet'!$C$5:$C$62,MATCH(H$3-$B11,'D Fleet'!$B$5:$B$62,0)),0)*IFERROR(INDEX('D Fleet'!$J$5:$J$36,INT(($B11/H$4))+1)+(($B11/H$4)-INT(($B11/H$4)))*(INDEX('D Fleet'!$J$5:$J$36,INT(($B11/H$4))+2)-INDEX('D Fleet'!$J$5:$J$36,INT(($B11/H$4))+1)),0)</f>
        <v/>
      </c>
      <c r="I11" s="276">
        <f>IFERROR(INDEX('D Fleet'!$C$5:$C$62,MATCH(I$3-$B11,'D Fleet'!$B$5:$B$62,0)),0)*IFERROR(INDEX('D Fleet'!$J$5:$J$36,INT(($B11/I$4))+1)+(($B11/I$4)-INT(($B11/I$4)))*(INDEX('D Fleet'!$J$5:$J$36,INT(($B11/I$4))+2)-INDEX('D Fleet'!$J$5:$J$36,INT(($B11/I$4))+1)),0)</f>
        <v/>
      </c>
      <c r="J11" s="276">
        <f>IFERROR(INDEX('D Fleet'!$C$5:$C$62,MATCH(J$3-$B11,'D Fleet'!$B$5:$B$62,0)),0)*IFERROR(INDEX('D Fleet'!$J$5:$J$36,INT(($B11/J$4))+1)+(($B11/J$4)-INT(($B11/J$4)))*(INDEX('D Fleet'!$J$5:$J$36,INT(($B11/J$4))+2)-INDEX('D Fleet'!$J$5:$J$36,INT(($B11/J$4))+1)),0)</f>
        <v/>
      </c>
      <c r="K11" s="276">
        <f>IFERROR(INDEX('D Fleet'!$C$5:$C$62,MATCH(K$3-$B11,'D Fleet'!$B$5:$B$62,0)),0)*IFERROR(INDEX('D Fleet'!$J$5:$J$36,INT(($B11/K$4))+1)+(($B11/K$4)-INT(($B11/K$4)))*(INDEX('D Fleet'!$J$5:$J$36,INT(($B11/K$4))+2)-INDEX('D Fleet'!$J$5:$J$36,INT(($B11/K$4))+1)),0)</f>
        <v/>
      </c>
      <c r="L11" s="276">
        <f>IFERROR(INDEX('D Fleet'!$C$5:$C$62,MATCH(L$3-$B11,'D Fleet'!$B$5:$B$62,0)),0)*IFERROR(INDEX('D Fleet'!$J$5:$J$36,INT(($B11/L$4))+1)+(($B11/L$4)-INT(($B11/L$4)))*(INDEX('D Fleet'!$J$5:$J$36,INT(($B11/L$4))+2)-INDEX('D Fleet'!$J$5:$J$36,INT(($B11/L$4))+1)),0)</f>
        <v/>
      </c>
      <c r="M11" s="276">
        <f>IFERROR(INDEX('D Fleet'!$C$5:$C$62,MATCH(M$3-$B11,'D Fleet'!$B$5:$B$62,0)),0)*IFERROR(INDEX('D Fleet'!$J$5:$J$36,INT(($B11/M$4))+1)+(($B11/M$4)-INT(($B11/M$4)))*(INDEX('D Fleet'!$J$5:$J$36,INT(($B11/M$4))+2)-INDEX('D Fleet'!$J$5:$J$36,INT(($B11/M$4))+1)),0)</f>
        <v/>
      </c>
      <c r="N11" s="276">
        <f>IFERROR(INDEX('D Fleet'!$C$5:$C$62,MATCH(N$3-$B11,'D Fleet'!$B$5:$B$62,0)),0)*IFERROR(INDEX('D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Fleet'!$C$5:$C$62,MATCH(E$3-$B12,'D Fleet'!$B$5:$B$62,0)),0)*IFERROR(INDEX('D Fleet'!$J$5:$J$36,INT(($B12/E$4))+1)+(($B12/E$4)-INT(($B12/E$4)))*(INDEX('D Fleet'!$J$5:$J$36,INT(($B12/E$4))+2)-INDEX('D Fleet'!$J$5:$J$36,INT(($B12/E$4))+1)),0)</f>
        <v/>
      </c>
      <c r="F12" s="276">
        <f>IFERROR(INDEX('D Fleet'!$C$5:$C$62,MATCH(F$3-$B12,'D Fleet'!$B$5:$B$62,0)),0)*IFERROR(INDEX('D Fleet'!$J$5:$J$36,INT(($B12/F$4))+1)+(($B12/F$4)-INT(($B12/F$4)))*(INDEX('D Fleet'!$J$5:$J$36,INT(($B12/F$4))+2)-INDEX('D Fleet'!$J$5:$J$36,INT(($B12/F$4))+1)),0)</f>
        <v/>
      </c>
      <c r="G12" s="276">
        <f>IFERROR(INDEX('D Fleet'!$C$5:$C$62,MATCH(G$3-$B12,'D Fleet'!$B$5:$B$62,0)),0)*IFERROR(INDEX('D Fleet'!$J$5:$J$36,INT(($B12/G$4))+1)+(($B12/G$4)-INT(($B12/G$4)))*(INDEX('D Fleet'!$J$5:$J$36,INT(($B12/G$4))+2)-INDEX('D Fleet'!$J$5:$J$36,INT(($B12/G$4))+1)),0)</f>
        <v/>
      </c>
      <c r="H12" s="276">
        <f>IFERROR(INDEX('D Fleet'!$C$5:$C$62,MATCH(H$3-$B12,'D Fleet'!$B$5:$B$62,0)),0)*IFERROR(INDEX('D Fleet'!$J$5:$J$36,INT(($B12/H$4))+1)+(($B12/H$4)-INT(($B12/H$4)))*(INDEX('D Fleet'!$J$5:$J$36,INT(($B12/H$4))+2)-INDEX('D Fleet'!$J$5:$J$36,INT(($B12/H$4))+1)),0)</f>
        <v/>
      </c>
      <c r="I12" s="276">
        <f>IFERROR(INDEX('D Fleet'!$C$5:$C$62,MATCH(I$3-$B12,'D Fleet'!$B$5:$B$62,0)),0)*IFERROR(INDEX('D Fleet'!$J$5:$J$36,INT(($B12/I$4))+1)+(($B12/I$4)-INT(($B12/I$4)))*(INDEX('D Fleet'!$J$5:$J$36,INT(($B12/I$4))+2)-INDEX('D Fleet'!$J$5:$J$36,INT(($B12/I$4))+1)),0)</f>
        <v/>
      </c>
      <c r="J12" s="276">
        <f>IFERROR(INDEX('D Fleet'!$C$5:$C$62,MATCH(J$3-$B12,'D Fleet'!$B$5:$B$62,0)),0)*IFERROR(INDEX('D Fleet'!$J$5:$J$36,INT(($B12/J$4))+1)+(($B12/J$4)-INT(($B12/J$4)))*(INDEX('D Fleet'!$J$5:$J$36,INT(($B12/J$4))+2)-INDEX('D Fleet'!$J$5:$J$36,INT(($B12/J$4))+1)),0)</f>
        <v/>
      </c>
      <c r="K12" s="276">
        <f>IFERROR(INDEX('D Fleet'!$C$5:$C$62,MATCH(K$3-$B12,'D Fleet'!$B$5:$B$62,0)),0)*IFERROR(INDEX('D Fleet'!$J$5:$J$36,INT(($B12/K$4))+1)+(($B12/K$4)-INT(($B12/K$4)))*(INDEX('D Fleet'!$J$5:$J$36,INT(($B12/K$4))+2)-INDEX('D Fleet'!$J$5:$J$36,INT(($B12/K$4))+1)),0)</f>
        <v/>
      </c>
      <c r="L12" s="276">
        <f>IFERROR(INDEX('D Fleet'!$C$5:$C$62,MATCH(L$3-$B12,'D Fleet'!$B$5:$B$62,0)),0)*IFERROR(INDEX('D Fleet'!$J$5:$J$36,INT(($B12/L$4))+1)+(($B12/L$4)-INT(($B12/L$4)))*(INDEX('D Fleet'!$J$5:$J$36,INT(($B12/L$4))+2)-INDEX('D Fleet'!$J$5:$J$36,INT(($B12/L$4))+1)),0)</f>
        <v/>
      </c>
      <c r="M12" s="276">
        <f>IFERROR(INDEX('D Fleet'!$C$5:$C$62,MATCH(M$3-$B12,'D Fleet'!$B$5:$B$62,0)),0)*IFERROR(INDEX('D Fleet'!$J$5:$J$36,INT(($B12/M$4))+1)+(($B12/M$4)-INT(($B12/M$4)))*(INDEX('D Fleet'!$J$5:$J$36,INT(($B12/M$4))+2)-INDEX('D Fleet'!$J$5:$J$36,INT(($B12/M$4))+1)),0)</f>
        <v/>
      </c>
      <c r="N12" s="276">
        <f>IFERROR(INDEX('D Fleet'!$C$5:$C$62,MATCH(N$3-$B12,'D Fleet'!$B$5:$B$62,0)),0)*IFERROR(INDEX('D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Fleet'!$C$5:$C$62,MATCH(E$3-$B13,'D Fleet'!$B$5:$B$62,0)),0)*IFERROR(INDEX('D Fleet'!$J$5:$J$36,INT(($B13/E$4))+1)+(($B13/E$4)-INT(($B13/E$4)))*(INDEX('D Fleet'!$J$5:$J$36,INT(($B13/E$4))+2)-INDEX('D Fleet'!$J$5:$J$36,INT(($B13/E$4))+1)),0)</f>
        <v/>
      </c>
      <c r="F13" s="276">
        <f>IFERROR(INDEX('D Fleet'!$C$5:$C$62,MATCH(F$3-$B13,'D Fleet'!$B$5:$B$62,0)),0)*IFERROR(INDEX('D Fleet'!$J$5:$J$36,INT(($B13/F$4))+1)+(($B13/F$4)-INT(($B13/F$4)))*(INDEX('D Fleet'!$J$5:$J$36,INT(($B13/F$4))+2)-INDEX('D Fleet'!$J$5:$J$36,INT(($B13/F$4))+1)),0)</f>
        <v/>
      </c>
      <c r="G13" s="276">
        <f>IFERROR(INDEX('D Fleet'!$C$5:$C$62,MATCH(G$3-$B13,'D Fleet'!$B$5:$B$62,0)),0)*IFERROR(INDEX('D Fleet'!$J$5:$J$36,INT(($B13/G$4))+1)+(($B13/G$4)-INT(($B13/G$4)))*(INDEX('D Fleet'!$J$5:$J$36,INT(($B13/G$4))+2)-INDEX('D Fleet'!$J$5:$J$36,INT(($B13/G$4))+1)),0)</f>
        <v/>
      </c>
      <c r="H13" s="276">
        <f>IFERROR(INDEX('D Fleet'!$C$5:$C$62,MATCH(H$3-$B13,'D Fleet'!$B$5:$B$62,0)),0)*IFERROR(INDEX('D Fleet'!$J$5:$J$36,INT(($B13/H$4))+1)+(($B13/H$4)-INT(($B13/H$4)))*(INDEX('D Fleet'!$J$5:$J$36,INT(($B13/H$4))+2)-INDEX('D Fleet'!$J$5:$J$36,INT(($B13/H$4))+1)),0)</f>
        <v/>
      </c>
      <c r="I13" s="276">
        <f>IFERROR(INDEX('D Fleet'!$C$5:$C$62,MATCH(I$3-$B13,'D Fleet'!$B$5:$B$62,0)),0)*IFERROR(INDEX('D Fleet'!$J$5:$J$36,INT(($B13/I$4))+1)+(($B13/I$4)-INT(($B13/I$4)))*(INDEX('D Fleet'!$J$5:$J$36,INT(($B13/I$4))+2)-INDEX('D Fleet'!$J$5:$J$36,INT(($B13/I$4))+1)),0)</f>
        <v/>
      </c>
      <c r="J13" s="276">
        <f>IFERROR(INDEX('D Fleet'!$C$5:$C$62,MATCH(J$3-$B13,'D Fleet'!$B$5:$B$62,0)),0)*IFERROR(INDEX('D Fleet'!$J$5:$J$36,INT(($B13/J$4))+1)+(($B13/J$4)-INT(($B13/J$4)))*(INDEX('D Fleet'!$J$5:$J$36,INT(($B13/J$4))+2)-INDEX('D Fleet'!$J$5:$J$36,INT(($B13/J$4))+1)),0)</f>
        <v/>
      </c>
      <c r="K13" s="276">
        <f>IFERROR(INDEX('D Fleet'!$C$5:$C$62,MATCH(K$3-$B13,'D Fleet'!$B$5:$B$62,0)),0)*IFERROR(INDEX('D Fleet'!$J$5:$J$36,INT(($B13/K$4))+1)+(($B13/K$4)-INT(($B13/K$4)))*(INDEX('D Fleet'!$J$5:$J$36,INT(($B13/K$4))+2)-INDEX('D Fleet'!$J$5:$J$36,INT(($B13/K$4))+1)),0)</f>
        <v/>
      </c>
      <c r="L13" s="276">
        <f>IFERROR(INDEX('D Fleet'!$C$5:$C$62,MATCH(L$3-$B13,'D Fleet'!$B$5:$B$62,0)),0)*IFERROR(INDEX('D Fleet'!$J$5:$J$36,INT(($B13/L$4))+1)+(($B13/L$4)-INT(($B13/L$4)))*(INDEX('D Fleet'!$J$5:$J$36,INT(($B13/L$4))+2)-INDEX('D Fleet'!$J$5:$J$36,INT(($B13/L$4))+1)),0)</f>
        <v/>
      </c>
      <c r="M13" s="276">
        <f>IFERROR(INDEX('D Fleet'!$C$5:$C$62,MATCH(M$3-$B13,'D Fleet'!$B$5:$B$62,0)),0)*IFERROR(INDEX('D Fleet'!$J$5:$J$36,INT(($B13/M$4))+1)+(($B13/M$4)-INT(($B13/M$4)))*(INDEX('D Fleet'!$J$5:$J$36,INT(($B13/M$4))+2)-INDEX('D Fleet'!$J$5:$J$36,INT(($B13/M$4))+1)),0)</f>
        <v/>
      </c>
      <c r="N13" s="276">
        <f>IFERROR(INDEX('D Fleet'!$C$5:$C$62,MATCH(N$3-$B13,'D Fleet'!$B$5:$B$62,0)),0)*IFERROR(INDEX('D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Fleet'!$C$5:$C$62,MATCH(E$3-$B14,'D Fleet'!$B$5:$B$62,0)),0)*IFERROR(INDEX('D Fleet'!$J$5:$J$36,INT(($B14/E$4))+1)+(($B14/E$4)-INT(($B14/E$4)))*(INDEX('D Fleet'!$J$5:$J$36,INT(($B14/E$4))+2)-INDEX('D Fleet'!$J$5:$J$36,INT(($B14/E$4))+1)),0)</f>
        <v/>
      </c>
      <c r="F14" s="276">
        <f>IFERROR(INDEX('D Fleet'!$C$5:$C$62,MATCH(F$3-$B14,'D Fleet'!$B$5:$B$62,0)),0)*IFERROR(INDEX('D Fleet'!$J$5:$J$36,INT(($B14/F$4))+1)+(($B14/F$4)-INT(($B14/F$4)))*(INDEX('D Fleet'!$J$5:$J$36,INT(($B14/F$4))+2)-INDEX('D Fleet'!$J$5:$J$36,INT(($B14/F$4))+1)),0)</f>
        <v/>
      </c>
      <c r="G14" s="276">
        <f>IFERROR(INDEX('D Fleet'!$C$5:$C$62,MATCH(G$3-$B14,'D Fleet'!$B$5:$B$62,0)),0)*IFERROR(INDEX('D Fleet'!$J$5:$J$36,INT(($B14/G$4))+1)+(($B14/G$4)-INT(($B14/G$4)))*(INDEX('D Fleet'!$J$5:$J$36,INT(($B14/G$4))+2)-INDEX('D Fleet'!$J$5:$J$36,INT(($B14/G$4))+1)),0)</f>
        <v/>
      </c>
      <c r="H14" s="276">
        <f>IFERROR(INDEX('D Fleet'!$C$5:$C$62,MATCH(H$3-$B14,'D Fleet'!$B$5:$B$62,0)),0)*IFERROR(INDEX('D Fleet'!$J$5:$J$36,INT(($B14/H$4))+1)+(($B14/H$4)-INT(($B14/H$4)))*(INDEX('D Fleet'!$J$5:$J$36,INT(($B14/H$4))+2)-INDEX('D Fleet'!$J$5:$J$36,INT(($B14/H$4))+1)),0)</f>
        <v/>
      </c>
      <c r="I14" s="276">
        <f>IFERROR(INDEX('D Fleet'!$C$5:$C$62,MATCH(I$3-$B14,'D Fleet'!$B$5:$B$62,0)),0)*IFERROR(INDEX('D Fleet'!$J$5:$J$36,INT(($B14/I$4))+1)+(($B14/I$4)-INT(($B14/I$4)))*(INDEX('D Fleet'!$J$5:$J$36,INT(($B14/I$4))+2)-INDEX('D Fleet'!$J$5:$J$36,INT(($B14/I$4))+1)),0)</f>
        <v/>
      </c>
      <c r="J14" s="276">
        <f>IFERROR(INDEX('D Fleet'!$C$5:$C$62,MATCH(J$3-$B14,'D Fleet'!$B$5:$B$62,0)),0)*IFERROR(INDEX('D Fleet'!$J$5:$J$36,INT(($B14/J$4))+1)+(($B14/J$4)-INT(($B14/J$4)))*(INDEX('D Fleet'!$J$5:$J$36,INT(($B14/J$4))+2)-INDEX('D Fleet'!$J$5:$J$36,INT(($B14/J$4))+1)),0)</f>
        <v/>
      </c>
      <c r="K14" s="276">
        <f>IFERROR(INDEX('D Fleet'!$C$5:$C$62,MATCH(K$3-$B14,'D Fleet'!$B$5:$B$62,0)),0)*IFERROR(INDEX('D Fleet'!$J$5:$J$36,INT(($B14/K$4))+1)+(($B14/K$4)-INT(($B14/K$4)))*(INDEX('D Fleet'!$J$5:$J$36,INT(($B14/K$4))+2)-INDEX('D Fleet'!$J$5:$J$36,INT(($B14/K$4))+1)),0)</f>
        <v/>
      </c>
      <c r="L14" s="276">
        <f>IFERROR(INDEX('D Fleet'!$C$5:$C$62,MATCH(L$3-$B14,'D Fleet'!$B$5:$B$62,0)),0)*IFERROR(INDEX('D Fleet'!$J$5:$J$36,INT(($B14/L$4))+1)+(($B14/L$4)-INT(($B14/L$4)))*(INDEX('D Fleet'!$J$5:$J$36,INT(($B14/L$4))+2)-INDEX('D Fleet'!$J$5:$J$36,INT(($B14/L$4))+1)),0)</f>
        <v/>
      </c>
      <c r="M14" s="276">
        <f>IFERROR(INDEX('D Fleet'!$C$5:$C$62,MATCH(M$3-$B14,'D Fleet'!$B$5:$B$62,0)),0)*IFERROR(INDEX('D Fleet'!$J$5:$J$36,INT(($B14/M$4))+1)+(($B14/M$4)-INT(($B14/M$4)))*(INDEX('D Fleet'!$J$5:$J$36,INT(($B14/M$4))+2)-INDEX('D Fleet'!$J$5:$J$36,INT(($B14/M$4))+1)),0)</f>
        <v/>
      </c>
      <c r="N14" s="276">
        <f>IFERROR(INDEX('D Fleet'!$C$5:$C$62,MATCH(N$3-$B14,'D Fleet'!$B$5:$B$62,0)),0)*IFERROR(INDEX('D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Fleet'!$C$5:$C$62,MATCH(E$3-$B15,'D Fleet'!$B$5:$B$62,0)),0)*IFERROR(INDEX('D Fleet'!$J$5:$J$36,INT(($B15/E$4))+1)+(($B15/E$4)-INT(($B15/E$4)))*(INDEX('D Fleet'!$J$5:$J$36,INT(($B15/E$4))+2)-INDEX('D Fleet'!$J$5:$J$36,INT(($B15/E$4))+1)),0)</f>
        <v/>
      </c>
      <c r="F15" s="276">
        <f>IFERROR(INDEX('D Fleet'!$C$5:$C$62,MATCH(F$3-$B15,'D Fleet'!$B$5:$B$62,0)),0)*IFERROR(INDEX('D Fleet'!$J$5:$J$36,INT(($B15/F$4))+1)+(($B15/F$4)-INT(($B15/F$4)))*(INDEX('D Fleet'!$J$5:$J$36,INT(($B15/F$4))+2)-INDEX('D Fleet'!$J$5:$J$36,INT(($B15/F$4))+1)),0)</f>
        <v/>
      </c>
      <c r="G15" s="276">
        <f>IFERROR(INDEX('D Fleet'!$C$5:$C$62,MATCH(G$3-$B15,'D Fleet'!$B$5:$B$62,0)),0)*IFERROR(INDEX('D Fleet'!$J$5:$J$36,INT(($B15/G$4))+1)+(($B15/G$4)-INT(($B15/G$4)))*(INDEX('D Fleet'!$J$5:$J$36,INT(($B15/G$4))+2)-INDEX('D Fleet'!$J$5:$J$36,INT(($B15/G$4))+1)),0)</f>
        <v/>
      </c>
      <c r="H15" s="276">
        <f>IFERROR(INDEX('D Fleet'!$C$5:$C$62,MATCH(H$3-$B15,'D Fleet'!$B$5:$B$62,0)),0)*IFERROR(INDEX('D Fleet'!$J$5:$J$36,INT(($B15/H$4))+1)+(($B15/H$4)-INT(($B15/H$4)))*(INDEX('D Fleet'!$J$5:$J$36,INT(($B15/H$4))+2)-INDEX('D Fleet'!$J$5:$J$36,INT(($B15/H$4))+1)),0)</f>
        <v/>
      </c>
      <c r="I15" s="276">
        <f>IFERROR(INDEX('D Fleet'!$C$5:$C$62,MATCH(I$3-$B15,'D Fleet'!$B$5:$B$62,0)),0)*IFERROR(INDEX('D Fleet'!$J$5:$J$36,INT(($B15/I$4))+1)+(($B15/I$4)-INT(($B15/I$4)))*(INDEX('D Fleet'!$J$5:$J$36,INT(($B15/I$4))+2)-INDEX('D Fleet'!$J$5:$J$36,INT(($B15/I$4))+1)),0)</f>
        <v/>
      </c>
      <c r="J15" s="276">
        <f>IFERROR(INDEX('D Fleet'!$C$5:$C$62,MATCH(J$3-$B15,'D Fleet'!$B$5:$B$62,0)),0)*IFERROR(INDEX('D Fleet'!$J$5:$J$36,INT(($B15/J$4))+1)+(($B15/J$4)-INT(($B15/J$4)))*(INDEX('D Fleet'!$J$5:$J$36,INT(($B15/J$4))+2)-INDEX('D Fleet'!$J$5:$J$36,INT(($B15/J$4))+1)),0)</f>
        <v/>
      </c>
      <c r="K15" s="276">
        <f>IFERROR(INDEX('D Fleet'!$C$5:$C$62,MATCH(K$3-$B15,'D Fleet'!$B$5:$B$62,0)),0)*IFERROR(INDEX('D Fleet'!$J$5:$J$36,INT(($B15/K$4))+1)+(($B15/K$4)-INT(($B15/K$4)))*(INDEX('D Fleet'!$J$5:$J$36,INT(($B15/K$4))+2)-INDEX('D Fleet'!$J$5:$J$36,INT(($B15/K$4))+1)),0)</f>
        <v/>
      </c>
      <c r="L15" s="276">
        <f>IFERROR(INDEX('D Fleet'!$C$5:$C$62,MATCH(L$3-$B15,'D Fleet'!$B$5:$B$62,0)),0)*IFERROR(INDEX('D Fleet'!$J$5:$J$36,INT(($B15/L$4))+1)+(($B15/L$4)-INT(($B15/L$4)))*(INDEX('D Fleet'!$J$5:$J$36,INT(($B15/L$4))+2)-INDEX('D Fleet'!$J$5:$J$36,INT(($B15/L$4))+1)),0)</f>
        <v/>
      </c>
      <c r="M15" s="276">
        <f>IFERROR(INDEX('D Fleet'!$C$5:$C$62,MATCH(M$3-$B15,'D Fleet'!$B$5:$B$62,0)),0)*IFERROR(INDEX('D Fleet'!$J$5:$J$36,INT(($B15/M$4))+1)+(($B15/M$4)-INT(($B15/M$4)))*(INDEX('D Fleet'!$J$5:$J$36,INT(($B15/M$4))+2)-INDEX('D Fleet'!$J$5:$J$36,INT(($B15/M$4))+1)),0)</f>
        <v/>
      </c>
      <c r="N15" s="276">
        <f>IFERROR(INDEX('D Fleet'!$C$5:$C$62,MATCH(N$3-$B15,'D Fleet'!$B$5:$B$62,0)),0)*IFERROR(INDEX('D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Fleet'!$C$5:$C$62,MATCH(E$3-$B16,'D Fleet'!$B$5:$B$62,0)),0)*IFERROR(INDEX('D Fleet'!$J$5:$J$36,INT(($B16/E$4))+1)+(($B16/E$4)-INT(($B16/E$4)))*(INDEX('D Fleet'!$J$5:$J$36,INT(($B16/E$4))+2)-INDEX('D Fleet'!$J$5:$J$36,INT(($B16/E$4))+1)),0)</f>
        <v/>
      </c>
      <c r="F16" s="276">
        <f>IFERROR(INDEX('D Fleet'!$C$5:$C$62,MATCH(F$3-$B16,'D Fleet'!$B$5:$B$62,0)),0)*IFERROR(INDEX('D Fleet'!$J$5:$J$36,INT(($B16/F$4))+1)+(($B16/F$4)-INT(($B16/F$4)))*(INDEX('D Fleet'!$J$5:$J$36,INT(($B16/F$4))+2)-INDEX('D Fleet'!$J$5:$J$36,INT(($B16/F$4))+1)),0)</f>
        <v/>
      </c>
      <c r="G16" s="276">
        <f>IFERROR(INDEX('D Fleet'!$C$5:$C$62,MATCH(G$3-$B16,'D Fleet'!$B$5:$B$62,0)),0)*IFERROR(INDEX('D Fleet'!$J$5:$J$36,INT(($B16/G$4))+1)+(($B16/G$4)-INT(($B16/G$4)))*(INDEX('D Fleet'!$J$5:$J$36,INT(($B16/G$4))+2)-INDEX('D Fleet'!$J$5:$J$36,INT(($B16/G$4))+1)),0)</f>
        <v/>
      </c>
      <c r="H16" s="276">
        <f>IFERROR(INDEX('D Fleet'!$C$5:$C$62,MATCH(H$3-$B16,'D Fleet'!$B$5:$B$62,0)),0)*IFERROR(INDEX('D Fleet'!$J$5:$J$36,INT(($B16/H$4))+1)+(($B16/H$4)-INT(($B16/H$4)))*(INDEX('D Fleet'!$J$5:$J$36,INT(($B16/H$4))+2)-INDEX('D Fleet'!$J$5:$J$36,INT(($B16/H$4))+1)),0)</f>
        <v/>
      </c>
      <c r="I16" s="276">
        <f>IFERROR(INDEX('D Fleet'!$C$5:$C$62,MATCH(I$3-$B16,'D Fleet'!$B$5:$B$62,0)),0)*IFERROR(INDEX('D Fleet'!$J$5:$J$36,INT(($B16/I$4))+1)+(($B16/I$4)-INT(($B16/I$4)))*(INDEX('D Fleet'!$J$5:$J$36,INT(($B16/I$4))+2)-INDEX('D Fleet'!$J$5:$J$36,INT(($B16/I$4))+1)),0)</f>
        <v/>
      </c>
      <c r="J16" s="276">
        <f>IFERROR(INDEX('D Fleet'!$C$5:$C$62,MATCH(J$3-$B16,'D Fleet'!$B$5:$B$62,0)),0)*IFERROR(INDEX('D Fleet'!$J$5:$J$36,INT(($B16/J$4))+1)+(($B16/J$4)-INT(($B16/J$4)))*(INDEX('D Fleet'!$J$5:$J$36,INT(($B16/J$4))+2)-INDEX('D Fleet'!$J$5:$J$36,INT(($B16/J$4))+1)),0)</f>
        <v/>
      </c>
      <c r="K16" s="276">
        <f>IFERROR(INDEX('D Fleet'!$C$5:$C$62,MATCH(K$3-$B16,'D Fleet'!$B$5:$B$62,0)),0)*IFERROR(INDEX('D Fleet'!$J$5:$J$36,INT(($B16/K$4))+1)+(($B16/K$4)-INT(($B16/K$4)))*(INDEX('D Fleet'!$J$5:$J$36,INT(($B16/K$4))+2)-INDEX('D Fleet'!$J$5:$J$36,INT(($B16/K$4))+1)),0)</f>
        <v/>
      </c>
      <c r="L16" s="276">
        <f>IFERROR(INDEX('D Fleet'!$C$5:$C$62,MATCH(L$3-$B16,'D Fleet'!$B$5:$B$62,0)),0)*IFERROR(INDEX('D Fleet'!$J$5:$J$36,INT(($B16/L$4))+1)+(($B16/L$4)-INT(($B16/L$4)))*(INDEX('D Fleet'!$J$5:$J$36,INT(($B16/L$4))+2)-INDEX('D Fleet'!$J$5:$J$36,INT(($B16/L$4))+1)),0)</f>
        <v/>
      </c>
      <c r="M16" s="276">
        <f>IFERROR(INDEX('D Fleet'!$C$5:$C$62,MATCH(M$3-$B16,'D Fleet'!$B$5:$B$62,0)),0)*IFERROR(INDEX('D Fleet'!$J$5:$J$36,INT(($B16/M$4))+1)+(($B16/M$4)-INT(($B16/M$4)))*(INDEX('D Fleet'!$J$5:$J$36,INT(($B16/M$4))+2)-INDEX('D Fleet'!$J$5:$J$36,INT(($B16/M$4))+1)),0)</f>
        <v/>
      </c>
      <c r="N16" s="276">
        <f>IFERROR(INDEX('D Fleet'!$C$5:$C$62,MATCH(N$3-$B16,'D Fleet'!$B$5:$B$62,0)),0)*IFERROR(INDEX('D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Fleet'!$C$5:$C$62,MATCH(E$3-$B17,'D Fleet'!$B$5:$B$62,0)),0)*IFERROR(INDEX('D Fleet'!$J$5:$J$36,INT(($B17/E$4))+1)+(($B17/E$4)-INT(($B17/E$4)))*(INDEX('D Fleet'!$J$5:$J$36,INT(($B17/E$4))+2)-INDEX('D Fleet'!$J$5:$J$36,INT(($B17/E$4))+1)),0)</f>
        <v/>
      </c>
      <c r="F17" s="276">
        <f>IFERROR(INDEX('D Fleet'!$C$5:$C$62,MATCH(F$3-$B17,'D Fleet'!$B$5:$B$62,0)),0)*IFERROR(INDEX('D Fleet'!$J$5:$J$36,INT(($B17/F$4))+1)+(($B17/F$4)-INT(($B17/F$4)))*(INDEX('D Fleet'!$J$5:$J$36,INT(($B17/F$4))+2)-INDEX('D Fleet'!$J$5:$J$36,INT(($B17/F$4))+1)),0)</f>
        <v/>
      </c>
      <c r="G17" s="276">
        <f>IFERROR(INDEX('D Fleet'!$C$5:$C$62,MATCH(G$3-$B17,'D Fleet'!$B$5:$B$62,0)),0)*IFERROR(INDEX('D Fleet'!$J$5:$J$36,INT(($B17/G$4))+1)+(($B17/G$4)-INT(($B17/G$4)))*(INDEX('D Fleet'!$J$5:$J$36,INT(($B17/G$4))+2)-INDEX('D Fleet'!$J$5:$J$36,INT(($B17/G$4))+1)),0)</f>
        <v/>
      </c>
      <c r="H17" s="276">
        <f>IFERROR(INDEX('D Fleet'!$C$5:$C$62,MATCH(H$3-$B17,'D Fleet'!$B$5:$B$62,0)),0)*IFERROR(INDEX('D Fleet'!$J$5:$J$36,INT(($B17/H$4))+1)+(($B17/H$4)-INT(($B17/H$4)))*(INDEX('D Fleet'!$J$5:$J$36,INT(($B17/H$4))+2)-INDEX('D Fleet'!$J$5:$J$36,INT(($B17/H$4))+1)),0)</f>
        <v/>
      </c>
      <c r="I17" s="276">
        <f>IFERROR(INDEX('D Fleet'!$C$5:$C$62,MATCH(I$3-$B17,'D Fleet'!$B$5:$B$62,0)),0)*IFERROR(INDEX('D Fleet'!$J$5:$J$36,INT(($B17/I$4))+1)+(($B17/I$4)-INT(($B17/I$4)))*(INDEX('D Fleet'!$J$5:$J$36,INT(($B17/I$4))+2)-INDEX('D Fleet'!$J$5:$J$36,INT(($B17/I$4))+1)),0)</f>
        <v/>
      </c>
      <c r="J17" s="276">
        <f>IFERROR(INDEX('D Fleet'!$C$5:$C$62,MATCH(J$3-$B17,'D Fleet'!$B$5:$B$62,0)),0)*IFERROR(INDEX('D Fleet'!$J$5:$J$36,INT(($B17/J$4))+1)+(($B17/J$4)-INT(($B17/J$4)))*(INDEX('D Fleet'!$J$5:$J$36,INT(($B17/J$4))+2)-INDEX('D Fleet'!$J$5:$J$36,INT(($B17/J$4))+1)),0)</f>
        <v/>
      </c>
      <c r="K17" s="276">
        <f>IFERROR(INDEX('D Fleet'!$C$5:$C$62,MATCH(K$3-$B17,'D Fleet'!$B$5:$B$62,0)),0)*IFERROR(INDEX('D Fleet'!$J$5:$J$36,INT(($B17/K$4))+1)+(($B17/K$4)-INT(($B17/K$4)))*(INDEX('D Fleet'!$J$5:$J$36,INT(($B17/K$4))+2)-INDEX('D Fleet'!$J$5:$J$36,INT(($B17/K$4))+1)),0)</f>
        <v/>
      </c>
      <c r="L17" s="276">
        <f>IFERROR(INDEX('D Fleet'!$C$5:$C$62,MATCH(L$3-$B17,'D Fleet'!$B$5:$B$62,0)),0)*IFERROR(INDEX('D Fleet'!$J$5:$J$36,INT(($B17/L$4))+1)+(($B17/L$4)-INT(($B17/L$4)))*(INDEX('D Fleet'!$J$5:$J$36,INT(($B17/L$4))+2)-INDEX('D Fleet'!$J$5:$J$36,INT(($B17/L$4))+1)),0)</f>
        <v/>
      </c>
      <c r="M17" s="276">
        <f>IFERROR(INDEX('D Fleet'!$C$5:$C$62,MATCH(M$3-$B17,'D Fleet'!$B$5:$B$62,0)),0)*IFERROR(INDEX('D Fleet'!$J$5:$J$36,INT(($B17/M$4))+1)+(($B17/M$4)-INT(($B17/M$4)))*(INDEX('D Fleet'!$J$5:$J$36,INT(($B17/M$4))+2)-INDEX('D Fleet'!$J$5:$J$36,INT(($B17/M$4))+1)),0)</f>
        <v/>
      </c>
      <c r="N17" s="276">
        <f>IFERROR(INDEX('D Fleet'!$C$5:$C$62,MATCH(N$3-$B17,'D Fleet'!$B$5:$B$62,0)),0)*IFERROR(INDEX('D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Fleet'!$C$5:$C$62,MATCH(E$3-$B18,'D Fleet'!$B$5:$B$62,0)),0)*IFERROR(INDEX('D Fleet'!$J$5:$J$36,INT(($B18/E$4))+1)+(($B18/E$4)-INT(($B18/E$4)))*(INDEX('D Fleet'!$J$5:$J$36,INT(($B18/E$4))+2)-INDEX('D Fleet'!$J$5:$J$36,INT(($B18/E$4))+1)),0)</f>
        <v/>
      </c>
      <c r="F18" s="276">
        <f>IFERROR(INDEX('D Fleet'!$C$5:$C$62,MATCH(F$3-$B18,'D Fleet'!$B$5:$B$62,0)),0)*IFERROR(INDEX('D Fleet'!$J$5:$J$36,INT(($B18/F$4))+1)+(($B18/F$4)-INT(($B18/F$4)))*(INDEX('D Fleet'!$J$5:$J$36,INT(($B18/F$4))+2)-INDEX('D Fleet'!$J$5:$J$36,INT(($B18/F$4))+1)),0)</f>
        <v/>
      </c>
      <c r="G18" s="276">
        <f>IFERROR(INDEX('D Fleet'!$C$5:$C$62,MATCH(G$3-$B18,'D Fleet'!$B$5:$B$62,0)),0)*IFERROR(INDEX('D Fleet'!$J$5:$J$36,INT(($B18/G$4))+1)+(($B18/G$4)-INT(($B18/G$4)))*(INDEX('D Fleet'!$J$5:$J$36,INT(($B18/G$4))+2)-INDEX('D Fleet'!$J$5:$J$36,INT(($B18/G$4))+1)),0)</f>
        <v/>
      </c>
      <c r="H18" s="276">
        <f>IFERROR(INDEX('D Fleet'!$C$5:$C$62,MATCH(H$3-$B18,'D Fleet'!$B$5:$B$62,0)),0)*IFERROR(INDEX('D Fleet'!$J$5:$J$36,INT(($B18/H$4))+1)+(($B18/H$4)-INT(($B18/H$4)))*(INDEX('D Fleet'!$J$5:$J$36,INT(($B18/H$4))+2)-INDEX('D Fleet'!$J$5:$J$36,INT(($B18/H$4))+1)),0)</f>
        <v/>
      </c>
      <c r="I18" s="276">
        <f>IFERROR(INDEX('D Fleet'!$C$5:$C$62,MATCH(I$3-$B18,'D Fleet'!$B$5:$B$62,0)),0)*IFERROR(INDEX('D Fleet'!$J$5:$J$36,INT(($B18/I$4))+1)+(($B18/I$4)-INT(($B18/I$4)))*(INDEX('D Fleet'!$J$5:$J$36,INT(($B18/I$4))+2)-INDEX('D Fleet'!$J$5:$J$36,INT(($B18/I$4))+1)),0)</f>
        <v/>
      </c>
      <c r="J18" s="276">
        <f>IFERROR(INDEX('D Fleet'!$C$5:$C$62,MATCH(J$3-$B18,'D Fleet'!$B$5:$B$62,0)),0)*IFERROR(INDEX('D Fleet'!$J$5:$J$36,INT(($B18/J$4))+1)+(($B18/J$4)-INT(($B18/J$4)))*(INDEX('D Fleet'!$J$5:$J$36,INT(($B18/J$4))+2)-INDEX('D Fleet'!$J$5:$J$36,INT(($B18/J$4))+1)),0)</f>
        <v/>
      </c>
      <c r="K18" s="276">
        <f>IFERROR(INDEX('D Fleet'!$C$5:$C$62,MATCH(K$3-$B18,'D Fleet'!$B$5:$B$62,0)),0)*IFERROR(INDEX('D Fleet'!$J$5:$J$36,INT(($B18/K$4))+1)+(($B18/K$4)-INT(($B18/K$4)))*(INDEX('D Fleet'!$J$5:$J$36,INT(($B18/K$4))+2)-INDEX('D Fleet'!$J$5:$J$36,INT(($B18/K$4))+1)),0)</f>
        <v/>
      </c>
      <c r="L18" s="276">
        <f>IFERROR(INDEX('D Fleet'!$C$5:$C$62,MATCH(L$3-$B18,'D Fleet'!$B$5:$B$62,0)),0)*IFERROR(INDEX('D Fleet'!$J$5:$J$36,INT(($B18/L$4))+1)+(($B18/L$4)-INT(($B18/L$4)))*(INDEX('D Fleet'!$J$5:$J$36,INT(($B18/L$4))+2)-INDEX('D Fleet'!$J$5:$J$36,INT(($B18/L$4))+1)),0)</f>
        <v/>
      </c>
      <c r="M18" s="276">
        <f>IFERROR(INDEX('D Fleet'!$C$5:$C$62,MATCH(M$3-$B18,'D Fleet'!$B$5:$B$62,0)),0)*IFERROR(INDEX('D Fleet'!$J$5:$J$36,INT(($B18/M$4))+1)+(($B18/M$4)-INT(($B18/M$4)))*(INDEX('D Fleet'!$J$5:$J$36,INT(($B18/M$4))+2)-INDEX('D Fleet'!$J$5:$J$36,INT(($B18/M$4))+1)),0)</f>
        <v/>
      </c>
      <c r="N18" s="276">
        <f>IFERROR(INDEX('D Fleet'!$C$5:$C$62,MATCH(N$3-$B18,'D Fleet'!$B$5:$B$62,0)),0)*IFERROR(INDEX('D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Fleet'!$C$5:$C$62,MATCH(E$3-$B19,'D Fleet'!$B$5:$B$62,0)),0)*IFERROR(INDEX('D Fleet'!$J$5:$J$36,INT(($B19/E$4))+1)+(($B19/E$4)-INT(($B19/E$4)))*(INDEX('D Fleet'!$J$5:$J$36,INT(($B19/E$4))+2)-INDEX('D Fleet'!$J$5:$J$36,INT(($B19/E$4))+1)),0)</f>
        <v/>
      </c>
      <c r="F19" s="276">
        <f>IFERROR(INDEX('D Fleet'!$C$5:$C$62,MATCH(F$3-$B19,'D Fleet'!$B$5:$B$62,0)),0)*IFERROR(INDEX('D Fleet'!$J$5:$J$36,INT(($B19/F$4))+1)+(($B19/F$4)-INT(($B19/F$4)))*(INDEX('D Fleet'!$J$5:$J$36,INT(($B19/F$4))+2)-INDEX('D Fleet'!$J$5:$J$36,INT(($B19/F$4))+1)),0)</f>
        <v/>
      </c>
      <c r="G19" s="276">
        <f>IFERROR(INDEX('D Fleet'!$C$5:$C$62,MATCH(G$3-$B19,'D Fleet'!$B$5:$B$62,0)),0)*IFERROR(INDEX('D Fleet'!$J$5:$J$36,INT(($B19/G$4))+1)+(($B19/G$4)-INT(($B19/G$4)))*(INDEX('D Fleet'!$J$5:$J$36,INT(($B19/G$4))+2)-INDEX('D Fleet'!$J$5:$J$36,INT(($B19/G$4))+1)),0)</f>
        <v/>
      </c>
      <c r="H19" s="276">
        <f>IFERROR(INDEX('D Fleet'!$C$5:$C$62,MATCH(H$3-$B19,'D Fleet'!$B$5:$B$62,0)),0)*IFERROR(INDEX('D Fleet'!$J$5:$J$36,INT(($B19/H$4))+1)+(($B19/H$4)-INT(($B19/H$4)))*(INDEX('D Fleet'!$J$5:$J$36,INT(($B19/H$4))+2)-INDEX('D Fleet'!$J$5:$J$36,INT(($B19/H$4))+1)),0)</f>
        <v/>
      </c>
      <c r="I19" s="276">
        <f>IFERROR(INDEX('D Fleet'!$C$5:$C$62,MATCH(I$3-$B19,'D Fleet'!$B$5:$B$62,0)),0)*IFERROR(INDEX('D Fleet'!$J$5:$J$36,INT(($B19/I$4))+1)+(($B19/I$4)-INT(($B19/I$4)))*(INDEX('D Fleet'!$J$5:$J$36,INT(($B19/I$4))+2)-INDEX('D Fleet'!$J$5:$J$36,INT(($B19/I$4))+1)),0)</f>
        <v/>
      </c>
      <c r="J19" s="276">
        <f>IFERROR(INDEX('D Fleet'!$C$5:$C$62,MATCH(J$3-$B19,'D Fleet'!$B$5:$B$62,0)),0)*IFERROR(INDEX('D Fleet'!$J$5:$J$36,INT(($B19/J$4))+1)+(($B19/J$4)-INT(($B19/J$4)))*(INDEX('D Fleet'!$J$5:$J$36,INT(($B19/J$4))+2)-INDEX('D Fleet'!$J$5:$J$36,INT(($B19/J$4))+1)),0)</f>
        <v/>
      </c>
      <c r="K19" s="276">
        <f>IFERROR(INDEX('D Fleet'!$C$5:$C$62,MATCH(K$3-$B19,'D Fleet'!$B$5:$B$62,0)),0)*IFERROR(INDEX('D Fleet'!$J$5:$J$36,INT(($B19/K$4))+1)+(($B19/K$4)-INT(($B19/K$4)))*(INDEX('D Fleet'!$J$5:$J$36,INT(($B19/K$4))+2)-INDEX('D Fleet'!$J$5:$J$36,INT(($B19/K$4))+1)),0)</f>
        <v/>
      </c>
      <c r="L19" s="276">
        <f>IFERROR(INDEX('D Fleet'!$C$5:$C$62,MATCH(L$3-$B19,'D Fleet'!$B$5:$B$62,0)),0)*IFERROR(INDEX('D Fleet'!$J$5:$J$36,INT(($B19/L$4))+1)+(($B19/L$4)-INT(($B19/L$4)))*(INDEX('D Fleet'!$J$5:$J$36,INT(($B19/L$4))+2)-INDEX('D Fleet'!$J$5:$J$36,INT(($B19/L$4))+1)),0)</f>
        <v/>
      </c>
      <c r="M19" s="276">
        <f>IFERROR(INDEX('D Fleet'!$C$5:$C$62,MATCH(M$3-$B19,'D Fleet'!$B$5:$B$62,0)),0)*IFERROR(INDEX('D Fleet'!$J$5:$J$36,INT(($B19/M$4))+1)+(($B19/M$4)-INT(($B19/M$4)))*(INDEX('D Fleet'!$J$5:$J$36,INT(($B19/M$4))+2)-INDEX('D Fleet'!$J$5:$J$36,INT(($B19/M$4))+1)),0)</f>
        <v/>
      </c>
      <c r="N19" s="276">
        <f>IFERROR(INDEX('D Fleet'!$C$5:$C$62,MATCH(N$3-$B19,'D Fleet'!$B$5:$B$62,0)),0)*IFERROR(INDEX('D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Fleet'!$C$5:$C$62,MATCH(E$3-$B20,'D Fleet'!$B$5:$B$62,0)),0)*IFERROR(INDEX('D Fleet'!$J$5:$J$36,INT(($B20/E$4))+1)+(($B20/E$4)-INT(($B20/E$4)))*(INDEX('D Fleet'!$J$5:$J$36,INT(($B20/E$4))+2)-INDEX('D Fleet'!$J$5:$J$36,INT(($B20/E$4))+1)),0)</f>
        <v/>
      </c>
      <c r="F20" s="276">
        <f>IFERROR(INDEX('D Fleet'!$C$5:$C$62,MATCH(F$3-$B20,'D Fleet'!$B$5:$B$62,0)),0)*IFERROR(INDEX('D Fleet'!$J$5:$J$36,INT(($B20/F$4))+1)+(($B20/F$4)-INT(($B20/F$4)))*(INDEX('D Fleet'!$J$5:$J$36,INT(($B20/F$4))+2)-INDEX('D Fleet'!$J$5:$J$36,INT(($B20/F$4))+1)),0)</f>
        <v/>
      </c>
      <c r="G20" s="276">
        <f>IFERROR(INDEX('D Fleet'!$C$5:$C$62,MATCH(G$3-$B20,'D Fleet'!$B$5:$B$62,0)),0)*IFERROR(INDEX('D Fleet'!$J$5:$J$36,INT(($B20/G$4))+1)+(($B20/G$4)-INT(($B20/G$4)))*(INDEX('D Fleet'!$J$5:$J$36,INT(($B20/G$4))+2)-INDEX('D Fleet'!$J$5:$J$36,INT(($B20/G$4))+1)),0)</f>
        <v/>
      </c>
      <c r="H20" s="276">
        <f>IFERROR(INDEX('D Fleet'!$C$5:$C$62,MATCH(H$3-$B20,'D Fleet'!$B$5:$B$62,0)),0)*IFERROR(INDEX('D Fleet'!$J$5:$J$36,INT(($B20/H$4))+1)+(($B20/H$4)-INT(($B20/H$4)))*(INDEX('D Fleet'!$J$5:$J$36,INT(($B20/H$4))+2)-INDEX('D Fleet'!$J$5:$J$36,INT(($B20/H$4))+1)),0)</f>
        <v/>
      </c>
      <c r="I20" s="276">
        <f>IFERROR(INDEX('D Fleet'!$C$5:$C$62,MATCH(I$3-$B20,'D Fleet'!$B$5:$B$62,0)),0)*IFERROR(INDEX('D Fleet'!$J$5:$J$36,INT(($B20/I$4))+1)+(($B20/I$4)-INT(($B20/I$4)))*(INDEX('D Fleet'!$J$5:$J$36,INT(($B20/I$4))+2)-INDEX('D Fleet'!$J$5:$J$36,INT(($B20/I$4))+1)),0)</f>
        <v/>
      </c>
      <c r="J20" s="276">
        <f>IFERROR(INDEX('D Fleet'!$C$5:$C$62,MATCH(J$3-$B20,'D Fleet'!$B$5:$B$62,0)),0)*IFERROR(INDEX('D Fleet'!$J$5:$J$36,INT(($B20/J$4))+1)+(($B20/J$4)-INT(($B20/J$4)))*(INDEX('D Fleet'!$J$5:$J$36,INT(($B20/J$4))+2)-INDEX('D Fleet'!$J$5:$J$36,INT(($B20/J$4))+1)),0)</f>
        <v/>
      </c>
      <c r="K20" s="276">
        <f>IFERROR(INDEX('D Fleet'!$C$5:$C$62,MATCH(K$3-$B20,'D Fleet'!$B$5:$B$62,0)),0)*IFERROR(INDEX('D Fleet'!$J$5:$J$36,INT(($B20/K$4))+1)+(($B20/K$4)-INT(($B20/K$4)))*(INDEX('D Fleet'!$J$5:$J$36,INT(($B20/K$4))+2)-INDEX('D Fleet'!$J$5:$J$36,INT(($B20/K$4))+1)),0)</f>
        <v/>
      </c>
      <c r="L20" s="276">
        <f>IFERROR(INDEX('D Fleet'!$C$5:$C$62,MATCH(L$3-$B20,'D Fleet'!$B$5:$B$62,0)),0)*IFERROR(INDEX('D Fleet'!$J$5:$J$36,INT(($B20/L$4))+1)+(($B20/L$4)-INT(($B20/L$4)))*(INDEX('D Fleet'!$J$5:$J$36,INT(($B20/L$4))+2)-INDEX('D Fleet'!$J$5:$J$36,INT(($B20/L$4))+1)),0)</f>
        <v/>
      </c>
      <c r="M20" s="276">
        <f>IFERROR(INDEX('D Fleet'!$C$5:$C$62,MATCH(M$3-$B20,'D Fleet'!$B$5:$B$62,0)),0)*IFERROR(INDEX('D Fleet'!$J$5:$J$36,INT(($B20/M$4))+1)+(($B20/M$4)-INT(($B20/M$4)))*(INDEX('D Fleet'!$J$5:$J$36,INT(($B20/M$4))+2)-INDEX('D Fleet'!$J$5:$J$36,INT(($B20/M$4))+1)),0)</f>
        <v/>
      </c>
      <c r="N20" s="276">
        <f>IFERROR(INDEX('D Fleet'!$C$5:$C$62,MATCH(N$3-$B20,'D Fleet'!$B$5:$B$62,0)),0)*IFERROR(INDEX('D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Fleet'!$C$5:$C$62,MATCH(E$3-$B21,'D Fleet'!$B$5:$B$62,0)),0)*IFERROR(INDEX('D Fleet'!$J$5:$J$36,INT(($B21/E$4))+1)+(($B21/E$4)-INT(($B21/E$4)))*(INDEX('D Fleet'!$J$5:$J$36,INT(($B21/E$4))+2)-INDEX('D Fleet'!$J$5:$J$36,INT(($B21/E$4))+1)),0)</f>
        <v/>
      </c>
      <c r="F21" s="276">
        <f>IFERROR(INDEX('D Fleet'!$C$5:$C$62,MATCH(F$3-$B21,'D Fleet'!$B$5:$B$62,0)),0)*IFERROR(INDEX('D Fleet'!$J$5:$J$36,INT(($B21/F$4))+1)+(($B21/F$4)-INT(($B21/F$4)))*(INDEX('D Fleet'!$J$5:$J$36,INT(($B21/F$4))+2)-INDEX('D Fleet'!$J$5:$J$36,INT(($B21/F$4))+1)),0)</f>
        <v/>
      </c>
      <c r="G21" s="276">
        <f>IFERROR(INDEX('D Fleet'!$C$5:$C$62,MATCH(G$3-$B21,'D Fleet'!$B$5:$B$62,0)),0)*IFERROR(INDEX('D Fleet'!$J$5:$J$36,INT(($B21/G$4))+1)+(($B21/G$4)-INT(($B21/G$4)))*(INDEX('D Fleet'!$J$5:$J$36,INT(($B21/G$4))+2)-INDEX('D Fleet'!$J$5:$J$36,INT(($B21/G$4))+1)),0)</f>
        <v/>
      </c>
      <c r="H21" s="276">
        <f>IFERROR(INDEX('D Fleet'!$C$5:$C$62,MATCH(H$3-$B21,'D Fleet'!$B$5:$B$62,0)),0)*IFERROR(INDEX('D Fleet'!$J$5:$J$36,INT(($B21/H$4))+1)+(($B21/H$4)-INT(($B21/H$4)))*(INDEX('D Fleet'!$J$5:$J$36,INT(($B21/H$4))+2)-INDEX('D Fleet'!$J$5:$J$36,INT(($B21/H$4))+1)),0)</f>
        <v/>
      </c>
      <c r="I21" s="276">
        <f>IFERROR(INDEX('D Fleet'!$C$5:$C$62,MATCH(I$3-$B21,'D Fleet'!$B$5:$B$62,0)),0)*IFERROR(INDEX('D Fleet'!$J$5:$J$36,INT(($B21/I$4))+1)+(($B21/I$4)-INT(($B21/I$4)))*(INDEX('D Fleet'!$J$5:$J$36,INT(($B21/I$4))+2)-INDEX('D Fleet'!$J$5:$J$36,INT(($B21/I$4))+1)),0)</f>
        <v/>
      </c>
      <c r="J21" s="276">
        <f>IFERROR(INDEX('D Fleet'!$C$5:$C$62,MATCH(J$3-$B21,'D Fleet'!$B$5:$B$62,0)),0)*IFERROR(INDEX('D Fleet'!$J$5:$J$36,INT(($B21/J$4))+1)+(($B21/J$4)-INT(($B21/J$4)))*(INDEX('D Fleet'!$J$5:$J$36,INT(($B21/J$4))+2)-INDEX('D Fleet'!$J$5:$J$36,INT(($B21/J$4))+1)),0)</f>
        <v/>
      </c>
      <c r="K21" s="276">
        <f>IFERROR(INDEX('D Fleet'!$C$5:$C$62,MATCH(K$3-$B21,'D Fleet'!$B$5:$B$62,0)),0)*IFERROR(INDEX('D Fleet'!$J$5:$J$36,INT(($B21/K$4))+1)+(($B21/K$4)-INT(($B21/K$4)))*(INDEX('D Fleet'!$J$5:$J$36,INT(($B21/K$4))+2)-INDEX('D Fleet'!$J$5:$J$36,INT(($B21/K$4))+1)),0)</f>
        <v/>
      </c>
      <c r="L21" s="276">
        <f>IFERROR(INDEX('D Fleet'!$C$5:$C$62,MATCH(L$3-$B21,'D Fleet'!$B$5:$B$62,0)),0)*IFERROR(INDEX('D Fleet'!$J$5:$J$36,INT(($B21/L$4))+1)+(($B21/L$4)-INT(($B21/L$4)))*(INDEX('D Fleet'!$J$5:$J$36,INT(($B21/L$4))+2)-INDEX('D Fleet'!$J$5:$J$36,INT(($B21/L$4))+1)),0)</f>
        <v/>
      </c>
      <c r="M21" s="276">
        <f>IFERROR(INDEX('D Fleet'!$C$5:$C$62,MATCH(M$3-$B21,'D Fleet'!$B$5:$B$62,0)),0)*IFERROR(INDEX('D Fleet'!$J$5:$J$36,INT(($B21/M$4))+1)+(($B21/M$4)-INT(($B21/M$4)))*(INDEX('D Fleet'!$J$5:$J$36,INT(($B21/M$4))+2)-INDEX('D Fleet'!$J$5:$J$36,INT(($B21/M$4))+1)),0)</f>
        <v/>
      </c>
      <c r="N21" s="276">
        <f>IFERROR(INDEX('D Fleet'!$C$5:$C$62,MATCH(N$3-$B21,'D Fleet'!$B$5:$B$62,0)),0)*IFERROR(INDEX('D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Fleet'!$C$5:$C$62,MATCH(E$3-$B22,'D Fleet'!$B$5:$B$62,0)),0)*IFERROR(INDEX('D Fleet'!$J$5:$J$36,INT(($B22/E$4))+1)+(($B22/E$4)-INT(($B22/E$4)))*(INDEX('D Fleet'!$J$5:$J$36,INT(($B22/E$4))+2)-INDEX('D Fleet'!$J$5:$J$36,INT(($B22/E$4))+1)),0)</f>
        <v/>
      </c>
      <c r="F22" s="276">
        <f>IFERROR(INDEX('D Fleet'!$C$5:$C$62,MATCH(F$3-$B22,'D Fleet'!$B$5:$B$62,0)),0)*IFERROR(INDEX('D Fleet'!$J$5:$J$36,INT(($B22/F$4))+1)+(($B22/F$4)-INT(($B22/F$4)))*(INDEX('D Fleet'!$J$5:$J$36,INT(($B22/F$4))+2)-INDEX('D Fleet'!$J$5:$J$36,INT(($B22/F$4))+1)),0)</f>
        <v/>
      </c>
      <c r="G22" s="276">
        <f>IFERROR(INDEX('D Fleet'!$C$5:$C$62,MATCH(G$3-$B22,'D Fleet'!$B$5:$B$62,0)),0)*IFERROR(INDEX('D Fleet'!$J$5:$J$36,INT(($B22/G$4))+1)+(($B22/G$4)-INT(($B22/G$4)))*(INDEX('D Fleet'!$J$5:$J$36,INT(($B22/G$4))+2)-INDEX('D Fleet'!$J$5:$J$36,INT(($B22/G$4))+1)),0)</f>
        <v/>
      </c>
      <c r="H22" s="276">
        <f>IFERROR(INDEX('D Fleet'!$C$5:$C$62,MATCH(H$3-$B22,'D Fleet'!$B$5:$B$62,0)),0)*IFERROR(INDEX('D Fleet'!$J$5:$J$36,INT(($B22/H$4))+1)+(($B22/H$4)-INT(($B22/H$4)))*(INDEX('D Fleet'!$J$5:$J$36,INT(($B22/H$4))+2)-INDEX('D Fleet'!$J$5:$J$36,INT(($B22/H$4))+1)),0)</f>
        <v/>
      </c>
      <c r="I22" s="276">
        <f>IFERROR(INDEX('D Fleet'!$C$5:$C$62,MATCH(I$3-$B22,'D Fleet'!$B$5:$B$62,0)),0)*IFERROR(INDEX('D Fleet'!$J$5:$J$36,INT(($B22/I$4))+1)+(($B22/I$4)-INT(($B22/I$4)))*(INDEX('D Fleet'!$J$5:$J$36,INT(($B22/I$4))+2)-INDEX('D Fleet'!$J$5:$J$36,INT(($B22/I$4))+1)),0)</f>
        <v/>
      </c>
      <c r="J22" s="276">
        <f>IFERROR(INDEX('D Fleet'!$C$5:$C$62,MATCH(J$3-$B22,'D Fleet'!$B$5:$B$62,0)),0)*IFERROR(INDEX('D Fleet'!$J$5:$J$36,INT(($B22/J$4))+1)+(($B22/J$4)-INT(($B22/J$4)))*(INDEX('D Fleet'!$J$5:$J$36,INT(($B22/J$4))+2)-INDEX('D Fleet'!$J$5:$J$36,INT(($B22/J$4))+1)),0)</f>
        <v/>
      </c>
      <c r="K22" s="276">
        <f>IFERROR(INDEX('D Fleet'!$C$5:$C$62,MATCH(K$3-$B22,'D Fleet'!$B$5:$B$62,0)),0)*IFERROR(INDEX('D Fleet'!$J$5:$J$36,INT(($B22/K$4))+1)+(($B22/K$4)-INT(($B22/K$4)))*(INDEX('D Fleet'!$J$5:$J$36,INT(($B22/K$4))+2)-INDEX('D Fleet'!$J$5:$J$36,INT(($B22/K$4))+1)),0)</f>
        <v/>
      </c>
      <c r="L22" s="276">
        <f>IFERROR(INDEX('D Fleet'!$C$5:$C$62,MATCH(L$3-$B22,'D Fleet'!$B$5:$B$62,0)),0)*IFERROR(INDEX('D Fleet'!$J$5:$J$36,INT(($B22/L$4))+1)+(($B22/L$4)-INT(($B22/L$4)))*(INDEX('D Fleet'!$J$5:$J$36,INT(($B22/L$4))+2)-INDEX('D Fleet'!$J$5:$J$36,INT(($B22/L$4))+1)),0)</f>
        <v/>
      </c>
      <c r="M22" s="276">
        <f>IFERROR(INDEX('D Fleet'!$C$5:$C$62,MATCH(M$3-$B22,'D Fleet'!$B$5:$B$62,0)),0)*IFERROR(INDEX('D Fleet'!$J$5:$J$36,INT(($B22/M$4))+1)+(($B22/M$4)-INT(($B22/M$4)))*(INDEX('D Fleet'!$J$5:$J$36,INT(($B22/M$4))+2)-INDEX('D Fleet'!$J$5:$J$36,INT(($B22/M$4))+1)),0)</f>
        <v/>
      </c>
      <c r="N22" s="276">
        <f>IFERROR(INDEX('D Fleet'!$C$5:$C$62,MATCH(N$3-$B22,'D Fleet'!$B$5:$B$62,0)),0)*IFERROR(INDEX('D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Fleet'!$C$5:$C$62,MATCH(E$3-$B23,'D Fleet'!$B$5:$B$62,0)),0)*IFERROR(INDEX('D Fleet'!$J$5:$J$36,INT(($B23/E$4))+1)+(($B23/E$4)-INT(($B23/E$4)))*(INDEX('D Fleet'!$J$5:$J$36,INT(($B23/E$4))+2)-INDEX('D Fleet'!$J$5:$J$36,INT(($B23/E$4))+1)),0)</f>
        <v/>
      </c>
      <c r="F23" s="276">
        <f>IFERROR(INDEX('D Fleet'!$C$5:$C$62,MATCH(F$3-$B23,'D Fleet'!$B$5:$B$62,0)),0)*IFERROR(INDEX('D Fleet'!$J$5:$J$36,INT(($B23/F$4))+1)+(($B23/F$4)-INT(($B23/F$4)))*(INDEX('D Fleet'!$J$5:$J$36,INT(($B23/F$4))+2)-INDEX('D Fleet'!$J$5:$J$36,INT(($B23/F$4))+1)),0)</f>
        <v/>
      </c>
      <c r="G23" s="276">
        <f>IFERROR(INDEX('D Fleet'!$C$5:$C$62,MATCH(G$3-$B23,'D Fleet'!$B$5:$B$62,0)),0)*IFERROR(INDEX('D Fleet'!$J$5:$J$36,INT(($B23/G$4))+1)+(($B23/G$4)-INT(($B23/G$4)))*(INDEX('D Fleet'!$J$5:$J$36,INT(($B23/G$4))+2)-INDEX('D Fleet'!$J$5:$J$36,INT(($B23/G$4))+1)),0)</f>
        <v/>
      </c>
      <c r="H23" s="276">
        <f>IFERROR(INDEX('D Fleet'!$C$5:$C$62,MATCH(H$3-$B23,'D Fleet'!$B$5:$B$62,0)),0)*IFERROR(INDEX('D Fleet'!$J$5:$J$36,INT(($B23/H$4))+1)+(($B23/H$4)-INT(($B23/H$4)))*(INDEX('D Fleet'!$J$5:$J$36,INT(($B23/H$4))+2)-INDEX('D Fleet'!$J$5:$J$36,INT(($B23/H$4))+1)),0)</f>
        <v/>
      </c>
      <c r="I23" s="276">
        <f>IFERROR(INDEX('D Fleet'!$C$5:$C$62,MATCH(I$3-$B23,'D Fleet'!$B$5:$B$62,0)),0)*IFERROR(INDEX('D Fleet'!$J$5:$J$36,INT(($B23/I$4))+1)+(($B23/I$4)-INT(($B23/I$4)))*(INDEX('D Fleet'!$J$5:$J$36,INT(($B23/I$4))+2)-INDEX('D Fleet'!$J$5:$J$36,INT(($B23/I$4))+1)),0)</f>
        <v/>
      </c>
      <c r="J23" s="276">
        <f>IFERROR(INDEX('D Fleet'!$C$5:$C$62,MATCH(J$3-$B23,'D Fleet'!$B$5:$B$62,0)),0)*IFERROR(INDEX('D Fleet'!$J$5:$J$36,INT(($B23/J$4))+1)+(($B23/J$4)-INT(($B23/J$4)))*(INDEX('D Fleet'!$J$5:$J$36,INT(($B23/J$4))+2)-INDEX('D Fleet'!$J$5:$J$36,INT(($B23/J$4))+1)),0)</f>
        <v/>
      </c>
      <c r="K23" s="276">
        <f>IFERROR(INDEX('D Fleet'!$C$5:$C$62,MATCH(K$3-$B23,'D Fleet'!$B$5:$B$62,0)),0)*IFERROR(INDEX('D Fleet'!$J$5:$J$36,INT(($B23/K$4))+1)+(($B23/K$4)-INT(($B23/K$4)))*(INDEX('D Fleet'!$J$5:$J$36,INT(($B23/K$4))+2)-INDEX('D Fleet'!$J$5:$J$36,INT(($B23/K$4))+1)),0)</f>
        <v/>
      </c>
      <c r="L23" s="276">
        <f>IFERROR(INDEX('D Fleet'!$C$5:$C$62,MATCH(L$3-$B23,'D Fleet'!$B$5:$B$62,0)),0)*IFERROR(INDEX('D Fleet'!$J$5:$J$36,INT(($B23/L$4))+1)+(($B23/L$4)-INT(($B23/L$4)))*(INDEX('D Fleet'!$J$5:$J$36,INT(($B23/L$4))+2)-INDEX('D Fleet'!$J$5:$J$36,INT(($B23/L$4))+1)),0)</f>
        <v/>
      </c>
      <c r="M23" s="276">
        <f>IFERROR(INDEX('D Fleet'!$C$5:$C$62,MATCH(M$3-$B23,'D Fleet'!$B$5:$B$62,0)),0)*IFERROR(INDEX('D Fleet'!$J$5:$J$36,INT(($B23/M$4))+1)+(($B23/M$4)-INT(($B23/M$4)))*(INDEX('D Fleet'!$J$5:$J$36,INT(($B23/M$4))+2)-INDEX('D Fleet'!$J$5:$J$36,INT(($B23/M$4))+1)),0)</f>
        <v/>
      </c>
      <c r="N23" s="276">
        <f>IFERROR(INDEX('D Fleet'!$C$5:$C$62,MATCH(N$3-$B23,'D Fleet'!$B$5:$B$62,0)),0)*IFERROR(INDEX('D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Fleet'!$C$5:$C$62,MATCH(E$3-$B24,'D Fleet'!$B$5:$B$62,0)),0)*IFERROR(INDEX('D Fleet'!$J$5:$J$36,INT(($B24/E$4))+1)+(($B24/E$4)-INT(($B24/E$4)))*(INDEX('D Fleet'!$J$5:$J$36,INT(($B24/E$4))+2)-INDEX('D Fleet'!$J$5:$J$36,INT(($B24/E$4))+1)),0)</f>
        <v/>
      </c>
      <c r="F24" s="276">
        <f>IFERROR(INDEX('D Fleet'!$C$5:$C$62,MATCH(F$3-$B24,'D Fleet'!$B$5:$B$62,0)),0)*IFERROR(INDEX('D Fleet'!$J$5:$J$36,INT(($B24/F$4))+1)+(($B24/F$4)-INT(($B24/F$4)))*(INDEX('D Fleet'!$J$5:$J$36,INT(($B24/F$4))+2)-INDEX('D Fleet'!$J$5:$J$36,INT(($B24/F$4))+1)),0)</f>
        <v/>
      </c>
      <c r="G24" s="276">
        <f>IFERROR(INDEX('D Fleet'!$C$5:$C$62,MATCH(G$3-$B24,'D Fleet'!$B$5:$B$62,0)),0)*IFERROR(INDEX('D Fleet'!$J$5:$J$36,INT(($B24/G$4))+1)+(($B24/G$4)-INT(($B24/G$4)))*(INDEX('D Fleet'!$J$5:$J$36,INT(($B24/G$4))+2)-INDEX('D Fleet'!$J$5:$J$36,INT(($B24/G$4))+1)),0)</f>
        <v/>
      </c>
      <c r="H24" s="276">
        <f>IFERROR(INDEX('D Fleet'!$C$5:$C$62,MATCH(H$3-$B24,'D Fleet'!$B$5:$B$62,0)),0)*IFERROR(INDEX('D Fleet'!$J$5:$J$36,INT(($B24/H$4))+1)+(($B24/H$4)-INT(($B24/H$4)))*(INDEX('D Fleet'!$J$5:$J$36,INT(($B24/H$4))+2)-INDEX('D Fleet'!$J$5:$J$36,INT(($B24/H$4))+1)),0)</f>
        <v/>
      </c>
      <c r="I24" s="276">
        <f>IFERROR(INDEX('D Fleet'!$C$5:$C$62,MATCH(I$3-$B24,'D Fleet'!$B$5:$B$62,0)),0)*IFERROR(INDEX('D Fleet'!$J$5:$J$36,INT(($B24/I$4))+1)+(($B24/I$4)-INT(($B24/I$4)))*(INDEX('D Fleet'!$J$5:$J$36,INT(($B24/I$4))+2)-INDEX('D Fleet'!$J$5:$J$36,INT(($B24/I$4))+1)),0)</f>
        <v/>
      </c>
      <c r="J24" s="276">
        <f>IFERROR(INDEX('D Fleet'!$C$5:$C$62,MATCH(J$3-$B24,'D Fleet'!$B$5:$B$62,0)),0)*IFERROR(INDEX('D Fleet'!$J$5:$J$36,INT(($B24/J$4))+1)+(($B24/J$4)-INT(($B24/J$4)))*(INDEX('D Fleet'!$J$5:$J$36,INT(($B24/J$4))+2)-INDEX('D Fleet'!$J$5:$J$36,INT(($B24/J$4))+1)),0)</f>
        <v/>
      </c>
      <c r="K24" s="276">
        <f>IFERROR(INDEX('D Fleet'!$C$5:$C$62,MATCH(K$3-$B24,'D Fleet'!$B$5:$B$62,0)),0)*IFERROR(INDEX('D Fleet'!$J$5:$J$36,INT(($B24/K$4))+1)+(($B24/K$4)-INT(($B24/K$4)))*(INDEX('D Fleet'!$J$5:$J$36,INT(($B24/K$4))+2)-INDEX('D Fleet'!$J$5:$J$36,INT(($B24/K$4))+1)),0)</f>
        <v/>
      </c>
      <c r="L24" s="276">
        <f>IFERROR(INDEX('D Fleet'!$C$5:$C$62,MATCH(L$3-$B24,'D Fleet'!$B$5:$B$62,0)),0)*IFERROR(INDEX('D Fleet'!$J$5:$J$36,INT(($B24/L$4))+1)+(($B24/L$4)-INT(($B24/L$4)))*(INDEX('D Fleet'!$J$5:$J$36,INT(($B24/L$4))+2)-INDEX('D Fleet'!$J$5:$J$36,INT(($B24/L$4))+1)),0)</f>
        <v/>
      </c>
      <c r="M24" s="276">
        <f>IFERROR(INDEX('D Fleet'!$C$5:$C$62,MATCH(M$3-$B24,'D Fleet'!$B$5:$B$62,0)),0)*IFERROR(INDEX('D Fleet'!$J$5:$J$36,INT(($B24/M$4))+1)+(($B24/M$4)-INT(($B24/M$4)))*(INDEX('D Fleet'!$J$5:$J$36,INT(($B24/M$4))+2)-INDEX('D Fleet'!$J$5:$J$36,INT(($B24/M$4))+1)),0)</f>
        <v/>
      </c>
      <c r="N24" s="276">
        <f>IFERROR(INDEX('D Fleet'!$C$5:$C$62,MATCH(N$3-$B24,'D Fleet'!$B$5:$B$62,0)),0)*IFERROR(INDEX('D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Fleet'!$C$5:$C$62,MATCH(E$3-$B25,'D Fleet'!$B$5:$B$62,0)),0)*IFERROR(INDEX('D Fleet'!$J$5:$J$36,INT(($B25/E$4))+1)+(($B25/E$4)-INT(($B25/E$4)))*(INDEX('D Fleet'!$J$5:$J$36,INT(($B25/E$4))+2)-INDEX('D Fleet'!$J$5:$J$36,INT(($B25/E$4))+1)),0)</f>
        <v/>
      </c>
      <c r="F25" s="276">
        <f>IFERROR(INDEX('D Fleet'!$C$5:$C$62,MATCH(F$3-$B25,'D Fleet'!$B$5:$B$62,0)),0)*IFERROR(INDEX('D Fleet'!$J$5:$J$36,INT(($B25/F$4))+1)+(($B25/F$4)-INT(($B25/F$4)))*(INDEX('D Fleet'!$J$5:$J$36,INT(($B25/F$4))+2)-INDEX('D Fleet'!$J$5:$J$36,INT(($B25/F$4))+1)),0)</f>
        <v/>
      </c>
      <c r="G25" s="276">
        <f>IFERROR(INDEX('D Fleet'!$C$5:$C$62,MATCH(G$3-$B25,'D Fleet'!$B$5:$B$62,0)),0)*IFERROR(INDEX('D Fleet'!$J$5:$J$36,INT(($B25/G$4))+1)+(($B25/G$4)-INT(($B25/G$4)))*(INDEX('D Fleet'!$J$5:$J$36,INT(($B25/G$4))+2)-INDEX('D Fleet'!$J$5:$J$36,INT(($B25/G$4))+1)),0)</f>
        <v/>
      </c>
      <c r="H25" s="276">
        <f>IFERROR(INDEX('D Fleet'!$C$5:$C$62,MATCH(H$3-$B25,'D Fleet'!$B$5:$B$62,0)),0)*IFERROR(INDEX('D Fleet'!$J$5:$J$36,INT(($B25/H$4))+1)+(($B25/H$4)-INT(($B25/H$4)))*(INDEX('D Fleet'!$J$5:$J$36,INT(($B25/H$4))+2)-INDEX('D Fleet'!$J$5:$J$36,INT(($B25/H$4))+1)),0)</f>
        <v/>
      </c>
      <c r="I25" s="276">
        <f>IFERROR(INDEX('D Fleet'!$C$5:$C$62,MATCH(I$3-$B25,'D Fleet'!$B$5:$B$62,0)),0)*IFERROR(INDEX('D Fleet'!$J$5:$J$36,INT(($B25/I$4))+1)+(($B25/I$4)-INT(($B25/I$4)))*(INDEX('D Fleet'!$J$5:$J$36,INT(($B25/I$4))+2)-INDEX('D Fleet'!$J$5:$J$36,INT(($B25/I$4))+1)),0)</f>
        <v/>
      </c>
      <c r="J25" s="276">
        <f>IFERROR(INDEX('D Fleet'!$C$5:$C$62,MATCH(J$3-$B25,'D Fleet'!$B$5:$B$62,0)),0)*IFERROR(INDEX('D Fleet'!$J$5:$J$36,INT(($B25/J$4))+1)+(($B25/J$4)-INT(($B25/J$4)))*(INDEX('D Fleet'!$J$5:$J$36,INT(($B25/J$4))+2)-INDEX('D Fleet'!$J$5:$J$36,INT(($B25/J$4))+1)),0)</f>
        <v/>
      </c>
      <c r="K25" s="276">
        <f>IFERROR(INDEX('D Fleet'!$C$5:$C$62,MATCH(K$3-$B25,'D Fleet'!$B$5:$B$62,0)),0)*IFERROR(INDEX('D Fleet'!$J$5:$J$36,INT(($B25/K$4))+1)+(($B25/K$4)-INT(($B25/K$4)))*(INDEX('D Fleet'!$J$5:$J$36,INT(($B25/K$4))+2)-INDEX('D Fleet'!$J$5:$J$36,INT(($B25/K$4))+1)),0)</f>
        <v/>
      </c>
      <c r="L25" s="276">
        <f>IFERROR(INDEX('D Fleet'!$C$5:$C$62,MATCH(L$3-$B25,'D Fleet'!$B$5:$B$62,0)),0)*IFERROR(INDEX('D Fleet'!$J$5:$J$36,INT(($B25/L$4))+1)+(($B25/L$4)-INT(($B25/L$4)))*(INDEX('D Fleet'!$J$5:$J$36,INT(($B25/L$4))+2)-INDEX('D Fleet'!$J$5:$J$36,INT(($B25/L$4))+1)),0)</f>
        <v/>
      </c>
      <c r="M25" s="276">
        <f>IFERROR(INDEX('D Fleet'!$C$5:$C$62,MATCH(M$3-$B25,'D Fleet'!$B$5:$B$62,0)),0)*IFERROR(INDEX('D Fleet'!$J$5:$J$36,INT(($B25/M$4))+1)+(($B25/M$4)-INT(($B25/M$4)))*(INDEX('D Fleet'!$J$5:$J$36,INT(($B25/M$4))+2)-INDEX('D Fleet'!$J$5:$J$36,INT(($B25/M$4))+1)),0)</f>
        <v/>
      </c>
      <c r="N25" s="276">
        <f>IFERROR(INDEX('D Fleet'!$C$5:$C$62,MATCH(N$3-$B25,'D Fleet'!$B$5:$B$62,0)),0)*IFERROR(INDEX('D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Fleet'!$C$5:$C$62,MATCH(E$3-$B26,'D Fleet'!$B$5:$B$62,0)),0)*IFERROR(INDEX('D Fleet'!$J$5:$J$36,INT(($B26/E$4))+1)+(($B26/E$4)-INT(($B26/E$4)))*(INDEX('D Fleet'!$J$5:$J$36,INT(($B26/E$4))+2)-INDEX('D Fleet'!$J$5:$J$36,INT(($B26/E$4))+1)),0)</f>
        <v/>
      </c>
      <c r="F26" s="276">
        <f>IFERROR(INDEX('D Fleet'!$C$5:$C$62,MATCH(F$3-$B26,'D Fleet'!$B$5:$B$62,0)),0)*IFERROR(INDEX('D Fleet'!$J$5:$J$36,INT(($B26/F$4))+1)+(($B26/F$4)-INT(($B26/F$4)))*(INDEX('D Fleet'!$J$5:$J$36,INT(($B26/F$4))+2)-INDEX('D Fleet'!$J$5:$J$36,INT(($B26/F$4))+1)),0)</f>
        <v/>
      </c>
      <c r="G26" s="276">
        <f>IFERROR(INDEX('D Fleet'!$C$5:$C$62,MATCH(G$3-$B26,'D Fleet'!$B$5:$B$62,0)),0)*IFERROR(INDEX('D Fleet'!$J$5:$J$36,INT(($B26/G$4))+1)+(($B26/G$4)-INT(($B26/G$4)))*(INDEX('D Fleet'!$J$5:$J$36,INT(($B26/G$4))+2)-INDEX('D Fleet'!$J$5:$J$36,INT(($B26/G$4))+1)),0)</f>
        <v/>
      </c>
      <c r="H26" s="276">
        <f>IFERROR(INDEX('D Fleet'!$C$5:$C$62,MATCH(H$3-$B26,'D Fleet'!$B$5:$B$62,0)),0)*IFERROR(INDEX('D Fleet'!$J$5:$J$36,INT(($B26/H$4))+1)+(($B26/H$4)-INT(($B26/H$4)))*(INDEX('D Fleet'!$J$5:$J$36,INT(($B26/H$4))+2)-INDEX('D Fleet'!$J$5:$J$36,INT(($B26/H$4))+1)),0)</f>
        <v/>
      </c>
      <c r="I26" s="276">
        <f>IFERROR(INDEX('D Fleet'!$C$5:$C$62,MATCH(I$3-$B26,'D Fleet'!$B$5:$B$62,0)),0)*IFERROR(INDEX('D Fleet'!$J$5:$J$36,INT(($B26/I$4))+1)+(($B26/I$4)-INT(($B26/I$4)))*(INDEX('D Fleet'!$J$5:$J$36,INT(($B26/I$4))+2)-INDEX('D Fleet'!$J$5:$J$36,INT(($B26/I$4))+1)),0)</f>
        <v/>
      </c>
      <c r="J26" s="276">
        <f>IFERROR(INDEX('D Fleet'!$C$5:$C$62,MATCH(J$3-$B26,'D Fleet'!$B$5:$B$62,0)),0)*IFERROR(INDEX('D Fleet'!$J$5:$J$36,INT(($B26/J$4))+1)+(($B26/J$4)-INT(($B26/J$4)))*(INDEX('D Fleet'!$J$5:$J$36,INT(($B26/J$4))+2)-INDEX('D Fleet'!$J$5:$J$36,INT(($B26/J$4))+1)),0)</f>
        <v/>
      </c>
      <c r="K26" s="276">
        <f>IFERROR(INDEX('D Fleet'!$C$5:$C$62,MATCH(K$3-$B26,'D Fleet'!$B$5:$B$62,0)),0)*IFERROR(INDEX('D Fleet'!$J$5:$J$36,INT(($B26/K$4))+1)+(($B26/K$4)-INT(($B26/K$4)))*(INDEX('D Fleet'!$J$5:$J$36,INT(($B26/K$4))+2)-INDEX('D Fleet'!$J$5:$J$36,INT(($B26/K$4))+1)),0)</f>
        <v/>
      </c>
      <c r="L26" s="276">
        <f>IFERROR(INDEX('D Fleet'!$C$5:$C$62,MATCH(L$3-$B26,'D Fleet'!$B$5:$B$62,0)),0)*IFERROR(INDEX('D Fleet'!$J$5:$J$36,INT(($B26/L$4))+1)+(($B26/L$4)-INT(($B26/L$4)))*(INDEX('D Fleet'!$J$5:$J$36,INT(($B26/L$4))+2)-INDEX('D Fleet'!$J$5:$J$36,INT(($B26/L$4))+1)),0)</f>
        <v/>
      </c>
      <c r="M26" s="276">
        <f>IFERROR(INDEX('D Fleet'!$C$5:$C$62,MATCH(M$3-$B26,'D Fleet'!$B$5:$B$62,0)),0)*IFERROR(INDEX('D Fleet'!$J$5:$J$36,INT(($B26/M$4))+1)+(($B26/M$4)-INT(($B26/M$4)))*(INDEX('D Fleet'!$J$5:$J$36,INT(($B26/M$4))+2)-INDEX('D Fleet'!$J$5:$J$36,INT(($B26/M$4))+1)),0)</f>
        <v/>
      </c>
      <c r="N26" s="276">
        <f>IFERROR(INDEX('D Fleet'!$C$5:$C$62,MATCH(N$3-$B26,'D Fleet'!$B$5:$B$62,0)),0)*IFERROR(INDEX('D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Fleet'!$C$5:$C$62,MATCH(E$3-$B27,'D Fleet'!$B$5:$B$62,0)),0)*IFERROR(INDEX('D Fleet'!$J$5:$J$36,INT(($B27/E$4))+1)+(($B27/E$4)-INT(($B27/E$4)))*(INDEX('D Fleet'!$J$5:$J$36,INT(($B27/E$4))+2)-INDEX('D Fleet'!$J$5:$J$36,INT(($B27/E$4))+1)),0)</f>
        <v/>
      </c>
      <c r="F27" s="276">
        <f>IFERROR(INDEX('D Fleet'!$C$5:$C$62,MATCH(F$3-$B27,'D Fleet'!$B$5:$B$62,0)),0)*IFERROR(INDEX('D Fleet'!$J$5:$J$36,INT(($B27/F$4))+1)+(($B27/F$4)-INT(($B27/F$4)))*(INDEX('D Fleet'!$J$5:$J$36,INT(($B27/F$4))+2)-INDEX('D Fleet'!$J$5:$J$36,INT(($B27/F$4))+1)),0)</f>
        <v/>
      </c>
      <c r="G27" s="276">
        <f>IFERROR(INDEX('D Fleet'!$C$5:$C$62,MATCH(G$3-$B27,'D Fleet'!$B$5:$B$62,0)),0)*IFERROR(INDEX('D Fleet'!$J$5:$J$36,INT(($B27/G$4))+1)+(($B27/G$4)-INT(($B27/G$4)))*(INDEX('D Fleet'!$J$5:$J$36,INT(($B27/G$4))+2)-INDEX('D Fleet'!$J$5:$J$36,INT(($B27/G$4))+1)),0)</f>
        <v/>
      </c>
      <c r="H27" s="276">
        <f>IFERROR(INDEX('D Fleet'!$C$5:$C$62,MATCH(H$3-$B27,'D Fleet'!$B$5:$B$62,0)),0)*IFERROR(INDEX('D Fleet'!$J$5:$J$36,INT(($B27/H$4))+1)+(($B27/H$4)-INT(($B27/H$4)))*(INDEX('D Fleet'!$J$5:$J$36,INT(($B27/H$4))+2)-INDEX('D Fleet'!$J$5:$J$36,INT(($B27/H$4))+1)),0)</f>
        <v/>
      </c>
      <c r="I27" s="276">
        <f>IFERROR(INDEX('D Fleet'!$C$5:$C$62,MATCH(I$3-$B27,'D Fleet'!$B$5:$B$62,0)),0)*IFERROR(INDEX('D Fleet'!$J$5:$J$36,INT(($B27/I$4))+1)+(($B27/I$4)-INT(($B27/I$4)))*(INDEX('D Fleet'!$J$5:$J$36,INT(($B27/I$4))+2)-INDEX('D Fleet'!$J$5:$J$36,INT(($B27/I$4))+1)),0)</f>
        <v/>
      </c>
      <c r="J27" s="276">
        <f>IFERROR(INDEX('D Fleet'!$C$5:$C$62,MATCH(J$3-$B27,'D Fleet'!$B$5:$B$62,0)),0)*IFERROR(INDEX('D Fleet'!$J$5:$J$36,INT(($B27/J$4))+1)+(($B27/J$4)-INT(($B27/J$4)))*(INDEX('D Fleet'!$J$5:$J$36,INT(($B27/J$4))+2)-INDEX('D Fleet'!$J$5:$J$36,INT(($B27/J$4))+1)),0)</f>
        <v/>
      </c>
      <c r="K27" s="276">
        <f>IFERROR(INDEX('D Fleet'!$C$5:$C$62,MATCH(K$3-$B27,'D Fleet'!$B$5:$B$62,0)),0)*IFERROR(INDEX('D Fleet'!$J$5:$J$36,INT(($B27/K$4))+1)+(($B27/K$4)-INT(($B27/K$4)))*(INDEX('D Fleet'!$J$5:$J$36,INT(($B27/K$4))+2)-INDEX('D Fleet'!$J$5:$J$36,INT(($B27/K$4))+1)),0)</f>
        <v/>
      </c>
      <c r="L27" s="276">
        <f>IFERROR(INDEX('D Fleet'!$C$5:$C$62,MATCH(L$3-$B27,'D Fleet'!$B$5:$B$62,0)),0)*IFERROR(INDEX('D Fleet'!$J$5:$J$36,INT(($B27/L$4))+1)+(($B27/L$4)-INT(($B27/L$4)))*(INDEX('D Fleet'!$J$5:$J$36,INT(($B27/L$4))+2)-INDEX('D Fleet'!$J$5:$J$36,INT(($B27/L$4))+1)),0)</f>
        <v/>
      </c>
      <c r="M27" s="276">
        <f>IFERROR(INDEX('D Fleet'!$C$5:$C$62,MATCH(M$3-$B27,'D Fleet'!$B$5:$B$62,0)),0)*IFERROR(INDEX('D Fleet'!$J$5:$J$36,INT(($B27/M$4))+1)+(($B27/M$4)-INT(($B27/M$4)))*(INDEX('D Fleet'!$J$5:$J$36,INT(($B27/M$4))+2)-INDEX('D Fleet'!$J$5:$J$36,INT(($B27/M$4))+1)),0)</f>
        <v/>
      </c>
      <c r="N27" s="276">
        <f>IFERROR(INDEX('D Fleet'!$C$5:$C$62,MATCH(N$3-$B27,'D Fleet'!$B$5:$B$62,0)),0)*IFERROR(INDEX('D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Fleet'!$C$5:$C$62,MATCH(E$3-$B28,'D Fleet'!$B$5:$B$62,0)),0)*IFERROR(INDEX('D Fleet'!$J$5:$J$36,INT(($B28/E$4))+1)+(($B28/E$4)-INT(($B28/E$4)))*(INDEX('D Fleet'!$J$5:$J$36,INT(($B28/E$4))+2)-INDEX('D Fleet'!$J$5:$J$36,INT(($B28/E$4))+1)),0)</f>
        <v/>
      </c>
      <c r="F28" s="276">
        <f>IFERROR(INDEX('D Fleet'!$C$5:$C$62,MATCH(F$3-$B28,'D Fleet'!$B$5:$B$62,0)),0)*IFERROR(INDEX('D Fleet'!$J$5:$J$36,INT(($B28/F$4))+1)+(($B28/F$4)-INT(($B28/F$4)))*(INDEX('D Fleet'!$J$5:$J$36,INT(($B28/F$4))+2)-INDEX('D Fleet'!$J$5:$J$36,INT(($B28/F$4))+1)),0)</f>
        <v/>
      </c>
      <c r="G28" s="276">
        <f>IFERROR(INDEX('D Fleet'!$C$5:$C$62,MATCH(G$3-$B28,'D Fleet'!$B$5:$B$62,0)),0)*IFERROR(INDEX('D Fleet'!$J$5:$J$36,INT(($B28/G$4))+1)+(($B28/G$4)-INT(($B28/G$4)))*(INDEX('D Fleet'!$J$5:$J$36,INT(($B28/G$4))+2)-INDEX('D Fleet'!$J$5:$J$36,INT(($B28/G$4))+1)),0)</f>
        <v/>
      </c>
      <c r="H28" s="276">
        <f>IFERROR(INDEX('D Fleet'!$C$5:$C$62,MATCH(H$3-$B28,'D Fleet'!$B$5:$B$62,0)),0)*IFERROR(INDEX('D Fleet'!$J$5:$J$36,INT(($B28/H$4))+1)+(($B28/H$4)-INT(($B28/H$4)))*(INDEX('D Fleet'!$J$5:$J$36,INT(($B28/H$4))+2)-INDEX('D Fleet'!$J$5:$J$36,INT(($B28/H$4))+1)),0)</f>
        <v/>
      </c>
      <c r="I28" s="276">
        <f>IFERROR(INDEX('D Fleet'!$C$5:$C$62,MATCH(I$3-$B28,'D Fleet'!$B$5:$B$62,0)),0)*IFERROR(INDEX('D Fleet'!$J$5:$J$36,INT(($B28/I$4))+1)+(($B28/I$4)-INT(($B28/I$4)))*(INDEX('D Fleet'!$J$5:$J$36,INT(($B28/I$4))+2)-INDEX('D Fleet'!$J$5:$J$36,INT(($B28/I$4))+1)),0)</f>
        <v/>
      </c>
      <c r="J28" s="276">
        <f>IFERROR(INDEX('D Fleet'!$C$5:$C$62,MATCH(J$3-$B28,'D Fleet'!$B$5:$B$62,0)),0)*IFERROR(INDEX('D Fleet'!$J$5:$J$36,INT(($B28/J$4))+1)+(($B28/J$4)-INT(($B28/J$4)))*(INDEX('D Fleet'!$J$5:$J$36,INT(($B28/J$4))+2)-INDEX('D Fleet'!$J$5:$J$36,INT(($B28/J$4))+1)),0)</f>
        <v/>
      </c>
      <c r="K28" s="276">
        <f>IFERROR(INDEX('D Fleet'!$C$5:$C$62,MATCH(K$3-$B28,'D Fleet'!$B$5:$B$62,0)),0)*IFERROR(INDEX('D Fleet'!$J$5:$J$36,INT(($B28/K$4))+1)+(($B28/K$4)-INT(($B28/K$4)))*(INDEX('D Fleet'!$J$5:$J$36,INT(($B28/K$4))+2)-INDEX('D Fleet'!$J$5:$J$36,INT(($B28/K$4))+1)),0)</f>
        <v/>
      </c>
      <c r="L28" s="276">
        <f>IFERROR(INDEX('D Fleet'!$C$5:$C$62,MATCH(L$3-$B28,'D Fleet'!$B$5:$B$62,0)),0)*IFERROR(INDEX('D Fleet'!$J$5:$J$36,INT(($B28/L$4))+1)+(($B28/L$4)-INT(($B28/L$4)))*(INDEX('D Fleet'!$J$5:$J$36,INT(($B28/L$4))+2)-INDEX('D Fleet'!$J$5:$J$36,INT(($B28/L$4))+1)),0)</f>
        <v/>
      </c>
      <c r="M28" s="276">
        <f>IFERROR(INDEX('D Fleet'!$C$5:$C$62,MATCH(M$3-$B28,'D Fleet'!$B$5:$B$62,0)),0)*IFERROR(INDEX('D Fleet'!$J$5:$J$36,INT(($B28/M$4))+1)+(($B28/M$4)-INT(($B28/M$4)))*(INDEX('D Fleet'!$J$5:$J$36,INT(($B28/M$4))+2)-INDEX('D Fleet'!$J$5:$J$36,INT(($B28/M$4))+1)),0)</f>
        <v/>
      </c>
      <c r="N28" s="276">
        <f>IFERROR(INDEX('D Fleet'!$C$5:$C$62,MATCH(N$3-$B28,'D Fleet'!$B$5:$B$62,0)),0)*IFERROR(INDEX('D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Fleet'!$C$5:$C$62,MATCH(E$3-$B29,'D Fleet'!$B$5:$B$62,0)),0)*IFERROR(INDEX('D Fleet'!$J$5:$J$36,INT(($B29/E$4))+1)+(($B29/E$4)-INT(($B29/E$4)))*(INDEX('D Fleet'!$J$5:$J$36,INT(($B29/E$4))+2)-INDEX('D Fleet'!$J$5:$J$36,INT(($B29/E$4))+1)),0)</f>
        <v/>
      </c>
      <c r="F29" s="276">
        <f>IFERROR(INDEX('D Fleet'!$C$5:$C$62,MATCH(F$3-$B29,'D Fleet'!$B$5:$B$62,0)),0)*IFERROR(INDEX('D Fleet'!$J$5:$J$36,INT(($B29/F$4))+1)+(($B29/F$4)-INT(($B29/F$4)))*(INDEX('D Fleet'!$J$5:$J$36,INT(($B29/F$4))+2)-INDEX('D Fleet'!$J$5:$J$36,INT(($B29/F$4))+1)),0)</f>
        <v/>
      </c>
      <c r="G29" s="276">
        <f>IFERROR(INDEX('D Fleet'!$C$5:$C$62,MATCH(G$3-$B29,'D Fleet'!$B$5:$B$62,0)),0)*IFERROR(INDEX('D Fleet'!$J$5:$J$36,INT(($B29/G$4))+1)+(($B29/G$4)-INT(($B29/G$4)))*(INDEX('D Fleet'!$J$5:$J$36,INT(($B29/G$4))+2)-INDEX('D Fleet'!$J$5:$J$36,INT(($B29/G$4))+1)),0)</f>
        <v/>
      </c>
      <c r="H29" s="276">
        <f>IFERROR(INDEX('D Fleet'!$C$5:$C$62,MATCH(H$3-$B29,'D Fleet'!$B$5:$B$62,0)),0)*IFERROR(INDEX('D Fleet'!$J$5:$J$36,INT(($B29/H$4))+1)+(($B29/H$4)-INT(($B29/H$4)))*(INDEX('D Fleet'!$J$5:$J$36,INT(($B29/H$4))+2)-INDEX('D Fleet'!$J$5:$J$36,INT(($B29/H$4))+1)),0)</f>
        <v/>
      </c>
      <c r="I29" s="276">
        <f>IFERROR(INDEX('D Fleet'!$C$5:$C$62,MATCH(I$3-$B29,'D Fleet'!$B$5:$B$62,0)),0)*IFERROR(INDEX('D Fleet'!$J$5:$J$36,INT(($B29/I$4))+1)+(($B29/I$4)-INT(($B29/I$4)))*(INDEX('D Fleet'!$J$5:$J$36,INT(($B29/I$4))+2)-INDEX('D Fleet'!$J$5:$J$36,INT(($B29/I$4))+1)),0)</f>
        <v/>
      </c>
      <c r="J29" s="276">
        <f>IFERROR(INDEX('D Fleet'!$C$5:$C$62,MATCH(J$3-$B29,'D Fleet'!$B$5:$B$62,0)),0)*IFERROR(INDEX('D Fleet'!$J$5:$J$36,INT(($B29/J$4))+1)+(($B29/J$4)-INT(($B29/J$4)))*(INDEX('D Fleet'!$J$5:$J$36,INT(($B29/J$4))+2)-INDEX('D Fleet'!$J$5:$J$36,INT(($B29/J$4))+1)),0)</f>
        <v/>
      </c>
      <c r="K29" s="276">
        <f>IFERROR(INDEX('D Fleet'!$C$5:$C$62,MATCH(K$3-$B29,'D Fleet'!$B$5:$B$62,0)),0)*IFERROR(INDEX('D Fleet'!$J$5:$J$36,INT(($B29/K$4))+1)+(($B29/K$4)-INT(($B29/K$4)))*(INDEX('D Fleet'!$J$5:$J$36,INT(($B29/K$4))+2)-INDEX('D Fleet'!$J$5:$J$36,INT(($B29/K$4))+1)),0)</f>
        <v/>
      </c>
      <c r="L29" s="276">
        <f>IFERROR(INDEX('D Fleet'!$C$5:$C$62,MATCH(L$3-$B29,'D Fleet'!$B$5:$B$62,0)),0)*IFERROR(INDEX('D Fleet'!$J$5:$J$36,INT(($B29/L$4))+1)+(($B29/L$4)-INT(($B29/L$4)))*(INDEX('D Fleet'!$J$5:$J$36,INT(($B29/L$4))+2)-INDEX('D Fleet'!$J$5:$J$36,INT(($B29/L$4))+1)),0)</f>
        <v/>
      </c>
      <c r="M29" s="276">
        <f>IFERROR(INDEX('D Fleet'!$C$5:$C$62,MATCH(M$3-$B29,'D Fleet'!$B$5:$B$62,0)),0)*IFERROR(INDEX('D Fleet'!$J$5:$J$36,INT(($B29/M$4))+1)+(($B29/M$4)-INT(($B29/M$4)))*(INDEX('D Fleet'!$J$5:$J$36,INT(($B29/M$4))+2)-INDEX('D Fleet'!$J$5:$J$36,INT(($B29/M$4))+1)),0)</f>
        <v/>
      </c>
      <c r="N29" s="276">
        <f>IFERROR(INDEX('D Fleet'!$C$5:$C$62,MATCH(N$3-$B29,'D Fleet'!$B$5:$B$62,0)),0)*IFERROR(INDEX('D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Fleet'!$C$5:$C$62,MATCH(E$3-$B30,'D Fleet'!$B$5:$B$62,0)),0)*IFERROR(INDEX('D Fleet'!$J$5:$J$36,INT(($B30/E$4))+1)+(($B30/E$4)-INT(($B30/E$4)))*(INDEX('D Fleet'!$J$5:$J$36,INT(($B30/E$4))+2)-INDEX('D Fleet'!$J$5:$J$36,INT(($B30/E$4))+1)),0)</f>
        <v/>
      </c>
      <c r="F30" s="276">
        <f>IFERROR(INDEX('D Fleet'!$C$5:$C$62,MATCH(F$3-$B30,'D Fleet'!$B$5:$B$62,0)),0)*IFERROR(INDEX('D Fleet'!$J$5:$J$36,INT(($B30/F$4))+1)+(($B30/F$4)-INT(($B30/F$4)))*(INDEX('D Fleet'!$J$5:$J$36,INT(($B30/F$4))+2)-INDEX('D Fleet'!$J$5:$J$36,INT(($B30/F$4))+1)),0)</f>
        <v/>
      </c>
      <c r="G30" s="276">
        <f>IFERROR(INDEX('D Fleet'!$C$5:$C$62,MATCH(G$3-$B30,'D Fleet'!$B$5:$B$62,0)),0)*IFERROR(INDEX('D Fleet'!$J$5:$J$36,INT(($B30/G$4))+1)+(($B30/G$4)-INT(($B30/G$4)))*(INDEX('D Fleet'!$J$5:$J$36,INT(($B30/G$4))+2)-INDEX('D Fleet'!$J$5:$J$36,INT(($B30/G$4))+1)),0)</f>
        <v/>
      </c>
      <c r="H30" s="276">
        <f>IFERROR(INDEX('D Fleet'!$C$5:$C$62,MATCH(H$3-$B30,'D Fleet'!$B$5:$B$62,0)),0)*IFERROR(INDEX('D Fleet'!$J$5:$J$36,INT(($B30/H$4))+1)+(($B30/H$4)-INT(($B30/H$4)))*(INDEX('D Fleet'!$J$5:$J$36,INT(($B30/H$4))+2)-INDEX('D Fleet'!$J$5:$J$36,INT(($B30/H$4))+1)),0)</f>
        <v/>
      </c>
      <c r="I30" s="276">
        <f>IFERROR(INDEX('D Fleet'!$C$5:$C$62,MATCH(I$3-$B30,'D Fleet'!$B$5:$B$62,0)),0)*IFERROR(INDEX('D Fleet'!$J$5:$J$36,INT(($B30/I$4))+1)+(($B30/I$4)-INT(($B30/I$4)))*(INDEX('D Fleet'!$J$5:$J$36,INT(($B30/I$4))+2)-INDEX('D Fleet'!$J$5:$J$36,INT(($B30/I$4))+1)),0)</f>
        <v/>
      </c>
      <c r="J30" s="276">
        <f>IFERROR(INDEX('D Fleet'!$C$5:$C$62,MATCH(J$3-$B30,'D Fleet'!$B$5:$B$62,0)),0)*IFERROR(INDEX('D Fleet'!$J$5:$J$36,INT(($B30/J$4))+1)+(($B30/J$4)-INT(($B30/J$4)))*(INDEX('D Fleet'!$J$5:$J$36,INT(($B30/J$4))+2)-INDEX('D Fleet'!$J$5:$J$36,INT(($B30/J$4))+1)),0)</f>
        <v/>
      </c>
      <c r="K30" s="276">
        <f>IFERROR(INDEX('D Fleet'!$C$5:$C$62,MATCH(K$3-$B30,'D Fleet'!$B$5:$B$62,0)),0)*IFERROR(INDEX('D Fleet'!$J$5:$J$36,INT(($B30/K$4))+1)+(($B30/K$4)-INT(($B30/K$4)))*(INDEX('D Fleet'!$J$5:$J$36,INT(($B30/K$4))+2)-INDEX('D Fleet'!$J$5:$J$36,INT(($B30/K$4))+1)),0)</f>
        <v/>
      </c>
      <c r="L30" s="276">
        <f>IFERROR(INDEX('D Fleet'!$C$5:$C$62,MATCH(L$3-$B30,'D Fleet'!$B$5:$B$62,0)),0)*IFERROR(INDEX('D Fleet'!$J$5:$J$36,INT(($B30/L$4))+1)+(($B30/L$4)-INT(($B30/L$4)))*(INDEX('D Fleet'!$J$5:$J$36,INT(($B30/L$4))+2)-INDEX('D Fleet'!$J$5:$J$36,INT(($B30/L$4))+1)),0)</f>
        <v/>
      </c>
      <c r="M30" s="276">
        <f>IFERROR(INDEX('D Fleet'!$C$5:$C$62,MATCH(M$3-$B30,'D Fleet'!$B$5:$B$62,0)),0)*IFERROR(INDEX('D Fleet'!$J$5:$J$36,INT(($B30/M$4))+1)+(($B30/M$4)-INT(($B30/M$4)))*(INDEX('D Fleet'!$J$5:$J$36,INT(($B30/M$4))+2)-INDEX('D Fleet'!$J$5:$J$36,INT(($B30/M$4))+1)),0)</f>
        <v/>
      </c>
      <c r="N30" s="276">
        <f>IFERROR(INDEX('D Fleet'!$C$5:$C$62,MATCH(N$3-$B30,'D Fleet'!$B$5:$B$62,0)),0)*IFERROR(INDEX('D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Fleet'!$C$5:$C$62,MATCH(E$3-$B31,'D Fleet'!$B$5:$B$62,0)),0)*IFERROR(INDEX('D Fleet'!$J$5:$J$36,INT(($B31/E$4))+1)+(($B31/E$4)-INT(($B31/E$4)))*(INDEX('D Fleet'!$J$5:$J$36,INT(($B31/E$4))+2)-INDEX('D Fleet'!$J$5:$J$36,INT(($B31/E$4))+1)),0)</f>
        <v/>
      </c>
      <c r="F31" s="276">
        <f>IFERROR(INDEX('D Fleet'!$C$5:$C$62,MATCH(F$3-$B31,'D Fleet'!$B$5:$B$62,0)),0)*IFERROR(INDEX('D Fleet'!$J$5:$J$36,INT(($B31/F$4))+1)+(($B31/F$4)-INT(($B31/F$4)))*(INDEX('D Fleet'!$J$5:$J$36,INT(($B31/F$4))+2)-INDEX('D Fleet'!$J$5:$J$36,INT(($B31/F$4))+1)),0)</f>
        <v/>
      </c>
      <c r="G31" s="276">
        <f>IFERROR(INDEX('D Fleet'!$C$5:$C$62,MATCH(G$3-$B31,'D Fleet'!$B$5:$B$62,0)),0)*IFERROR(INDEX('D Fleet'!$J$5:$J$36,INT(($B31/G$4))+1)+(($B31/G$4)-INT(($B31/G$4)))*(INDEX('D Fleet'!$J$5:$J$36,INT(($B31/G$4))+2)-INDEX('D Fleet'!$J$5:$J$36,INT(($B31/G$4))+1)),0)</f>
        <v/>
      </c>
      <c r="H31" s="276">
        <f>IFERROR(INDEX('D Fleet'!$C$5:$C$62,MATCH(H$3-$B31,'D Fleet'!$B$5:$B$62,0)),0)*IFERROR(INDEX('D Fleet'!$J$5:$J$36,INT(($B31/H$4))+1)+(($B31/H$4)-INT(($B31/H$4)))*(INDEX('D Fleet'!$J$5:$J$36,INT(($B31/H$4))+2)-INDEX('D Fleet'!$J$5:$J$36,INT(($B31/H$4))+1)),0)</f>
        <v/>
      </c>
      <c r="I31" s="276">
        <f>IFERROR(INDEX('D Fleet'!$C$5:$C$62,MATCH(I$3-$B31,'D Fleet'!$B$5:$B$62,0)),0)*IFERROR(INDEX('D Fleet'!$J$5:$J$36,INT(($B31/I$4))+1)+(($B31/I$4)-INT(($B31/I$4)))*(INDEX('D Fleet'!$J$5:$J$36,INT(($B31/I$4))+2)-INDEX('D Fleet'!$J$5:$J$36,INT(($B31/I$4))+1)),0)</f>
        <v/>
      </c>
      <c r="J31" s="276">
        <f>IFERROR(INDEX('D Fleet'!$C$5:$C$62,MATCH(J$3-$B31,'D Fleet'!$B$5:$B$62,0)),0)*IFERROR(INDEX('D Fleet'!$J$5:$J$36,INT(($B31/J$4))+1)+(($B31/J$4)-INT(($B31/J$4)))*(INDEX('D Fleet'!$J$5:$J$36,INT(($B31/J$4))+2)-INDEX('D Fleet'!$J$5:$J$36,INT(($B31/J$4))+1)),0)</f>
        <v/>
      </c>
      <c r="K31" s="276">
        <f>IFERROR(INDEX('D Fleet'!$C$5:$C$62,MATCH(K$3-$B31,'D Fleet'!$B$5:$B$62,0)),0)*IFERROR(INDEX('D Fleet'!$J$5:$J$36,INT(($B31/K$4))+1)+(($B31/K$4)-INT(($B31/K$4)))*(INDEX('D Fleet'!$J$5:$J$36,INT(($B31/K$4))+2)-INDEX('D Fleet'!$J$5:$J$36,INT(($B31/K$4))+1)),0)</f>
        <v/>
      </c>
      <c r="L31" s="276">
        <f>IFERROR(INDEX('D Fleet'!$C$5:$C$62,MATCH(L$3-$B31,'D Fleet'!$B$5:$B$62,0)),0)*IFERROR(INDEX('D Fleet'!$J$5:$J$36,INT(($B31/L$4))+1)+(($B31/L$4)-INT(($B31/L$4)))*(INDEX('D Fleet'!$J$5:$J$36,INT(($B31/L$4))+2)-INDEX('D Fleet'!$J$5:$J$36,INT(($B31/L$4))+1)),0)</f>
        <v/>
      </c>
      <c r="M31" s="276">
        <f>IFERROR(INDEX('D Fleet'!$C$5:$C$62,MATCH(M$3-$B31,'D Fleet'!$B$5:$B$62,0)),0)*IFERROR(INDEX('D Fleet'!$J$5:$J$36,INT(($B31/M$4))+1)+(($B31/M$4)-INT(($B31/M$4)))*(INDEX('D Fleet'!$J$5:$J$36,INT(($B31/M$4))+2)-INDEX('D Fleet'!$J$5:$J$36,INT(($B31/M$4))+1)),0)</f>
        <v/>
      </c>
      <c r="N31" s="276">
        <f>IFERROR(INDEX('D Fleet'!$C$5:$C$62,MATCH(N$3-$B31,'D Fleet'!$B$5:$B$62,0)),0)*IFERROR(INDEX('D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Fleet'!$C$5:$C$62,MATCH(E$3-$B32,'D Fleet'!$B$5:$B$62,0)),0)*IFERROR(INDEX('D Fleet'!$J$5:$J$36,INT(($B32/E$4))+1)+(($B32/E$4)-INT(($B32/E$4)))*(INDEX('D Fleet'!$J$5:$J$36,INT(($B32/E$4))+2)-INDEX('D Fleet'!$J$5:$J$36,INT(($B32/E$4))+1)),0)</f>
        <v/>
      </c>
      <c r="F32" s="276">
        <f>IFERROR(INDEX('D Fleet'!$C$5:$C$62,MATCH(F$3-$B32,'D Fleet'!$B$5:$B$62,0)),0)*IFERROR(INDEX('D Fleet'!$J$5:$J$36,INT(($B32/F$4))+1)+(($B32/F$4)-INT(($B32/F$4)))*(INDEX('D Fleet'!$J$5:$J$36,INT(($B32/F$4))+2)-INDEX('D Fleet'!$J$5:$J$36,INT(($B32/F$4))+1)),0)</f>
        <v/>
      </c>
      <c r="G32" s="276">
        <f>IFERROR(INDEX('D Fleet'!$C$5:$C$62,MATCH(G$3-$B32,'D Fleet'!$B$5:$B$62,0)),0)*IFERROR(INDEX('D Fleet'!$J$5:$J$36,INT(($B32/G$4))+1)+(($B32/G$4)-INT(($B32/G$4)))*(INDEX('D Fleet'!$J$5:$J$36,INT(($B32/G$4))+2)-INDEX('D Fleet'!$J$5:$J$36,INT(($B32/G$4))+1)),0)</f>
        <v/>
      </c>
      <c r="H32" s="276">
        <f>IFERROR(INDEX('D Fleet'!$C$5:$C$62,MATCH(H$3-$B32,'D Fleet'!$B$5:$B$62,0)),0)*IFERROR(INDEX('D Fleet'!$J$5:$J$36,INT(($B32/H$4))+1)+(($B32/H$4)-INT(($B32/H$4)))*(INDEX('D Fleet'!$J$5:$J$36,INT(($B32/H$4))+2)-INDEX('D Fleet'!$J$5:$J$36,INT(($B32/H$4))+1)),0)</f>
        <v/>
      </c>
      <c r="I32" s="276">
        <f>IFERROR(INDEX('D Fleet'!$C$5:$C$62,MATCH(I$3-$B32,'D Fleet'!$B$5:$B$62,0)),0)*IFERROR(INDEX('D Fleet'!$J$5:$J$36,INT(($B32/I$4))+1)+(($B32/I$4)-INT(($B32/I$4)))*(INDEX('D Fleet'!$J$5:$J$36,INT(($B32/I$4))+2)-INDEX('D Fleet'!$J$5:$J$36,INT(($B32/I$4))+1)),0)</f>
        <v/>
      </c>
      <c r="J32" s="276">
        <f>IFERROR(INDEX('D Fleet'!$C$5:$C$62,MATCH(J$3-$B32,'D Fleet'!$B$5:$B$62,0)),0)*IFERROR(INDEX('D Fleet'!$J$5:$J$36,INT(($B32/J$4))+1)+(($B32/J$4)-INT(($B32/J$4)))*(INDEX('D Fleet'!$J$5:$J$36,INT(($B32/J$4))+2)-INDEX('D Fleet'!$J$5:$J$36,INT(($B32/J$4))+1)),0)</f>
        <v/>
      </c>
      <c r="K32" s="276">
        <f>IFERROR(INDEX('D Fleet'!$C$5:$C$62,MATCH(K$3-$B32,'D Fleet'!$B$5:$B$62,0)),0)*IFERROR(INDEX('D Fleet'!$J$5:$J$36,INT(($B32/K$4))+1)+(($B32/K$4)-INT(($B32/K$4)))*(INDEX('D Fleet'!$J$5:$J$36,INT(($B32/K$4))+2)-INDEX('D Fleet'!$J$5:$J$36,INT(($B32/K$4))+1)),0)</f>
        <v/>
      </c>
      <c r="L32" s="276">
        <f>IFERROR(INDEX('D Fleet'!$C$5:$C$62,MATCH(L$3-$B32,'D Fleet'!$B$5:$B$62,0)),0)*IFERROR(INDEX('D Fleet'!$J$5:$J$36,INT(($B32/L$4))+1)+(($B32/L$4)-INT(($B32/L$4)))*(INDEX('D Fleet'!$J$5:$J$36,INT(($B32/L$4))+2)-INDEX('D Fleet'!$J$5:$J$36,INT(($B32/L$4))+1)),0)</f>
        <v/>
      </c>
      <c r="M32" s="276">
        <f>IFERROR(INDEX('D Fleet'!$C$5:$C$62,MATCH(M$3-$B32,'D Fleet'!$B$5:$B$62,0)),0)*IFERROR(INDEX('D Fleet'!$J$5:$J$36,INT(($B32/M$4))+1)+(($B32/M$4)-INT(($B32/M$4)))*(INDEX('D Fleet'!$J$5:$J$36,INT(($B32/M$4))+2)-INDEX('D Fleet'!$J$5:$J$36,INT(($B32/M$4))+1)),0)</f>
        <v/>
      </c>
      <c r="N32" s="276">
        <f>IFERROR(INDEX('D Fleet'!$C$5:$C$62,MATCH(N$3-$B32,'D Fleet'!$B$5:$B$62,0)),0)*IFERROR(INDEX('D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Fleet'!$C$5:$C$62,MATCH(E$3-$B33,'D Fleet'!$B$5:$B$62,0)),0)*IFERROR(INDEX('D Fleet'!$J$5:$J$36,INT(($B33/E$4))+1)+(($B33/E$4)-INT(($B33/E$4)))*(INDEX('D Fleet'!$J$5:$J$36,INT(($B33/E$4))+2)-INDEX('D Fleet'!$J$5:$J$36,INT(($B33/E$4))+1)),0)</f>
        <v/>
      </c>
      <c r="F33" s="276">
        <f>IFERROR(INDEX('D Fleet'!$C$5:$C$62,MATCH(F$3-$B33,'D Fleet'!$B$5:$B$62,0)),0)*IFERROR(INDEX('D Fleet'!$J$5:$J$36,INT(($B33/F$4))+1)+(($B33/F$4)-INT(($B33/F$4)))*(INDEX('D Fleet'!$J$5:$J$36,INT(($B33/F$4))+2)-INDEX('D Fleet'!$J$5:$J$36,INT(($B33/F$4))+1)),0)</f>
        <v/>
      </c>
      <c r="G33" s="276">
        <f>IFERROR(INDEX('D Fleet'!$C$5:$C$62,MATCH(G$3-$B33,'D Fleet'!$B$5:$B$62,0)),0)*IFERROR(INDEX('D Fleet'!$J$5:$J$36,INT(($B33/G$4))+1)+(($B33/G$4)-INT(($B33/G$4)))*(INDEX('D Fleet'!$J$5:$J$36,INT(($B33/G$4))+2)-INDEX('D Fleet'!$J$5:$J$36,INT(($B33/G$4))+1)),0)</f>
        <v/>
      </c>
      <c r="H33" s="276">
        <f>IFERROR(INDEX('D Fleet'!$C$5:$C$62,MATCH(H$3-$B33,'D Fleet'!$B$5:$B$62,0)),0)*IFERROR(INDEX('D Fleet'!$J$5:$J$36,INT(($B33/H$4))+1)+(($B33/H$4)-INT(($B33/H$4)))*(INDEX('D Fleet'!$J$5:$J$36,INT(($B33/H$4))+2)-INDEX('D Fleet'!$J$5:$J$36,INT(($B33/H$4))+1)),0)</f>
        <v/>
      </c>
      <c r="I33" s="276">
        <f>IFERROR(INDEX('D Fleet'!$C$5:$C$62,MATCH(I$3-$B33,'D Fleet'!$B$5:$B$62,0)),0)*IFERROR(INDEX('D Fleet'!$J$5:$J$36,INT(($B33/I$4))+1)+(($B33/I$4)-INT(($B33/I$4)))*(INDEX('D Fleet'!$J$5:$J$36,INT(($B33/I$4))+2)-INDEX('D Fleet'!$J$5:$J$36,INT(($B33/I$4))+1)),0)</f>
        <v/>
      </c>
      <c r="J33" s="276">
        <f>IFERROR(INDEX('D Fleet'!$C$5:$C$62,MATCH(J$3-$B33,'D Fleet'!$B$5:$B$62,0)),0)*IFERROR(INDEX('D Fleet'!$J$5:$J$36,INT(($B33/J$4))+1)+(($B33/J$4)-INT(($B33/J$4)))*(INDEX('D Fleet'!$J$5:$J$36,INT(($B33/J$4))+2)-INDEX('D Fleet'!$J$5:$J$36,INT(($B33/J$4))+1)),0)</f>
        <v/>
      </c>
      <c r="K33" s="276">
        <f>IFERROR(INDEX('D Fleet'!$C$5:$C$62,MATCH(K$3-$B33,'D Fleet'!$B$5:$B$62,0)),0)*IFERROR(INDEX('D Fleet'!$J$5:$J$36,INT(($B33/K$4))+1)+(($B33/K$4)-INT(($B33/K$4)))*(INDEX('D Fleet'!$J$5:$J$36,INT(($B33/K$4))+2)-INDEX('D Fleet'!$J$5:$J$36,INT(($B33/K$4))+1)),0)</f>
        <v/>
      </c>
      <c r="L33" s="276">
        <f>IFERROR(INDEX('D Fleet'!$C$5:$C$62,MATCH(L$3-$B33,'D Fleet'!$B$5:$B$62,0)),0)*IFERROR(INDEX('D Fleet'!$J$5:$J$36,INT(($B33/L$4))+1)+(($B33/L$4)-INT(($B33/L$4)))*(INDEX('D Fleet'!$J$5:$J$36,INT(($B33/L$4))+2)-INDEX('D Fleet'!$J$5:$J$36,INT(($B33/L$4))+1)),0)</f>
        <v/>
      </c>
      <c r="M33" s="276">
        <f>IFERROR(INDEX('D Fleet'!$C$5:$C$62,MATCH(M$3-$B33,'D Fleet'!$B$5:$B$62,0)),0)*IFERROR(INDEX('D Fleet'!$J$5:$J$36,INT(($B33/M$4))+1)+(($B33/M$4)-INT(($B33/M$4)))*(INDEX('D Fleet'!$J$5:$J$36,INT(($B33/M$4))+2)-INDEX('D Fleet'!$J$5:$J$36,INT(($B33/M$4))+1)),0)</f>
        <v/>
      </c>
      <c r="N33" s="276">
        <f>IFERROR(INDEX('D Fleet'!$C$5:$C$62,MATCH(N$3-$B33,'D Fleet'!$B$5:$B$62,0)),0)*IFERROR(INDEX('D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Fleet'!$C$5:$C$62,MATCH(E$3-$B34,'D Fleet'!$B$5:$B$62,0)),0)*IFERROR(INDEX('D Fleet'!$J$5:$J$36,INT(($B34/E$4))+1)+(($B34/E$4)-INT(($B34/E$4)))*(INDEX('D Fleet'!$J$5:$J$36,INT(($B34/E$4))+2)-INDEX('D Fleet'!$J$5:$J$36,INT(($B34/E$4))+1)),0)</f>
        <v/>
      </c>
      <c r="F34" s="276">
        <f>IFERROR(INDEX('D Fleet'!$C$5:$C$62,MATCH(F$3-$B34,'D Fleet'!$B$5:$B$62,0)),0)*IFERROR(INDEX('D Fleet'!$J$5:$J$36,INT(($B34/F$4))+1)+(($B34/F$4)-INT(($B34/F$4)))*(INDEX('D Fleet'!$J$5:$J$36,INT(($B34/F$4))+2)-INDEX('D Fleet'!$J$5:$J$36,INT(($B34/F$4))+1)),0)</f>
        <v/>
      </c>
      <c r="G34" s="276">
        <f>IFERROR(INDEX('D Fleet'!$C$5:$C$62,MATCH(G$3-$B34,'D Fleet'!$B$5:$B$62,0)),0)*IFERROR(INDEX('D Fleet'!$J$5:$J$36,INT(($B34/G$4))+1)+(($B34/G$4)-INT(($B34/G$4)))*(INDEX('D Fleet'!$J$5:$J$36,INT(($B34/G$4))+2)-INDEX('D Fleet'!$J$5:$J$36,INT(($B34/G$4))+1)),0)</f>
        <v/>
      </c>
      <c r="H34" s="276">
        <f>IFERROR(INDEX('D Fleet'!$C$5:$C$62,MATCH(H$3-$B34,'D Fleet'!$B$5:$B$62,0)),0)*IFERROR(INDEX('D Fleet'!$J$5:$J$36,INT(($B34/H$4))+1)+(($B34/H$4)-INT(($B34/H$4)))*(INDEX('D Fleet'!$J$5:$J$36,INT(($B34/H$4))+2)-INDEX('D Fleet'!$J$5:$J$36,INT(($B34/H$4))+1)),0)</f>
        <v/>
      </c>
      <c r="I34" s="276">
        <f>IFERROR(INDEX('D Fleet'!$C$5:$C$62,MATCH(I$3-$B34,'D Fleet'!$B$5:$B$62,0)),0)*IFERROR(INDEX('D Fleet'!$J$5:$J$36,INT(($B34/I$4))+1)+(($B34/I$4)-INT(($B34/I$4)))*(INDEX('D Fleet'!$J$5:$J$36,INT(($B34/I$4))+2)-INDEX('D Fleet'!$J$5:$J$36,INT(($B34/I$4))+1)),0)</f>
        <v/>
      </c>
      <c r="J34" s="276">
        <f>IFERROR(INDEX('D Fleet'!$C$5:$C$62,MATCH(J$3-$B34,'D Fleet'!$B$5:$B$62,0)),0)*IFERROR(INDEX('D Fleet'!$J$5:$J$36,INT(($B34/J$4))+1)+(($B34/J$4)-INT(($B34/J$4)))*(INDEX('D Fleet'!$J$5:$J$36,INT(($B34/J$4))+2)-INDEX('D Fleet'!$J$5:$J$36,INT(($B34/J$4))+1)),0)</f>
        <v/>
      </c>
      <c r="K34" s="276">
        <f>IFERROR(INDEX('D Fleet'!$C$5:$C$62,MATCH(K$3-$B34,'D Fleet'!$B$5:$B$62,0)),0)*IFERROR(INDEX('D Fleet'!$J$5:$J$36,INT(($B34/K$4))+1)+(($B34/K$4)-INT(($B34/K$4)))*(INDEX('D Fleet'!$J$5:$J$36,INT(($B34/K$4))+2)-INDEX('D Fleet'!$J$5:$J$36,INT(($B34/K$4))+1)),0)</f>
        <v/>
      </c>
      <c r="L34" s="276">
        <f>IFERROR(INDEX('D Fleet'!$C$5:$C$62,MATCH(L$3-$B34,'D Fleet'!$B$5:$B$62,0)),0)*IFERROR(INDEX('D Fleet'!$J$5:$J$36,INT(($B34/L$4))+1)+(($B34/L$4)-INT(($B34/L$4)))*(INDEX('D Fleet'!$J$5:$J$36,INT(($B34/L$4))+2)-INDEX('D Fleet'!$J$5:$J$36,INT(($B34/L$4))+1)),0)</f>
        <v/>
      </c>
      <c r="M34" s="276">
        <f>IFERROR(INDEX('D Fleet'!$C$5:$C$62,MATCH(M$3-$B34,'D Fleet'!$B$5:$B$62,0)),0)*IFERROR(INDEX('D Fleet'!$J$5:$J$36,INT(($B34/M$4))+1)+(($B34/M$4)-INT(($B34/M$4)))*(INDEX('D Fleet'!$J$5:$J$36,INT(($B34/M$4))+2)-INDEX('D Fleet'!$J$5:$J$36,INT(($B34/M$4))+1)),0)</f>
        <v/>
      </c>
      <c r="N34" s="276">
        <f>IFERROR(INDEX('D Fleet'!$C$5:$C$62,MATCH(N$3-$B34,'D Fleet'!$B$5:$B$62,0)),0)*IFERROR(INDEX('D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Fleet'!$C$5:$C$62,MATCH(E$3-$B35,'D Fleet'!$B$5:$B$62,0)),0)*IFERROR(INDEX('D Fleet'!$J$5:$J$36,INT(($B35/E$4))+1)+(($B35/E$4)-INT(($B35/E$4)))*(INDEX('D Fleet'!$J$5:$J$36,INT(($B35/E$4))+2)-INDEX('D Fleet'!$J$5:$J$36,INT(($B35/E$4))+1)),0)</f>
        <v/>
      </c>
      <c r="F35" s="276">
        <f>IFERROR(INDEX('D Fleet'!$C$5:$C$62,MATCH(F$3-$B35,'D Fleet'!$B$5:$B$62,0)),0)*IFERROR(INDEX('D Fleet'!$J$5:$J$36,INT(($B35/F$4))+1)+(($B35/F$4)-INT(($B35/F$4)))*(INDEX('D Fleet'!$J$5:$J$36,INT(($B35/F$4))+2)-INDEX('D Fleet'!$J$5:$J$36,INT(($B35/F$4))+1)),0)</f>
        <v/>
      </c>
      <c r="G35" s="276">
        <f>IFERROR(INDEX('D Fleet'!$C$5:$C$62,MATCH(G$3-$B35,'D Fleet'!$B$5:$B$62,0)),0)*IFERROR(INDEX('D Fleet'!$J$5:$J$36,INT(($B35/G$4))+1)+(($B35/G$4)-INT(($B35/G$4)))*(INDEX('D Fleet'!$J$5:$J$36,INT(($B35/G$4))+2)-INDEX('D Fleet'!$J$5:$J$36,INT(($B35/G$4))+1)),0)</f>
        <v/>
      </c>
      <c r="H35" s="276">
        <f>IFERROR(INDEX('D Fleet'!$C$5:$C$62,MATCH(H$3-$B35,'D Fleet'!$B$5:$B$62,0)),0)*IFERROR(INDEX('D Fleet'!$J$5:$J$36,INT(($B35/H$4))+1)+(($B35/H$4)-INT(($B35/H$4)))*(INDEX('D Fleet'!$J$5:$J$36,INT(($B35/H$4))+2)-INDEX('D Fleet'!$J$5:$J$36,INT(($B35/H$4))+1)),0)</f>
        <v/>
      </c>
      <c r="I35" s="276">
        <f>IFERROR(INDEX('D Fleet'!$C$5:$C$62,MATCH(I$3-$B35,'D Fleet'!$B$5:$B$62,0)),0)*IFERROR(INDEX('D Fleet'!$J$5:$J$36,INT(($B35/I$4))+1)+(($B35/I$4)-INT(($B35/I$4)))*(INDEX('D Fleet'!$J$5:$J$36,INT(($B35/I$4))+2)-INDEX('D Fleet'!$J$5:$J$36,INT(($B35/I$4))+1)),0)</f>
        <v/>
      </c>
      <c r="J35" s="276">
        <f>IFERROR(INDEX('D Fleet'!$C$5:$C$62,MATCH(J$3-$B35,'D Fleet'!$B$5:$B$62,0)),0)*IFERROR(INDEX('D Fleet'!$J$5:$J$36,INT(($B35/J$4))+1)+(($B35/J$4)-INT(($B35/J$4)))*(INDEX('D Fleet'!$J$5:$J$36,INT(($B35/J$4))+2)-INDEX('D Fleet'!$J$5:$J$36,INT(($B35/J$4))+1)),0)</f>
        <v/>
      </c>
      <c r="K35" s="276">
        <f>IFERROR(INDEX('D Fleet'!$C$5:$C$62,MATCH(K$3-$B35,'D Fleet'!$B$5:$B$62,0)),0)*IFERROR(INDEX('D Fleet'!$J$5:$J$36,INT(($B35/K$4))+1)+(($B35/K$4)-INT(($B35/K$4)))*(INDEX('D Fleet'!$J$5:$J$36,INT(($B35/K$4))+2)-INDEX('D Fleet'!$J$5:$J$36,INT(($B35/K$4))+1)),0)</f>
        <v/>
      </c>
      <c r="L35" s="276">
        <f>IFERROR(INDEX('D Fleet'!$C$5:$C$62,MATCH(L$3-$B35,'D Fleet'!$B$5:$B$62,0)),0)*IFERROR(INDEX('D Fleet'!$J$5:$J$36,INT(($B35/L$4))+1)+(($B35/L$4)-INT(($B35/L$4)))*(INDEX('D Fleet'!$J$5:$J$36,INT(($B35/L$4))+2)-INDEX('D Fleet'!$J$5:$J$36,INT(($B35/L$4))+1)),0)</f>
        <v/>
      </c>
      <c r="M35" s="276">
        <f>IFERROR(INDEX('D Fleet'!$C$5:$C$62,MATCH(M$3-$B35,'D Fleet'!$B$5:$B$62,0)),0)*IFERROR(INDEX('D Fleet'!$J$5:$J$36,INT(($B35/M$4))+1)+(($B35/M$4)-INT(($B35/M$4)))*(INDEX('D Fleet'!$J$5:$J$36,INT(($B35/M$4))+2)-INDEX('D Fleet'!$J$5:$J$36,INT(($B35/M$4))+1)),0)</f>
        <v/>
      </c>
      <c r="N35" s="276">
        <f>IFERROR(INDEX('D Fleet'!$C$5:$C$62,MATCH(N$3-$B35,'D Fleet'!$B$5:$B$62,0)),0)*IFERROR(INDEX('D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Fleet'!$C$5:$C$62,MATCH(E$3-$B36,'D Fleet'!$B$5:$B$62,0)),0)*IFERROR(INDEX('D Fleet'!$J$5:$J$36,INT(($B36/E$4))+1)+(($B36/E$4)-INT(($B36/E$4)))*(INDEX('D Fleet'!$J$5:$J$36,INT(($B36/E$4))+2)-INDEX('D Fleet'!$J$5:$J$36,INT(($B36/E$4))+1)),0)</f>
        <v/>
      </c>
      <c r="F36" s="276">
        <f>IFERROR(INDEX('D Fleet'!$C$5:$C$62,MATCH(F$3-$B36,'D Fleet'!$B$5:$B$62,0)),0)*IFERROR(INDEX('D Fleet'!$J$5:$J$36,INT(($B36/F$4))+1)+(($B36/F$4)-INT(($B36/F$4)))*(INDEX('D Fleet'!$J$5:$J$36,INT(($B36/F$4))+2)-INDEX('D Fleet'!$J$5:$J$36,INT(($B36/F$4))+1)),0)</f>
        <v/>
      </c>
      <c r="G36" s="276">
        <f>IFERROR(INDEX('D Fleet'!$C$5:$C$62,MATCH(G$3-$B36,'D Fleet'!$B$5:$B$62,0)),0)*IFERROR(INDEX('D Fleet'!$J$5:$J$36,INT(($B36/G$4))+1)+(($B36/G$4)-INT(($B36/G$4)))*(INDEX('D Fleet'!$J$5:$J$36,INT(($B36/G$4))+2)-INDEX('D Fleet'!$J$5:$J$36,INT(($B36/G$4))+1)),0)</f>
        <v/>
      </c>
      <c r="H36" s="276">
        <f>IFERROR(INDEX('D Fleet'!$C$5:$C$62,MATCH(H$3-$B36,'D Fleet'!$B$5:$B$62,0)),0)*IFERROR(INDEX('D Fleet'!$J$5:$J$36,INT(($B36/H$4))+1)+(($B36/H$4)-INT(($B36/H$4)))*(INDEX('D Fleet'!$J$5:$J$36,INT(($B36/H$4))+2)-INDEX('D Fleet'!$J$5:$J$36,INT(($B36/H$4))+1)),0)</f>
        <v/>
      </c>
      <c r="I36" s="276">
        <f>IFERROR(INDEX('D Fleet'!$C$5:$C$62,MATCH(I$3-$B36,'D Fleet'!$B$5:$B$62,0)),0)*IFERROR(INDEX('D Fleet'!$J$5:$J$36,INT(($B36/I$4))+1)+(($B36/I$4)-INT(($B36/I$4)))*(INDEX('D Fleet'!$J$5:$J$36,INT(($B36/I$4))+2)-INDEX('D Fleet'!$J$5:$J$36,INT(($B36/I$4))+1)),0)</f>
        <v/>
      </c>
      <c r="J36" s="276">
        <f>IFERROR(INDEX('D Fleet'!$C$5:$C$62,MATCH(J$3-$B36,'D Fleet'!$B$5:$B$62,0)),0)*IFERROR(INDEX('D Fleet'!$J$5:$J$36,INT(($B36/J$4))+1)+(($B36/J$4)-INT(($B36/J$4)))*(INDEX('D Fleet'!$J$5:$J$36,INT(($B36/J$4))+2)-INDEX('D Fleet'!$J$5:$J$36,INT(($B36/J$4))+1)),0)</f>
        <v/>
      </c>
      <c r="K36" s="276">
        <f>IFERROR(INDEX('D Fleet'!$C$5:$C$62,MATCH(K$3-$B36,'D Fleet'!$B$5:$B$62,0)),0)*IFERROR(INDEX('D Fleet'!$J$5:$J$36,INT(($B36/K$4))+1)+(($B36/K$4)-INT(($B36/K$4)))*(INDEX('D Fleet'!$J$5:$J$36,INT(($B36/K$4))+2)-INDEX('D Fleet'!$J$5:$J$36,INT(($B36/K$4))+1)),0)</f>
        <v/>
      </c>
      <c r="L36" s="276">
        <f>IFERROR(INDEX('D Fleet'!$C$5:$C$62,MATCH(L$3-$B36,'D Fleet'!$B$5:$B$62,0)),0)*IFERROR(INDEX('D Fleet'!$J$5:$J$36,INT(($B36/L$4))+1)+(($B36/L$4)-INT(($B36/L$4)))*(INDEX('D Fleet'!$J$5:$J$36,INT(($B36/L$4))+2)-INDEX('D Fleet'!$J$5:$J$36,INT(($B36/L$4))+1)),0)</f>
        <v/>
      </c>
      <c r="M36" s="276">
        <f>IFERROR(INDEX('D Fleet'!$C$5:$C$62,MATCH(M$3-$B36,'D Fleet'!$B$5:$B$62,0)),0)*IFERROR(INDEX('D Fleet'!$J$5:$J$36,INT(($B36/M$4))+1)+(($B36/M$4)-INT(($B36/M$4)))*(INDEX('D Fleet'!$J$5:$J$36,INT(($B36/M$4))+2)-INDEX('D Fleet'!$J$5:$J$36,INT(($B36/M$4))+1)),0)</f>
        <v/>
      </c>
      <c r="N36" s="276">
        <f>IFERROR(INDEX('D Fleet'!$C$5:$C$62,MATCH(N$3-$B36,'D Fleet'!$B$5:$B$62,0)),0)*IFERROR(INDEX('D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Fleet'!$C$5:$C$62,MATCH(E$3-$B37,'D Fleet'!$B$5:$B$62,0)),0)*IFERROR(INDEX('D Fleet'!$J$5:$J$36,INT(($B37/E$4))+1)+(($B37/E$4)-INT(($B37/E$4)))*(INDEX('D Fleet'!$J$5:$J$36,INT(($B37/E$4))+2)-INDEX('D Fleet'!$J$5:$J$36,INT(($B37/E$4))+1)),0)</f>
        <v/>
      </c>
      <c r="F37" s="276">
        <f>IFERROR(INDEX('D Fleet'!$C$5:$C$62,MATCH(F$3-$B37,'D Fleet'!$B$5:$B$62,0)),0)*IFERROR(INDEX('D Fleet'!$J$5:$J$36,INT(($B37/F$4))+1)+(($B37/F$4)-INT(($B37/F$4)))*(INDEX('D Fleet'!$J$5:$J$36,INT(($B37/F$4))+2)-INDEX('D Fleet'!$J$5:$J$36,INT(($B37/F$4))+1)),0)</f>
        <v/>
      </c>
      <c r="G37" s="276">
        <f>IFERROR(INDEX('D Fleet'!$C$5:$C$62,MATCH(G$3-$B37,'D Fleet'!$B$5:$B$62,0)),0)*IFERROR(INDEX('D Fleet'!$J$5:$J$36,INT(($B37/G$4))+1)+(($B37/G$4)-INT(($B37/G$4)))*(INDEX('D Fleet'!$J$5:$J$36,INT(($B37/G$4))+2)-INDEX('D Fleet'!$J$5:$J$36,INT(($B37/G$4))+1)),0)</f>
        <v/>
      </c>
      <c r="H37" s="276">
        <f>IFERROR(INDEX('D Fleet'!$C$5:$C$62,MATCH(H$3-$B37,'D Fleet'!$B$5:$B$62,0)),0)*IFERROR(INDEX('D Fleet'!$J$5:$J$36,INT(($B37/H$4))+1)+(($B37/H$4)-INT(($B37/H$4)))*(INDEX('D Fleet'!$J$5:$J$36,INT(($B37/H$4))+2)-INDEX('D Fleet'!$J$5:$J$36,INT(($B37/H$4))+1)),0)</f>
        <v/>
      </c>
      <c r="I37" s="276">
        <f>IFERROR(INDEX('D Fleet'!$C$5:$C$62,MATCH(I$3-$B37,'D Fleet'!$B$5:$B$62,0)),0)*IFERROR(INDEX('D Fleet'!$J$5:$J$36,INT(($B37/I$4))+1)+(($B37/I$4)-INT(($B37/I$4)))*(INDEX('D Fleet'!$J$5:$J$36,INT(($B37/I$4))+2)-INDEX('D Fleet'!$J$5:$J$36,INT(($B37/I$4))+1)),0)</f>
        <v/>
      </c>
      <c r="J37" s="276">
        <f>IFERROR(INDEX('D Fleet'!$C$5:$C$62,MATCH(J$3-$B37,'D Fleet'!$B$5:$B$62,0)),0)*IFERROR(INDEX('D Fleet'!$J$5:$J$36,INT(($B37/J$4))+1)+(($B37/J$4)-INT(($B37/J$4)))*(INDEX('D Fleet'!$J$5:$J$36,INT(($B37/J$4))+2)-INDEX('D Fleet'!$J$5:$J$36,INT(($B37/J$4))+1)),0)</f>
        <v/>
      </c>
      <c r="K37" s="276">
        <f>IFERROR(INDEX('D Fleet'!$C$5:$C$62,MATCH(K$3-$B37,'D Fleet'!$B$5:$B$62,0)),0)*IFERROR(INDEX('D Fleet'!$J$5:$J$36,INT(($B37/K$4))+1)+(($B37/K$4)-INT(($B37/K$4)))*(INDEX('D Fleet'!$J$5:$J$36,INT(($B37/K$4))+2)-INDEX('D Fleet'!$J$5:$J$36,INT(($B37/K$4))+1)),0)</f>
        <v/>
      </c>
      <c r="L37" s="276">
        <f>IFERROR(INDEX('D Fleet'!$C$5:$C$62,MATCH(L$3-$B37,'D Fleet'!$B$5:$B$62,0)),0)*IFERROR(INDEX('D Fleet'!$J$5:$J$36,INT(($B37/L$4))+1)+(($B37/L$4)-INT(($B37/L$4)))*(INDEX('D Fleet'!$J$5:$J$36,INT(($B37/L$4))+2)-INDEX('D Fleet'!$J$5:$J$36,INT(($B37/L$4))+1)),0)</f>
        <v/>
      </c>
      <c r="M37" s="276">
        <f>IFERROR(INDEX('D Fleet'!$C$5:$C$62,MATCH(M$3-$B37,'D Fleet'!$B$5:$B$62,0)),0)*IFERROR(INDEX('D Fleet'!$J$5:$J$36,INT(($B37/M$4))+1)+(($B37/M$4)-INT(($B37/M$4)))*(INDEX('D Fleet'!$J$5:$J$36,INT(($B37/M$4))+2)-INDEX('D Fleet'!$J$5:$J$36,INT(($B37/M$4))+1)),0)</f>
        <v/>
      </c>
      <c r="N37" s="276">
        <f>IFERROR(INDEX('D Fleet'!$C$5:$C$62,MATCH(N$3-$B37,'D Fleet'!$B$5:$B$62,0)),0)*IFERROR(INDEX('D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Fleet'!$C$5:$C$62,MATCH(E$3-$B38,'D Fleet'!$B$5:$B$62,0)),0)*IFERROR(INDEX('D Fleet'!$J$5:$J$36,INT(($B38/E$4))+1)+(($B38/E$4)-INT(($B38/E$4)))*(INDEX('D Fleet'!$J$5:$J$36,INT(($B38/E$4))+2)-INDEX('D Fleet'!$J$5:$J$36,INT(($B38/E$4))+1)),0)</f>
        <v/>
      </c>
      <c r="F38" s="276">
        <f>IFERROR(INDEX('D Fleet'!$C$5:$C$62,MATCH(F$3-$B38,'D Fleet'!$B$5:$B$62,0)),0)*IFERROR(INDEX('D Fleet'!$J$5:$J$36,INT(($B38/F$4))+1)+(($B38/F$4)-INT(($B38/F$4)))*(INDEX('D Fleet'!$J$5:$J$36,INT(($B38/F$4))+2)-INDEX('D Fleet'!$J$5:$J$36,INT(($B38/F$4))+1)),0)</f>
        <v/>
      </c>
      <c r="G38" s="276">
        <f>IFERROR(INDEX('D Fleet'!$C$5:$C$62,MATCH(G$3-$B38,'D Fleet'!$B$5:$B$62,0)),0)*IFERROR(INDEX('D Fleet'!$J$5:$J$36,INT(($B38/G$4))+1)+(($B38/G$4)-INT(($B38/G$4)))*(INDEX('D Fleet'!$J$5:$J$36,INT(($B38/G$4))+2)-INDEX('D Fleet'!$J$5:$J$36,INT(($B38/G$4))+1)),0)</f>
        <v/>
      </c>
      <c r="H38" s="276">
        <f>IFERROR(INDEX('D Fleet'!$C$5:$C$62,MATCH(H$3-$B38,'D Fleet'!$B$5:$B$62,0)),0)*IFERROR(INDEX('D Fleet'!$J$5:$J$36,INT(($B38/H$4))+1)+(($B38/H$4)-INT(($B38/H$4)))*(INDEX('D Fleet'!$J$5:$J$36,INT(($B38/H$4))+2)-INDEX('D Fleet'!$J$5:$J$36,INT(($B38/H$4))+1)),0)</f>
        <v/>
      </c>
      <c r="I38" s="276">
        <f>IFERROR(INDEX('D Fleet'!$C$5:$C$62,MATCH(I$3-$B38,'D Fleet'!$B$5:$B$62,0)),0)*IFERROR(INDEX('D Fleet'!$J$5:$J$36,INT(($B38/I$4))+1)+(($B38/I$4)-INT(($B38/I$4)))*(INDEX('D Fleet'!$J$5:$J$36,INT(($B38/I$4))+2)-INDEX('D Fleet'!$J$5:$J$36,INT(($B38/I$4))+1)),0)</f>
        <v/>
      </c>
      <c r="J38" s="276">
        <f>IFERROR(INDEX('D Fleet'!$C$5:$C$62,MATCH(J$3-$B38,'D Fleet'!$B$5:$B$62,0)),0)*IFERROR(INDEX('D Fleet'!$J$5:$J$36,INT(($B38/J$4))+1)+(($B38/J$4)-INT(($B38/J$4)))*(INDEX('D Fleet'!$J$5:$J$36,INT(($B38/J$4))+2)-INDEX('D Fleet'!$J$5:$J$36,INT(($B38/J$4))+1)),0)</f>
        <v/>
      </c>
      <c r="K38" s="276">
        <f>IFERROR(INDEX('D Fleet'!$C$5:$C$62,MATCH(K$3-$B38,'D Fleet'!$B$5:$B$62,0)),0)*IFERROR(INDEX('D Fleet'!$J$5:$J$36,INT(($B38/K$4))+1)+(($B38/K$4)-INT(($B38/K$4)))*(INDEX('D Fleet'!$J$5:$J$36,INT(($B38/K$4))+2)-INDEX('D Fleet'!$J$5:$J$36,INT(($B38/K$4))+1)),0)</f>
        <v/>
      </c>
      <c r="L38" s="276">
        <f>IFERROR(INDEX('D Fleet'!$C$5:$C$62,MATCH(L$3-$B38,'D Fleet'!$B$5:$B$62,0)),0)*IFERROR(INDEX('D Fleet'!$J$5:$J$36,INT(($B38/L$4))+1)+(($B38/L$4)-INT(($B38/L$4)))*(INDEX('D Fleet'!$J$5:$J$36,INT(($B38/L$4))+2)-INDEX('D Fleet'!$J$5:$J$36,INT(($B38/L$4))+1)),0)</f>
        <v/>
      </c>
      <c r="M38" s="276">
        <f>IFERROR(INDEX('D Fleet'!$C$5:$C$62,MATCH(M$3-$B38,'D Fleet'!$B$5:$B$62,0)),0)*IFERROR(INDEX('D Fleet'!$J$5:$J$36,INT(($B38/M$4))+1)+(($B38/M$4)-INT(($B38/M$4)))*(INDEX('D Fleet'!$J$5:$J$36,INT(($B38/M$4))+2)-INDEX('D Fleet'!$J$5:$J$36,INT(($B38/M$4))+1)),0)</f>
        <v/>
      </c>
      <c r="N38" s="276">
        <f>IFERROR(INDEX('D Fleet'!$C$5:$C$62,MATCH(N$3-$B38,'D Fleet'!$B$5:$B$62,0)),0)*IFERROR(INDEX('D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Fleet'!$C$5:$C$62,MATCH(E$3-$B39,'D Fleet'!$B$5:$B$62,0)),0)*IFERROR(INDEX('D Fleet'!$J$5:$J$36,INT(($B39/E$4))+1)+(($B39/E$4)-INT(($B39/E$4)))*(INDEX('D Fleet'!$J$5:$J$36,INT(($B39/E$4))+2)-INDEX('D Fleet'!$J$5:$J$36,INT(($B39/E$4))+1)),0)</f>
        <v/>
      </c>
      <c r="F39" s="276">
        <f>IFERROR(INDEX('D Fleet'!$C$5:$C$62,MATCH(F$3-$B39,'D Fleet'!$B$5:$B$62,0)),0)*IFERROR(INDEX('D Fleet'!$J$5:$J$36,INT(($B39/F$4))+1)+(($B39/F$4)-INT(($B39/F$4)))*(INDEX('D Fleet'!$J$5:$J$36,INT(($B39/F$4))+2)-INDEX('D Fleet'!$J$5:$J$36,INT(($B39/F$4))+1)),0)</f>
        <v/>
      </c>
      <c r="G39" s="276">
        <f>IFERROR(INDEX('D Fleet'!$C$5:$C$62,MATCH(G$3-$B39,'D Fleet'!$B$5:$B$62,0)),0)*IFERROR(INDEX('D Fleet'!$J$5:$J$36,INT(($B39/G$4))+1)+(($B39/G$4)-INT(($B39/G$4)))*(INDEX('D Fleet'!$J$5:$J$36,INT(($B39/G$4))+2)-INDEX('D Fleet'!$J$5:$J$36,INT(($B39/G$4))+1)),0)</f>
        <v/>
      </c>
      <c r="H39" s="276">
        <f>IFERROR(INDEX('D Fleet'!$C$5:$C$62,MATCH(H$3-$B39,'D Fleet'!$B$5:$B$62,0)),0)*IFERROR(INDEX('D Fleet'!$J$5:$J$36,INT(($B39/H$4))+1)+(($B39/H$4)-INT(($B39/H$4)))*(INDEX('D Fleet'!$J$5:$J$36,INT(($B39/H$4))+2)-INDEX('D Fleet'!$J$5:$J$36,INT(($B39/H$4))+1)),0)</f>
        <v/>
      </c>
      <c r="I39" s="276">
        <f>IFERROR(INDEX('D Fleet'!$C$5:$C$62,MATCH(I$3-$B39,'D Fleet'!$B$5:$B$62,0)),0)*IFERROR(INDEX('D Fleet'!$J$5:$J$36,INT(($B39/I$4))+1)+(($B39/I$4)-INT(($B39/I$4)))*(INDEX('D Fleet'!$J$5:$J$36,INT(($B39/I$4))+2)-INDEX('D Fleet'!$J$5:$J$36,INT(($B39/I$4))+1)),0)</f>
        <v/>
      </c>
      <c r="J39" s="276">
        <f>IFERROR(INDEX('D Fleet'!$C$5:$C$62,MATCH(J$3-$B39,'D Fleet'!$B$5:$B$62,0)),0)*IFERROR(INDEX('D Fleet'!$J$5:$J$36,INT(($B39/J$4))+1)+(($B39/J$4)-INT(($B39/J$4)))*(INDEX('D Fleet'!$J$5:$J$36,INT(($B39/J$4))+2)-INDEX('D Fleet'!$J$5:$J$36,INT(($B39/J$4))+1)),0)</f>
        <v/>
      </c>
      <c r="K39" s="276">
        <f>IFERROR(INDEX('D Fleet'!$C$5:$C$62,MATCH(K$3-$B39,'D Fleet'!$B$5:$B$62,0)),0)*IFERROR(INDEX('D Fleet'!$J$5:$J$36,INT(($B39/K$4))+1)+(($B39/K$4)-INT(($B39/K$4)))*(INDEX('D Fleet'!$J$5:$J$36,INT(($B39/K$4))+2)-INDEX('D Fleet'!$J$5:$J$36,INT(($B39/K$4))+1)),0)</f>
        <v/>
      </c>
      <c r="L39" s="276">
        <f>IFERROR(INDEX('D Fleet'!$C$5:$C$62,MATCH(L$3-$B39,'D Fleet'!$B$5:$B$62,0)),0)*IFERROR(INDEX('D Fleet'!$J$5:$J$36,INT(($B39/L$4))+1)+(($B39/L$4)-INT(($B39/L$4)))*(INDEX('D Fleet'!$J$5:$J$36,INT(($B39/L$4))+2)-INDEX('D Fleet'!$J$5:$J$36,INT(($B39/L$4))+1)),0)</f>
        <v/>
      </c>
      <c r="M39" s="276">
        <f>IFERROR(INDEX('D Fleet'!$C$5:$C$62,MATCH(M$3-$B39,'D Fleet'!$B$5:$B$62,0)),0)*IFERROR(INDEX('D Fleet'!$J$5:$J$36,INT(($B39/M$4))+1)+(($B39/M$4)-INT(($B39/M$4)))*(INDEX('D Fleet'!$J$5:$J$36,INT(($B39/M$4))+2)-INDEX('D Fleet'!$J$5:$J$36,INT(($B39/M$4))+1)),0)</f>
        <v/>
      </c>
      <c r="N39" s="276">
        <f>IFERROR(INDEX('D Fleet'!$C$5:$C$62,MATCH(N$3-$B39,'D Fleet'!$B$5:$B$62,0)),0)*IFERROR(INDEX('D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Fleet'!$C$5:$C$62,MATCH(E$3-$B40,'D Fleet'!$B$5:$B$62,0)),0)*IFERROR(INDEX('D Fleet'!$J$5:$J$36,INT(($B40/E$4))+1)+(($B40/E$4)-INT(($B40/E$4)))*(INDEX('D Fleet'!$J$5:$J$36,INT(($B40/E$4))+2)-INDEX('D Fleet'!$J$5:$J$36,INT(($B40/E$4))+1)),0)</f>
        <v/>
      </c>
      <c r="F40" s="276">
        <f>IFERROR(INDEX('D Fleet'!$C$5:$C$62,MATCH(F$3-$B40,'D Fleet'!$B$5:$B$62,0)),0)*IFERROR(INDEX('D Fleet'!$J$5:$J$36,INT(($B40/F$4))+1)+(($B40/F$4)-INT(($B40/F$4)))*(INDEX('D Fleet'!$J$5:$J$36,INT(($B40/F$4))+2)-INDEX('D Fleet'!$J$5:$J$36,INT(($B40/F$4))+1)),0)</f>
        <v/>
      </c>
      <c r="G40" s="276">
        <f>IFERROR(INDEX('D Fleet'!$C$5:$C$62,MATCH(G$3-$B40,'D Fleet'!$B$5:$B$62,0)),0)*IFERROR(INDEX('D Fleet'!$J$5:$J$36,INT(($B40/G$4))+1)+(($B40/G$4)-INT(($B40/G$4)))*(INDEX('D Fleet'!$J$5:$J$36,INT(($B40/G$4))+2)-INDEX('D Fleet'!$J$5:$J$36,INT(($B40/G$4))+1)),0)</f>
        <v/>
      </c>
      <c r="H40" s="276">
        <f>IFERROR(INDEX('D Fleet'!$C$5:$C$62,MATCH(H$3-$B40,'D Fleet'!$B$5:$B$62,0)),0)*IFERROR(INDEX('D Fleet'!$J$5:$J$36,INT(($B40/H$4))+1)+(($B40/H$4)-INT(($B40/H$4)))*(INDEX('D Fleet'!$J$5:$J$36,INT(($B40/H$4))+2)-INDEX('D Fleet'!$J$5:$J$36,INT(($B40/H$4))+1)),0)</f>
        <v/>
      </c>
      <c r="I40" s="276">
        <f>IFERROR(INDEX('D Fleet'!$C$5:$C$62,MATCH(I$3-$B40,'D Fleet'!$B$5:$B$62,0)),0)*IFERROR(INDEX('D Fleet'!$J$5:$J$36,INT(($B40/I$4))+1)+(($B40/I$4)-INT(($B40/I$4)))*(INDEX('D Fleet'!$J$5:$J$36,INT(($B40/I$4))+2)-INDEX('D Fleet'!$J$5:$J$36,INT(($B40/I$4))+1)),0)</f>
        <v/>
      </c>
      <c r="J40" s="276">
        <f>IFERROR(INDEX('D Fleet'!$C$5:$C$62,MATCH(J$3-$B40,'D Fleet'!$B$5:$B$62,0)),0)*IFERROR(INDEX('D Fleet'!$J$5:$J$36,INT(($B40/J$4))+1)+(($B40/J$4)-INT(($B40/J$4)))*(INDEX('D Fleet'!$J$5:$J$36,INT(($B40/J$4))+2)-INDEX('D Fleet'!$J$5:$J$36,INT(($B40/J$4))+1)),0)</f>
        <v/>
      </c>
      <c r="K40" s="276">
        <f>IFERROR(INDEX('D Fleet'!$C$5:$C$62,MATCH(K$3-$B40,'D Fleet'!$B$5:$B$62,0)),0)*IFERROR(INDEX('D Fleet'!$J$5:$J$36,INT(($B40/K$4))+1)+(($B40/K$4)-INT(($B40/K$4)))*(INDEX('D Fleet'!$J$5:$J$36,INT(($B40/K$4))+2)-INDEX('D Fleet'!$J$5:$J$36,INT(($B40/K$4))+1)),0)</f>
        <v/>
      </c>
      <c r="L40" s="276">
        <f>IFERROR(INDEX('D Fleet'!$C$5:$C$62,MATCH(L$3-$B40,'D Fleet'!$B$5:$B$62,0)),0)*IFERROR(INDEX('D Fleet'!$J$5:$J$36,INT(($B40/L$4))+1)+(($B40/L$4)-INT(($B40/L$4)))*(INDEX('D Fleet'!$J$5:$J$36,INT(($B40/L$4))+2)-INDEX('D Fleet'!$J$5:$J$36,INT(($B40/L$4))+1)),0)</f>
        <v/>
      </c>
      <c r="M40" s="276">
        <f>IFERROR(INDEX('D Fleet'!$C$5:$C$62,MATCH(M$3-$B40,'D Fleet'!$B$5:$B$62,0)),0)*IFERROR(INDEX('D Fleet'!$J$5:$J$36,INT(($B40/M$4))+1)+(($B40/M$4)-INT(($B40/M$4)))*(INDEX('D Fleet'!$J$5:$J$36,INT(($B40/M$4))+2)-INDEX('D Fleet'!$J$5:$J$36,INT(($B40/M$4))+1)),0)</f>
        <v/>
      </c>
      <c r="N40" s="276">
        <f>IFERROR(INDEX('D Fleet'!$C$5:$C$62,MATCH(N$3-$B40,'D Fleet'!$B$5:$B$62,0)),0)*IFERROR(INDEX('D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Fleet'!$C$5:$C$62,MATCH(E$3-$B41,'D Fleet'!$B$5:$B$62,0)),0)*IFERROR(INDEX('D Fleet'!$J$5:$J$36,INT(($B41/E$4))+1)+(($B41/E$4)-INT(($B41/E$4)))*(INDEX('D Fleet'!$J$5:$J$36,INT(($B41/E$4))+2)-INDEX('D Fleet'!$J$5:$J$36,INT(($B41/E$4))+1)),0)</f>
        <v/>
      </c>
      <c r="F41" s="276">
        <f>IFERROR(INDEX('D Fleet'!$C$5:$C$62,MATCH(F$3-$B41,'D Fleet'!$B$5:$B$62,0)),0)*IFERROR(INDEX('D Fleet'!$J$5:$J$36,INT(($B41/F$4))+1)+(($B41/F$4)-INT(($B41/F$4)))*(INDEX('D Fleet'!$J$5:$J$36,INT(($B41/F$4))+2)-INDEX('D Fleet'!$J$5:$J$36,INT(($B41/F$4))+1)),0)</f>
        <v/>
      </c>
      <c r="G41" s="276">
        <f>IFERROR(INDEX('D Fleet'!$C$5:$C$62,MATCH(G$3-$B41,'D Fleet'!$B$5:$B$62,0)),0)*IFERROR(INDEX('D Fleet'!$J$5:$J$36,INT(($B41/G$4))+1)+(($B41/G$4)-INT(($B41/G$4)))*(INDEX('D Fleet'!$J$5:$J$36,INT(($B41/G$4))+2)-INDEX('D Fleet'!$J$5:$J$36,INT(($B41/G$4))+1)),0)</f>
        <v/>
      </c>
      <c r="H41" s="276">
        <f>IFERROR(INDEX('D Fleet'!$C$5:$C$62,MATCH(H$3-$B41,'D Fleet'!$B$5:$B$62,0)),0)*IFERROR(INDEX('D Fleet'!$J$5:$J$36,INT(($B41/H$4))+1)+(($B41/H$4)-INT(($B41/H$4)))*(INDEX('D Fleet'!$J$5:$J$36,INT(($B41/H$4))+2)-INDEX('D Fleet'!$J$5:$J$36,INT(($B41/H$4))+1)),0)</f>
        <v/>
      </c>
      <c r="I41" s="276">
        <f>IFERROR(INDEX('D Fleet'!$C$5:$C$62,MATCH(I$3-$B41,'D Fleet'!$B$5:$B$62,0)),0)*IFERROR(INDEX('D Fleet'!$J$5:$J$36,INT(($B41/I$4))+1)+(($B41/I$4)-INT(($B41/I$4)))*(INDEX('D Fleet'!$J$5:$J$36,INT(($B41/I$4))+2)-INDEX('D Fleet'!$J$5:$J$36,INT(($B41/I$4))+1)),0)</f>
        <v/>
      </c>
      <c r="J41" s="276">
        <f>IFERROR(INDEX('D Fleet'!$C$5:$C$62,MATCH(J$3-$B41,'D Fleet'!$B$5:$B$62,0)),0)*IFERROR(INDEX('D Fleet'!$J$5:$J$36,INT(($B41/J$4))+1)+(($B41/J$4)-INT(($B41/J$4)))*(INDEX('D Fleet'!$J$5:$J$36,INT(($B41/J$4))+2)-INDEX('D Fleet'!$J$5:$J$36,INT(($B41/J$4))+1)),0)</f>
        <v/>
      </c>
      <c r="K41" s="276">
        <f>IFERROR(INDEX('D Fleet'!$C$5:$C$62,MATCH(K$3-$B41,'D Fleet'!$B$5:$B$62,0)),0)*IFERROR(INDEX('D Fleet'!$J$5:$J$36,INT(($B41/K$4))+1)+(($B41/K$4)-INT(($B41/K$4)))*(INDEX('D Fleet'!$J$5:$J$36,INT(($B41/K$4))+2)-INDEX('D Fleet'!$J$5:$J$36,INT(($B41/K$4))+1)),0)</f>
        <v/>
      </c>
      <c r="L41" s="276">
        <f>IFERROR(INDEX('D Fleet'!$C$5:$C$62,MATCH(L$3-$B41,'D Fleet'!$B$5:$B$62,0)),0)*IFERROR(INDEX('D Fleet'!$J$5:$J$36,INT(($B41/L$4))+1)+(($B41/L$4)-INT(($B41/L$4)))*(INDEX('D Fleet'!$J$5:$J$36,INT(($B41/L$4))+2)-INDEX('D Fleet'!$J$5:$J$36,INT(($B41/L$4))+1)),0)</f>
        <v/>
      </c>
      <c r="M41" s="276">
        <f>IFERROR(INDEX('D Fleet'!$C$5:$C$62,MATCH(M$3-$B41,'D Fleet'!$B$5:$B$62,0)),0)*IFERROR(INDEX('D Fleet'!$J$5:$J$36,INT(($B41/M$4))+1)+(($B41/M$4)-INT(($B41/M$4)))*(INDEX('D Fleet'!$J$5:$J$36,INT(($B41/M$4))+2)-INDEX('D Fleet'!$J$5:$J$36,INT(($B41/M$4))+1)),0)</f>
        <v/>
      </c>
      <c r="N41" s="276">
        <f>IFERROR(INDEX('D Fleet'!$C$5:$C$62,MATCH(N$3-$B41,'D Fleet'!$B$5:$B$62,0)),0)*IFERROR(INDEX('D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Fleet'!$C$5:$C$62,MATCH(E$3-$B42,'D Fleet'!$B$5:$B$62,0)),0)*IFERROR(INDEX('D Fleet'!$J$5:$J$36,INT(($B42/E$4))+1)+(($B42/E$4)-INT(($B42/E$4)))*(INDEX('D Fleet'!$J$5:$J$36,INT(($B42/E$4))+2)-INDEX('D Fleet'!$J$5:$J$36,INT(($B42/E$4))+1)),0)</f>
        <v/>
      </c>
      <c r="F42" s="276">
        <f>IFERROR(INDEX('D Fleet'!$C$5:$C$62,MATCH(F$3-$B42,'D Fleet'!$B$5:$B$62,0)),0)*IFERROR(INDEX('D Fleet'!$J$5:$J$36,INT(($B42/F$4))+1)+(($B42/F$4)-INT(($B42/F$4)))*(INDEX('D Fleet'!$J$5:$J$36,INT(($B42/F$4))+2)-INDEX('D Fleet'!$J$5:$J$36,INT(($B42/F$4))+1)),0)</f>
        <v/>
      </c>
      <c r="G42" s="276">
        <f>IFERROR(INDEX('D Fleet'!$C$5:$C$62,MATCH(G$3-$B42,'D Fleet'!$B$5:$B$62,0)),0)*IFERROR(INDEX('D Fleet'!$J$5:$J$36,INT(($B42/G$4))+1)+(($B42/G$4)-INT(($B42/G$4)))*(INDEX('D Fleet'!$J$5:$J$36,INT(($B42/G$4))+2)-INDEX('D Fleet'!$J$5:$J$36,INT(($B42/G$4))+1)),0)</f>
        <v/>
      </c>
      <c r="H42" s="276">
        <f>IFERROR(INDEX('D Fleet'!$C$5:$C$62,MATCH(H$3-$B42,'D Fleet'!$B$5:$B$62,0)),0)*IFERROR(INDEX('D Fleet'!$J$5:$J$36,INT(($B42/H$4))+1)+(($B42/H$4)-INT(($B42/H$4)))*(INDEX('D Fleet'!$J$5:$J$36,INT(($B42/H$4))+2)-INDEX('D Fleet'!$J$5:$J$36,INT(($B42/H$4))+1)),0)</f>
        <v/>
      </c>
      <c r="I42" s="276">
        <f>IFERROR(INDEX('D Fleet'!$C$5:$C$62,MATCH(I$3-$B42,'D Fleet'!$B$5:$B$62,0)),0)*IFERROR(INDEX('D Fleet'!$J$5:$J$36,INT(($B42/I$4))+1)+(($B42/I$4)-INT(($B42/I$4)))*(INDEX('D Fleet'!$J$5:$J$36,INT(($B42/I$4))+2)-INDEX('D Fleet'!$J$5:$J$36,INT(($B42/I$4))+1)),0)</f>
        <v/>
      </c>
      <c r="J42" s="276">
        <f>IFERROR(INDEX('D Fleet'!$C$5:$C$62,MATCH(J$3-$B42,'D Fleet'!$B$5:$B$62,0)),0)*IFERROR(INDEX('D Fleet'!$J$5:$J$36,INT(($B42/J$4))+1)+(($B42/J$4)-INT(($B42/J$4)))*(INDEX('D Fleet'!$J$5:$J$36,INT(($B42/J$4))+2)-INDEX('D Fleet'!$J$5:$J$36,INT(($B42/J$4))+1)),0)</f>
        <v/>
      </c>
      <c r="K42" s="276">
        <f>IFERROR(INDEX('D Fleet'!$C$5:$C$62,MATCH(K$3-$B42,'D Fleet'!$B$5:$B$62,0)),0)*IFERROR(INDEX('D Fleet'!$J$5:$J$36,INT(($B42/K$4))+1)+(($B42/K$4)-INT(($B42/K$4)))*(INDEX('D Fleet'!$J$5:$J$36,INT(($B42/K$4))+2)-INDEX('D Fleet'!$J$5:$J$36,INT(($B42/K$4))+1)),0)</f>
        <v/>
      </c>
      <c r="L42" s="276">
        <f>IFERROR(INDEX('D Fleet'!$C$5:$C$62,MATCH(L$3-$B42,'D Fleet'!$B$5:$B$62,0)),0)*IFERROR(INDEX('D Fleet'!$J$5:$J$36,INT(($B42/L$4))+1)+(($B42/L$4)-INT(($B42/L$4)))*(INDEX('D Fleet'!$J$5:$J$36,INT(($B42/L$4))+2)-INDEX('D Fleet'!$J$5:$J$36,INT(($B42/L$4))+1)),0)</f>
        <v/>
      </c>
      <c r="M42" s="276">
        <f>IFERROR(INDEX('D Fleet'!$C$5:$C$62,MATCH(M$3-$B42,'D Fleet'!$B$5:$B$62,0)),0)*IFERROR(INDEX('D Fleet'!$J$5:$J$36,INT(($B42/M$4))+1)+(($B42/M$4)-INT(($B42/M$4)))*(INDEX('D Fleet'!$J$5:$J$36,INT(($B42/M$4))+2)-INDEX('D Fleet'!$J$5:$J$36,INT(($B42/M$4))+1)),0)</f>
        <v/>
      </c>
      <c r="N42" s="276">
        <f>IFERROR(INDEX('D Fleet'!$C$5:$C$62,MATCH(N$3-$B42,'D Fleet'!$B$5:$B$62,0)),0)*IFERROR(INDEX('D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Fleet'!$C$5:$C$62,MATCH(E$3-$B43,'D Fleet'!$B$5:$B$62,0)),0)*IFERROR(INDEX('D Fleet'!$J$5:$J$36,INT(($B43/E$4))+1)+(($B43/E$4)-INT(($B43/E$4)))*(INDEX('D Fleet'!$J$5:$J$36,INT(($B43/E$4))+2)-INDEX('D Fleet'!$J$5:$J$36,INT(($B43/E$4))+1)),0)</f>
        <v/>
      </c>
      <c r="F43" s="276">
        <f>IFERROR(INDEX('D Fleet'!$C$5:$C$62,MATCH(F$3-$B43,'D Fleet'!$B$5:$B$62,0)),0)*IFERROR(INDEX('D Fleet'!$J$5:$J$36,INT(($B43/F$4))+1)+(($B43/F$4)-INT(($B43/F$4)))*(INDEX('D Fleet'!$J$5:$J$36,INT(($B43/F$4))+2)-INDEX('D Fleet'!$J$5:$J$36,INT(($B43/F$4))+1)),0)</f>
        <v/>
      </c>
      <c r="G43" s="276">
        <f>IFERROR(INDEX('D Fleet'!$C$5:$C$62,MATCH(G$3-$B43,'D Fleet'!$B$5:$B$62,0)),0)*IFERROR(INDEX('D Fleet'!$J$5:$J$36,INT(($B43/G$4))+1)+(($B43/G$4)-INT(($B43/G$4)))*(INDEX('D Fleet'!$J$5:$J$36,INT(($B43/G$4))+2)-INDEX('D Fleet'!$J$5:$J$36,INT(($B43/G$4))+1)),0)</f>
        <v/>
      </c>
      <c r="H43" s="276">
        <f>IFERROR(INDEX('D Fleet'!$C$5:$C$62,MATCH(H$3-$B43,'D Fleet'!$B$5:$B$62,0)),0)*IFERROR(INDEX('D Fleet'!$J$5:$J$36,INT(($B43/H$4))+1)+(($B43/H$4)-INT(($B43/H$4)))*(INDEX('D Fleet'!$J$5:$J$36,INT(($B43/H$4))+2)-INDEX('D Fleet'!$J$5:$J$36,INT(($B43/H$4))+1)),0)</f>
        <v/>
      </c>
      <c r="I43" s="276">
        <f>IFERROR(INDEX('D Fleet'!$C$5:$C$62,MATCH(I$3-$B43,'D Fleet'!$B$5:$B$62,0)),0)*IFERROR(INDEX('D Fleet'!$J$5:$J$36,INT(($B43/I$4))+1)+(($B43/I$4)-INT(($B43/I$4)))*(INDEX('D Fleet'!$J$5:$J$36,INT(($B43/I$4))+2)-INDEX('D Fleet'!$J$5:$J$36,INT(($B43/I$4))+1)),0)</f>
        <v/>
      </c>
      <c r="J43" s="276">
        <f>IFERROR(INDEX('D Fleet'!$C$5:$C$62,MATCH(J$3-$B43,'D Fleet'!$B$5:$B$62,0)),0)*IFERROR(INDEX('D Fleet'!$J$5:$J$36,INT(($B43/J$4))+1)+(($B43/J$4)-INT(($B43/J$4)))*(INDEX('D Fleet'!$J$5:$J$36,INT(($B43/J$4))+2)-INDEX('D Fleet'!$J$5:$J$36,INT(($B43/J$4))+1)),0)</f>
        <v/>
      </c>
      <c r="K43" s="276">
        <f>IFERROR(INDEX('D Fleet'!$C$5:$C$62,MATCH(K$3-$B43,'D Fleet'!$B$5:$B$62,0)),0)*IFERROR(INDEX('D Fleet'!$J$5:$J$36,INT(($B43/K$4))+1)+(($B43/K$4)-INT(($B43/K$4)))*(INDEX('D Fleet'!$J$5:$J$36,INT(($B43/K$4))+2)-INDEX('D Fleet'!$J$5:$J$36,INT(($B43/K$4))+1)),0)</f>
        <v/>
      </c>
      <c r="L43" s="276">
        <f>IFERROR(INDEX('D Fleet'!$C$5:$C$62,MATCH(L$3-$B43,'D Fleet'!$B$5:$B$62,0)),0)*IFERROR(INDEX('D Fleet'!$J$5:$J$36,INT(($B43/L$4))+1)+(($B43/L$4)-INT(($B43/L$4)))*(INDEX('D Fleet'!$J$5:$J$36,INT(($B43/L$4))+2)-INDEX('D Fleet'!$J$5:$J$36,INT(($B43/L$4))+1)),0)</f>
        <v/>
      </c>
      <c r="M43" s="276">
        <f>IFERROR(INDEX('D Fleet'!$C$5:$C$62,MATCH(M$3-$B43,'D Fleet'!$B$5:$B$62,0)),0)*IFERROR(INDEX('D Fleet'!$J$5:$J$36,INT(($B43/M$4))+1)+(($B43/M$4)-INT(($B43/M$4)))*(INDEX('D Fleet'!$J$5:$J$36,INT(($B43/M$4))+2)-INDEX('D Fleet'!$J$5:$J$36,INT(($B43/M$4))+1)),0)</f>
        <v/>
      </c>
      <c r="N43" s="276">
        <f>IFERROR(INDEX('D Fleet'!$C$5:$C$62,MATCH(N$3-$B43,'D Fleet'!$B$5:$B$62,0)),0)*IFERROR(INDEX('D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Fleet'!$C$5:$C$62,MATCH(E$3-$B44,'D Fleet'!$B$5:$B$62,0)),0)*IFERROR(INDEX('D Fleet'!$J$5:$J$36,INT(($B44/E$4))+1)+(($B44/E$4)-INT(($B44/E$4)))*(INDEX('D Fleet'!$J$5:$J$36,INT(($B44/E$4))+2)-INDEX('D Fleet'!$J$5:$J$36,INT(($B44/E$4))+1)),0)</f>
        <v/>
      </c>
      <c r="F44" s="276">
        <f>IFERROR(INDEX('D Fleet'!$C$5:$C$62,MATCH(F$3-$B44,'D Fleet'!$B$5:$B$62,0)),0)*IFERROR(INDEX('D Fleet'!$J$5:$J$36,INT(($B44/F$4))+1)+(($B44/F$4)-INT(($B44/F$4)))*(INDEX('D Fleet'!$J$5:$J$36,INT(($B44/F$4))+2)-INDEX('D Fleet'!$J$5:$J$36,INT(($B44/F$4))+1)),0)</f>
        <v/>
      </c>
      <c r="G44" s="276">
        <f>IFERROR(INDEX('D Fleet'!$C$5:$C$62,MATCH(G$3-$B44,'D Fleet'!$B$5:$B$62,0)),0)*IFERROR(INDEX('D Fleet'!$J$5:$J$36,INT(($B44/G$4))+1)+(($B44/G$4)-INT(($B44/G$4)))*(INDEX('D Fleet'!$J$5:$J$36,INT(($B44/G$4))+2)-INDEX('D Fleet'!$J$5:$J$36,INT(($B44/G$4))+1)),0)</f>
        <v/>
      </c>
      <c r="H44" s="276">
        <f>IFERROR(INDEX('D Fleet'!$C$5:$C$62,MATCH(H$3-$B44,'D Fleet'!$B$5:$B$62,0)),0)*IFERROR(INDEX('D Fleet'!$J$5:$J$36,INT(($B44/H$4))+1)+(($B44/H$4)-INT(($B44/H$4)))*(INDEX('D Fleet'!$J$5:$J$36,INT(($B44/H$4))+2)-INDEX('D Fleet'!$J$5:$J$36,INT(($B44/H$4))+1)),0)</f>
        <v/>
      </c>
      <c r="I44" s="276">
        <f>IFERROR(INDEX('D Fleet'!$C$5:$C$62,MATCH(I$3-$B44,'D Fleet'!$B$5:$B$62,0)),0)*IFERROR(INDEX('D Fleet'!$J$5:$J$36,INT(($B44/I$4))+1)+(($B44/I$4)-INT(($B44/I$4)))*(INDEX('D Fleet'!$J$5:$J$36,INT(($B44/I$4))+2)-INDEX('D Fleet'!$J$5:$J$36,INT(($B44/I$4))+1)),0)</f>
        <v/>
      </c>
      <c r="J44" s="276">
        <f>IFERROR(INDEX('D Fleet'!$C$5:$C$62,MATCH(J$3-$B44,'D Fleet'!$B$5:$B$62,0)),0)*IFERROR(INDEX('D Fleet'!$J$5:$J$36,INT(($B44/J$4))+1)+(($B44/J$4)-INT(($B44/J$4)))*(INDEX('D Fleet'!$J$5:$J$36,INT(($B44/J$4))+2)-INDEX('D Fleet'!$J$5:$J$36,INT(($B44/J$4))+1)),0)</f>
        <v/>
      </c>
      <c r="K44" s="276">
        <f>IFERROR(INDEX('D Fleet'!$C$5:$C$62,MATCH(K$3-$B44,'D Fleet'!$B$5:$B$62,0)),0)*IFERROR(INDEX('D Fleet'!$J$5:$J$36,INT(($B44/K$4))+1)+(($B44/K$4)-INT(($B44/K$4)))*(INDEX('D Fleet'!$J$5:$J$36,INT(($B44/K$4))+2)-INDEX('D Fleet'!$J$5:$J$36,INT(($B44/K$4))+1)),0)</f>
        <v/>
      </c>
      <c r="L44" s="276">
        <f>IFERROR(INDEX('D Fleet'!$C$5:$C$62,MATCH(L$3-$B44,'D Fleet'!$B$5:$B$62,0)),0)*IFERROR(INDEX('D Fleet'!$J$5:$J$36,INT(($B44/L$4))+1)+(($B44/L$4)-INT(($B44/L$4)))*(INDEX('D Fleet'!$J$5:$J$36,INT(($B44/L$4))+2)-INDEX('D Fleet'!$J$5:$J$36,INT(($B44/L$4))+1)),0)</f>
        <v/>
      </c>
      <c r="M44" s="276">
        <f>IFERROR(INDEX('D Fleet'!$C$5:$C$62,MATCH(M$3-$B44,'D Fleet'!$B$5:$B$62,0)),0)*IFERROR(INDEX('D Fleet'!$J$5:$J$36,INT(($B44/M$4))+1)+(($B44/M$4)-INT(($B44/M$4)))*(INDEX('D Fleet'!$J$5:$J$36,INT(($B44/M$4))+2)-INDEX('D Fleet'!$J$5:$J$36,INT(($B44/M$4))+1)),0)</f>
        <v/>
      </c>
      <c r="N44" s="276">
        <f>IFERROR(INDEX('D Fleet'!$C$5:$C$62,MATCH(N$3-$B44,'D Fleet'!$B$5:$B$62,0)),0)*IFERROR(INDEX('D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Fleet'!$C$5:$C$62,MATCH(E$3-$B45,'D Fleet'!$B$5:$B$62,0)),0)*IFERROR(INDEX('D Fleet'!$J$5:$J$36,INT(($B45/E$4))+1)+(($B45/E$4)-INT(($B45/E$4)))*(INDEX('D Fleet'!$J$5:$J$36,INT(($B45/E$4))+2)-INDEX('D Fleet'!$J$5:$J$36,INT(($B45/E$4))+1)),0)</f>
        <v/>
      </c>
      <c r="F45" s="276">
        <f>IFERROR(INDEX('D Fleet'!$C$5:$C$62,MATCH(F$3-$B45,'D Fleet'!$B$5:$B$62,0)),0)*IFERROR(INDEX('D Fleet'!$J$5:$J$36,INT(($B45/F$4))+1)+(($B45/F$4)-INT(($B45/F$4)))*(INDEX('D Fleet'!$J$5:$J$36,INT(($B45/F$4))+2)-INDEX('D Fleet'!$J$5:$J$36,INT(($B45/F$4))+1)),0)</f>
        <v/>
      </c>
      <c r="G45" s="276">
        <f>IFERROR(INDEX('D Fleet'!$C$5:$C$62,MATCH(G$3-$B45,'D Fleet'!$B$5:$B$62,0)),0)*IFERROR(INDEX('D Fleet'!$J$5:$J$36,INT(($B45/G$4))+1)+(($B45/G$4)-INT(($B45/G$4)))*(INDEX('D Fleet'!$J$5:$J$36,INT(($B45/G$4))+2)-INDEX('D Fleet'!$J$5:$J$36,INT(($B45/G$4))+1)),0)</f>
        <v/>
      </c>
      <c r="H45" s="276">
        <f>IFERROR(INDEX('D Fleet'!$C$5:$C$62,MATCH(H$3-$B45,'D Fleet'!$B$5:$B$62,0)),0)*IFERROR(INDEX('D Fleet'!$J$5:$J$36,INT(($B45/H$4))+1)+(($B45/H$4)-INT(($B45/H$4)))*(INDEX('D Fleet'!$J$5:$J$36,INT(($B45/H$4))+2)-INDEX('D Fleet'!$J$5:$J$36,INT(($B45/H$4))+1)),0)</f>
        <v/>
      </c>
      <c r="I45" s="276">
        <f>IFERROR(INDEX('D Fleet'!$C$5:$C$62,MATCH(I$3-$B45,'D Fleet'!$B$5:$B$62,0)),0)*IFERROR(INDEX('D Fleet'!$J$5:$J$36,INT(($B45/I$4))+1)+(($B45/I$4)-INT(($B45/I$4)))*(INDEX('D Fleet'!$J$5:$J$36,INT(($B45/I$4))+2)-INDEX('D Fleet'!$J$5:$J$36,INT(($B45/I$4))+1)),0)</f>
        <v/>
      </c>
      <c r="J45" s="276">
        <f>IFERROR(INDEX('D Fleet'!$C$5:$C$62,MATCH(J$3-$B45,'D Fleet'!$B$5:$B$62,0)),0)*IFERROR(INDEX('D Fleet'!$J$5:$J$36,INT(($B45/J$4))+1)+(($B45/J$4)-INT(($B45/J$4)))*(INDEX('D Fleet'!$J$5:$J$36,INT(($B45/J$4))+2)-INDEX('D Fleet'!$J$5:$J$36,INT(($B45/J$4))+1)),0)</f>
        <v/>
      </c>
      <c r="K45" s="276">
        <f>IFERROR(INDEX('D Fleet'!$C$5:$C$62,MATCH(K$3-$B45,'D Fleet'!$B$5:$B$62,0)),0)*IFERROR(INDEX('D Fleet'!$J$5:$J$36,INT(($B45/K$4))+1)+(($B45/K$4)-INT(($B45/K$4)))*(INDEX('D Fleet'!$J$5:$J$36,INT(($B45/K$4))+2)-INDEX('D Fleet'!$J$5:$J$36,INT(($B45/K$4))+1)),0)</f>
        <v/>
      </c>
      <c r="L45" s="276">
        <f>IFERROR(INDEX('D Fleet'!$C$5:$C$62,MATCH(L$3-$B45,'D Fleet'!$B$5:$B$62,0)),0)*IFERROR(INDEX('D Fleet'!$J$5:$J$36,INT(($B45/L$4))+1)+(($B45/L$4)-INT(($B45/L$4)))*(INDEX('D Fleet'!$J$5:$J$36,INT(($B45/L$4))+2)-INDEX('D Fleet'!$J$5:$J$36,INT(($B45/L$4))+1)),0)</f>
        <v/>
      </c>
      <c r="M45" s="276">
        <f>IFERROR(INDEX('D Fleet'!$C$5:$C$62,MATCH(M$3-$B45,'D Fleet'!$B$5:$B$62,0)),0)*IFERROR(INDEX('D Fleet'!$J$5:$J$36,INT(($B45/M$4))+1)+(($B45/M$4)-INT(($B45/M$4)))*(INDEX('D Fleet'!$J$5:$J$36,INT(($B45/M$4))+2)-INDEX('D Fleet'!$J$5:$J$36,INT(($B45/M$4))+1)),0)</f>
        <v/>
      </c>
      <c r="N45" s="276">
        <f>IFERROR(INDEX('D Fleet'!$C$5:$C$62,MATCH(N$3-$B45,'D Fleet'!$B$5:$B$62,0)),0)*IFERROR(INDEX('D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Fleet'!$C$5:$C$62,MATCH(E$3-$B46,'D Fleet'!$B$5:$B$62,0)),0)*IFERROR(INDEX('D Fleet'!$J$5:$J$36,INT(($B46/E$4))+1)+(($B46/E$4)-INT(($B46/E$4)))*(INDEX('D Fleet'!$J$5:$J$36,INT(($B46/E$4))+2)-INDEX('D Fleet'!$J$5:$J$36,INT(($B46/E$4))+1)),0)</f>
        <v/>
      </c>
      <c r="F46" s="276">
        <f>IFERROR(INDEX('D Fleet'!$C$5:$C$62,MATCH(F$3-$B46,'D Fleet'!$B$5:$B$62,0)),0)*IFERROR(INDEX('D Fleet'!$J$5:$J$36,INT(($B46/F$4))+1)+(($B46/F$4)-INT(($B46/F$4)))*(INDEX('D Fleet'!$J$5:$J$36,INT(($B46/F$4))+2)-INDEX('D Fleet'!$J$5:$J$36,INT(($B46/F$4))+1)),0)</f>
        <v/>
      </c>
      <c r="G46" s="276">
        <f>IFERROR(INDEX('D Fleet'!$C$5:$C$62,MATCH(G$3-$B46,'D Fleet'!$B$5:$B$62,0)),0)*IFERROR(INDEX('D Fleet'!$J$5:$J$36,INT(($B46/G$4))+1)+(($B46/G$4)-INT(($B46/G$4)))*(INDEX('D Fleet'!$J$5:$J$36,INT(($B46/G$4))+2)-INDEX('D Fleet'!$J$5:$J$36,INT(($B46/G$4))+1)),0)</f>
        <v/>
      </c>
      <c r="H46" s="276">
        <f>IFERROR(INDEX('D Fleet'!$C$5:$C$62,MATCH(H$3-$B46,'D Fleet'!$B$5:$B$62,0)),0)*IFERROR(INDEX('D Fleet'!$J$5:$J$36,INT(($B46/H$4))+1)+(($B46/H$4)-INT(($B46/H$4)))*(INDEX('D Fleet'!$J$5:$J$36,INT(($B46/H$4))+2)-INDEX('D Fleet'!$J$5:$J$36,INT(($B46/H$4))+1)),0)</f>
        <v/>
      </c>
      <c r="I46" s="276">
        <f>IFERROR(INDEX('D Fleet'!$C$5:$C$62,MATCH(I$3-$B46,'D Fleet'!$B$5:$B$62,0)),0)*IFERROR(INDEX('D Fleet'!$J$5:$J$36,INT(($B46/I$4))+1)+(($B46/I$4)-INT(($B46/I$4)))*(INDEX('D Fleet'!$J$5:$J$36,INT(($B46/I$4))+2)-INDEX('D Fleet'!$J$5:$J$36,INT(($B46/I$4))+1)),0)</f>
        <v/>
      </c>
      <c r="J46" s="276">
        <f>IFERROR(INDEX('D Fleet'!$C$5:$C$62,MATCH(J$3-$B46,'D Fleet'!$B$5:$B$62,0)),0)*IFERROR(INDEX('D Fleet'!$J$5:$J$36,INT(($B46/J$4))+1)+(($B46/J$4)-INT(($B46/J$4)))*(INDEX('D Fleet'!$J$5:$J$36,INT(($B46/J$4))+2)-INDEX('D Fleet'!$J$5:$J$36,INT(($B46/J$4))+1)),0)</f>
        <v/>
      </c>
      <c r="K46" s="276">
        <f>IFERROR(INDEX('D Fleet'!$C$5:$C$62,MATCH(K$3-$B46,'D Fleet'!$B$5:$B$62,0)),0)*IFERROR(INDEX('D Fleet'!$J$5:$J$36,INT(($B46/K$4))+1)+(($B46/K$4)-INT(($B46/K$4)))*(INDEX('D Fleet'!$J$5:$J$36,INT(($B46/K$4))+2)-INDEX('D Fleet'!$J$5:$J$36,INT(($B46/K$4))+1)),0)</f>
        <v/>
      </c>
      <c r="L46" s="276">
        <f>IFERROR(INDEX('D Fleet'!$C$5:$C$62,MATCH(L$3-$B46,'D Fleet'!$B$5:$B$62,0)),0)*IFERROR(INDEX('D Fleet'!$J$5:$J$36,INT(($B46/L$4))+1)+(($B46/L$4)-INT(($B46/L$4)))*(INDEX('D Fleet'!$J$5:$J$36,INT(($B46/L$4))+2)-INDEX('D Fleet'!$J$5:$J$36,INT(($B46/L$4))+1)),0)</f>
        <v/>
      </c>
      <c r="M46" s="276">
        <f>IFERROR(INDEX('D Fleet'!$C$5:$C$62,MATCH(M$3-$B46,'D Fleet'!$B$5:$B$62,0)),0)*IFERROR(INDEX('D Fleet'!$J$5:$J$36,INT(($B46/M$4))+1)+(($B46/M$4)-INT(($B46/M$4)))*(INDEX('D Fleet'!$J$5:$J$36,INT(($B46/M$4))+2)-INDEX('D Fleet'!$J$5:$J$36,INT(($B46/M$4))+1)),0)</f>
        <v/>
      </c>
      <c r="N46" s="276">
        <f>IFERROR(INDEX('D Fleet'!$C$5:$C$62,MATCH(N$3-$B46,'D Fleet'!$B$5:$B$62,0)),0)*IFERROR(INDEX('D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Fleet'!$C$5:$C$62,MATCH(E$3-$B47,'D Fleet'!$B$5:$B$62,0)),0)*IFERROR(INDEX('D Fleet'!$J$5:$J$36,INT(($B47/E$4))+1)+(($B47/E$4)-INT(($B47/E$4)))*(INDEX('D Fleet'!$J$5:$J$36,INT(($B47/E$4))+2)-INDEX('D Fleet'!$J$5:$J$36,INT(($B47/E$4))+1)),0)</f>
        <v/>
      </c>
      <c r="F47" s="276">
        <f>IFERROR(INDEX('D Fleet'!$C$5:$C$62,MATCH(F$3-$B47,'D Fleet'!$B$5:$B$62,0)),0)*IFERROR(INDEX('D Fleet'!$J$5:$J$36,INT(($B47/F$4))+1)+(($B47/F$4)-INT(($B47/F$4)))*(INDEX('D Fleet'!$J$5:$J$36,INT(($B47/F$4))+2)-INDEX('D Fleet'!$J$5:$J$36,INT(($B47/F$4))+1)),0)</f>
        <v/>
      </c>
      <c r="G47" s="276">
        <f>IFERROR(INDEX('D Fleet'!$C$5:$C$62,MATCH(G$3-$B47,'D Fleet'!$B$5:$B$62,0)),0)*IFERROR(INDEX('D Fleet'!$J$5:$J$36,INT(($B47/G$4))+1)+(($B47/G$4)-INT(($B47/G$4)))*(INDEX('D Fleet'!$J$5:$J$36,INT(($B47/G$4))+2)-INDEX('D Fleet'!$J$5:$J$36,INT(($B47/G$4))+1)),0)</f>
        <v/>
      </c>
      <c r="H47" s="276">
        <f>IFERROR(INDEX('D Fleet'!$C$5:$C$62,MATCH(H$3-$B47,'D Fleet'!$B$5:$B$62,0)),0)*IFERROR(INDEX('D Fleet'!$J$5:$J$36,INT(($B47/H$4))+1)+(($B47/H$4)-INT(($B47/H$4)))*(INDEX('D Fleet'!$J$5:$J$36,INT(($B47/H$4))+2)-INDEX('D Fleet'!$J$5:$J$36,INT(($B47/H$4))+1)),0)</f>
        <v/>
      </c>
      <c r="I47" s="276">
        <f>IFERROR(INDEX('D Fleet'!$C$5:$C$62,MATCH(I$3-$B47,'D Fleet'!$B$5:$B$62,0)),0)*IFERROR(INDEX('D Fleet'!$J$5:$J$36,INT(($B47/I$4))+1)+(($B47/I$4)-INT(($B47/I$4)))*(INDEX('D Fleet'!$J$5:$J$36,INT(($B47/I$4))+2)-INDEX('D Fleet'!$J$5:$J$36,INT(($B47/I$4))+1)),0)</f>
        <v/>
      </c>
      <c r="J47" s="276">
        <f>IFERROR(INDEX('D Fleet'!$C$5:$C$62,MATCH(J$3-$B47,'D Fleet'!$B$5:$B$62,0)),0)*IFERROR(INDEX('D Fleet'!$J$5:$J$36,INT(($B47/J$4))+1)+(($B47/J$4)-INT(($B47/J$4)))*(INDEX('D Fleet'!$J$5:$J$36,INT(($B47/J$4))+2)-INDEX('D Fleet'!$J$5:$J$36,INT(($B47/J$4))+1)),0)</f>
        <v/>
      </c>
      <c r="K47" s="276">
        <f>IFERROR(INDEX('D Fleet'!$C$5:$C$62,MATCH(K$3-$B47,'D Fleet'!$B$5:$B$62,0)),0)*IFERROR(INDEX('D Fleet'!$J$5:$J$36,INT(($B47/K$4))+1)+(($B47/K$4)-INT(($B47/K$4)))*(INDEX('D Fleet'!$J$5:$J$36,INT(($B47/K$4))+2)-INDEX('D Fleet'!$J$5:$J$36,INT(($B47/K$4))+1)),0)</f>
        <v/>
      </c>
      <c r="L47" s="276">
        <f>IFERROR(INDEX('D Fleet'!$C$5:$C$62,MATCH(L$3-$B47,'D Fleet'!$B$5:$B$62,0)),0)*IFERROR(INDEX('D Fleet'!$J$5:$J$36,INT(($B47/L$4))+1)+(($B47/L$4)-INT(($B47/L$4)))*(INDEX('D Fleet'!$J$5:$J$36,INT(($B47/L$4))+2)-INDEX('D Fleet'!$J$5:$J$36,INT(($B47/L$4))+1)),0)</f>
        <v/>
      </c>
      <c r="M47" s="276">
        <f>IFERROR(INDEX('D Fleet'!$C$5:$C$62,MATCH(M$3-$B47,'D Fleet'!$B$5:$B$62,0)),0)*IFERROR(INDEX('D Fleet'!$J$5:$J$36,INT(($B47/M$4))+1)+(($B47/M$4)-INT(($B47/M$4)))*(INDEX('D Fleet'!$J$5:$J$36,INT(($B47/M$4))+2)-INDEX('D Fleet'!$J$5:$J$36,INT(($B47/M$4))+1)),0)</f>
        <v/>
      </c>
      <c r="N47" s="276">
        <f>IFERROR(INDEX('D Fleet'!$C$5:$C$62,MATCH(N$3-$B47,'D Fleet'!$B$5:$B$62,0)),0)*IFERROR(INDEX('D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Fleet'!$C$5:$C$62,MATCH(E$3-$B48,'D Fleet'!$B$5:$B$62,0)),0)*IFERROR(INDEX('D Fleet'!$J$5:$J$36,INT(($B48/E$4))+1)+(($B48/E$4)-INT(($B48/E$4)))*(INDEX('D Fleet'!$J$5:$J$36,INT(($B48/E$4))+2)-INDEX('D Fleet'!$J$5:$J$36,INT(($B48/E$4))+1)),0)</f>
        <v/>
      </c>
      <c r="F48" s="276">
        <f>IFERROR(INDEX('D Fleet'!$C$5:$C$62,MATCH(F$3-$B48,'D Fleet'!$B$5:$B$62,0)),0)*IFERROR(INDEX('D Fleet'!$J$5:$J$36,INT(($B48/F$4))+1)+(($B48/F$4)-INT(($B48/F$4)))*(INDEX('D Fleet'!$J$5:$J$36,INT(($B48/F$4))+2)-INDEX('D Fleet'!$J$5:$J$36,INT(($B48/F$4))+1)),0)</f>
        <v/>
      </c>
      <c r="G48" s="276">
        <f>IFERROR(INDEX('D Fleet'!$C$5:$C$62,MATCH(G$3-$B48,'D Fleet'!$B$5:$B$62,0)),0)*IFERROR(INDEX('D Fleet'!$J$5:$J$36,INT(($B48/G$4))+1)+(($B48/G$4)-INT(($B48/G$4)))*(INDEX('D Fleet'!$J$5:$J$36,INT(($B48/G$4))+2)-INDEX('D Fleet'!$J$5:$J$36,INT(($B48/G$4))+1)),0)</f>
        <v/>
      </c>
      <c r="H48" s="276">
        <f>IFERROR(INDEX('D Fleet'!$C$5:$C$62,MATCH(H$3-$B48,'D Fleet'!$B$5:$B$62,0)),0)*IFERROR(INDEX('D Fleet'!$J$5:$J$36,INT(($B48/H$4))+1)+(($B48/H$4)-INT(($B48/H$4)))*(INDEX('D Fleet'!$J$5:$J$36,INT(($B48/H$4))+2)-INDEX('D Fleet'!$J$5:$J$36,INT(($B48/H$4))+1)),0)</f>
        <v/>
      </c>
      <c r="I48" s="276">
        <f>IFERROR(INDEX('D Fleet'!$C$5:$C$62,MATCH(I$3-$B48,'D Fleet'!$B$5:$B$62,0)),0)*IFERROR(INDEX('D Fleet'!$J$5:$J$36,INT(($B48/I$4))+1)+(($B48/I$4)-INT(($B48/I$4)))*(INDEX('D Fleet'!$J$5:$J$36,INT(($B48/I$4))+2)-INDEX('D Fleet'!$J$5:$J$36,INT(($B48/I$4))+1)),0)</f>
        <v/>
      </c>
      <c r="J48" s="276">
        <f>IFERROR(INDEX('D Fleet'!$C$5:$C$62,MATCH(J$3-$B48,'D Fleet'!$B$5:$B$62,0)),0)*IFERROR(INDEX('D Fleet'!$J$5:$J$36,INT(($B48/J$4))+1)+(($B48/J$4)-INT(($B48/J$4)))*(INDEX('D Fleet'!$J$5:$J$36,INT(($B48/J$4))+2)-INDEX('D Fleet'!$J$5:$J$36,INT(($B48/J$4))+1)),0)</f>
        <v/>
      </c>
      <c r="K48" s="276">
        <f>IFERROR(INDEX('D Fleet'!$C$5:$C$62,MATCH(K$3-$B48,'D Fleet'!$B$5:$B$62,0)),0)*IFERROR(INDEX('D Fleet'!$J$5:$J$36,INT(($B48/K$4))+1)+(($B48/K$4)-INT(($B48/K$4)))*(INDEX('D Fleet'!$J$5:$J$36,INT(($B48/K$4))+2)-INDEX('D Fleet'!$J$5:$J$36,INT(($B48/K$4))+1)),0)</f>
        <v/>
      </c>
      <c r="L48" s="276">
        <f>IFERROR(INDEX('D Fleet'!$C$5:$C$62,MATCH(L$3-$B48,'D Fleet'!$B$5:$B$62,0)),0)*IFERROR(INDEX('D Fleet'!$J$5:$J$36,INT(($B48/L$4))+1)+(($B48/L$4)-INT(($B48/L$4)))*(INDEX('D Fleet'!$J$5:$J$36,INT(($B48/L$4))+2)-INDEX('D Fleet'!$J$5:$J$36,INT(($B48/L$4))+1)),0)</f>
        <v/>
      </c>
      <c r="M48" s="276">
        <f>IFERROR(INDEX('D Fleet'!$C$5:$C$62,MATCH(M$3-$B48,'D Fleet'!$B$5:$B$62,0)),0)*IFERROR(INDEX('D Fleet'!$J$5:$J$36,INT(($B48/M$4))+1)+(($B48/M$4)-INT(($B48/M$4)))*(INDEX('D Fleet'!$J$5:$J$36,INT(($B48/M$4))+2)-INDEX('D Fleet'!$J$5:$J$36,INT(($B48/M$4))+1)),0)</f>
        <v/>
      </c>
      <c r="N48" s="276">
        <f>IFERROR(INDEX('D Fleet'!$C$5:$C$62,MATCH(N$3-$B48,'D Fleet'!$B$5:$B$62,0)),0)*IFERROR(INDEX('D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Fleet'!$C$5:$C$62,MATCH(E$3-$B49,'D Fleet'!$B$5:$B$62,0)),0)*IFERROR(INDEX('D Fleet'!$J$5:$J$36,INT(($B49/E$4))+1)+(($B49/E$4)-INT(($B49/E$4)))*(INDEX('D Fleet'!$J$5:$J$36,INT(($B49/E$4))+2)-INDEX('D Fleet'!$J$5:$J$36,INT(($B49/E$4))+1)),0)</f>
        <v/>
      </c>
      <c r="F49" s="276">
        <f>IFERROR(INDEX('D Fleet'!$C$5:$C$62,MATCH(F$3-$B49,'D Fleet'!$B$5:$B$62,0)),0)*IFERROR(INDEX('D Fleet'!$J$5:$J$36,INT(($B49/F$4))+1)+(($B49/F$4)-INT(($B49/F$4)))*(INDEX('D Fleet'!$J$5:$J$36,INT(($B49/F$4))+2)-INDEX('D Fleet'!$J$5:$J$36,INT(($B49/F$4))+1)),0)</f>
        <v/>
      </c>
      <c r="G49" s="276">
        <f>IFERROR(INDEX('D Fleet'!$C$5:$C$62,MATCH(G$3-$B49,'D Fleet'!$B$5:$B$62,0)),0)*IFERROR(INDEX('D Fleet'!$J$5:$J$36,INT(($B49/G$4))+1)+(($B49/G$4)-INT(($B49/G$4)))*(INDEX('D Fleet'!$J$5:$J$36,INT(($B49/G$4))+2)-INDEX('D Fleet'!$J$5:$J$36,INT(($B49/G$4))+1)),0)</f>
        <v/>
      </c>
      <c r="H49" s="276">
        <f>IFERROR(INDEX('D Fleet'!$C$5:$C$62,MATCH(H$3-$B49,'D Fleet'!$B$5:$B$62,0)),0)*IFERROR(INDEX('D Fleet'!$J$5:$J$36,INT(($B49/H$4))+1)+(($B49/H$4)-INT(($B49/H$4)))*(INDEX('D Fleet'!$J$5:$J$36,INT(($B49/H$4))+2)-INDEX('D Fleet'!$J$5:$J$36,INT(($B49/H$4))+1)),0)</f>
        <v/>
      </c>
      <c r="I49" s="276">
        <f>IFERROR(INDEX('D Fleet'!$C$5:$C$62,MATCH(I$3-$B49,'D Fleet'!$B$5:$B$62,0)),0)*IFERROR(INDEX('D Fleet'!$J$5:$J$36,INT(($B49/I$4))+1)+(($B49/I$4)-INT(($B49/I$4)))*(INDEX('D Fleet'!$J$5:$J$36,INT(($B49/I$4))+2)-INDEX('D Fleet'!$J$5:$J$36,INT(($B49/I$4))+1)),0)</f>
        <v/>
      </c>
      <c r="J49" s="276">
        <f>IFERROR(INDEX('D Fleet'!$C$5:$C$62,MATCH(J$3-$B49,'D Fleet'!$B$5:$B$62,0)),0)*IFERROR(INDEX('D Fleet'!$J$5:$J$36,INT(($B49/J$4))+1)+(($B49/J$4)-INT(($B49/J$4)))*(INDEX('D Fleet'!$J$5:$J$36,INT(($B49/J$4))+2)-INDEX('D Fleet'!$J$5:$J$36,INT(($B49/J$4))+1)),0)</f>
        <v/>
      </c>
      <c r="K49" s="276">
        <f>IFERROR(INDEX('D Fleet'!$C$5:$C$62,MATCH(K$3-$B49,'D Fleet'!$B$5:$B$62,0)),0)*IFERROR(INDEX('D Fleet'!$J$5:$J$36,INT(($B49/K$4))+1)+(($B49/K$4)-INT(($B49/K$4)))*(INDEX('D Fleet'!$J$5:$J$36,INT(($B49/K$4))+2)-INDEX('D Fleet'!$J$5:$J$36,INT(($B49/K$4))+1)),0)</f>
        <v/>
      </c>
      <c r="L49" s="276">
        <f>IFERROR(INDEX('D Fleet'!$C$5:$C$62,MATCH(L$3-$B49,'D Fleet'!$B$5:$B$62,0)),0)*IFERROR(INDEX('D Fleet'!$J$5:$J$36,INT(($B49/L$4))+1)+(($B49/L$4)-INT(($B49/L$4)))*(INDEX('D Fleet'!$J$5:$J$36,INT(($B49/L$4))+2)-INDEX('D Fleet'!$J$5:$J$36,INT(($B49/L$4))+1)),0)</f>
        <v/>
      </c>
      <c r="M49" s="276">
        <f>IFERROR(INDEX('D Fleet'!$C$5:$C$62,MATCH(M$3-$B49,'D Fleet'!$B$5:$B$62,0)),0)*IFERROR(INDEX('D Fleet'!$J$5:$J$36,INT(($B49/M$4))+1)+(($B49/M$4)-INT(($B49/M$4)))*(INDEX('D Fleet'!$J$5:$J$36,INT(($B49/M$4))+2)-INDEX('D Fleet'!$J$5:$J$36,INT(($B49/M$4))+1)),0)</f>
        <v/>
      </c>
      <c r="N49" s="276">
        <f>IFERROR(INDEX('D Fleet'!$C$5:$C$62,MATCH(N$3-$B49,'D Fleet'!$B$5:$B$62,0)),0)*IFERROR(INDEX('D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Fleet'!$C$5:$C$62,MATCH(E$3-$B50,'D Fleet'!$B$5:$B$62,0)),0)*IFERROR(INDEX('D Fleet'!$J$5:$J$36,INT(($B50/E$4))+1)+(($B50/E$4)-INT(($B50/E$4)))*(INDEX('D Fleet'!$J$5:$J$36,INT(($B50/E$4))+2)-INDEX('D Fleet'!$J$5:$J$36,INT(($B50/E$4))+1)),0)</f>
        <v/>
      </c>
      <c r="F50" s="276">
        <f>IFERROR(INDEX('D Fleet'!$C$5:$C$62,MATCH(F$3-$B50,'D Fleet'!$B$5:$B$62,0)),0)*IFERROR(INDEX('D Fleet'!$J$5:$J$36,INT(($B50/F$4))+1)+(($B50/F$4)-INT(($B50/F$4)))*(INDEX('D Fleet'!$J$5:$J$36,INT(($B50/F$4))+2)-INDEX('D Fleet'!$J$5:$J$36,INT(($B50/F$4))+1)),0)</f>
        <v/>
      </c>
      <c r="G50" s="276">
        <f>IFERROR(INDEX('D Fleet'!$C$5:$C$62,MATCH(G$3-$B50,'D Fleet'!$B$5:$B$62,0)),0)*IFERROR(INDEX('D Fleet'!$J$5:$J$36,INT(($B50/G$4))+1)+(($B50/G$4)-INT(($B50/G$4)))*(INDEX('D Fleet'!$J$5:$J$36,INT(($B50/G$4))+2)-INDEX('D Fleet'!$J$5:$J$36,INT(($B50/G$4))+1)),0)</f>
        <v/>
      </c>
      <c r="H50" s="276">
        <f>IFERROR(INDEX('D Fleet'!$C$5:$C$62,MATCH(H$3-$B50,'D Fleet'!$B$5:$B$62,0)),0)*IFERROR(INDEX('D Fleet'!$J$5:$J$36,INT(($B50/H$4))+1)+(($B50/H$4)-INT(($B50/H$4)))*(INDEX('D Fleet'!$J$5:$J$36,INT(($B50/H$4))+2)-INDEX('D Fleet'!$J$5:$J$36,INT(($B50/H$4))+1)),0)</f>
        <v/>
      </c>
      <c r="I50" s="276">
        <f>IFERROR(INDEX('D Fleet'!$C$5:$C$62,MATCH(I$3-$B50,'D Fleet'!$B$5:$B$62,0)),0)*IFERROR(INDEX('D Fleet'!$J$5:$J$36,INT(($B50/I$4))+1)+(($B50/I$4)-INT(($B50/I$4)))*(INDEX('D Fleet'!$J$5:$J$36,INT(($B50/I$4))+2)-INDEX('D Fleet'!$J$5:$J$36,INT(($B50/I$4))+1)),0)</f>
        <v/>
      </c>
      <c r="J50" s="276">
        <f>IFERROR(INDEX('D Fleet'!$C$5:$C$62,MATCH(J$3-$B50,'D Fleet'!$B$5:$B$62,0)),0)*IFERROR(INDEX('D Fleet'!$J$5:$J$36,INT(($B50/J$4))+1)+(($B50/J$4)-INT(($B50/J$4)))*(INDEX('D Fleet'!$J$5:$J$36,INT(($B50/J$4))+2)-INDEX('D Fleet'!$J$5:$J$36,INT(($B50/J$4))+1)),0)</f>
        <v/>
      </c>
      <c r="K50" s="276">
        <f>IFERROR(INDEX('D Fleet'!$C$5:$C$62,MATCH(K$3-$B50,'D Fleet'!$B$5:$B$62,0)),0)*IFERROR(INDEX('D Fleet'!$J$5:$J$36,INT(($B50/K$4))+1)+(($B50/K$4)-INT(($B50/K$4)))*(INDEX('D Fleet'!$J$5:$J$36,INT(($B50/K$4))+2)-INDEX('D Fleet'!$J$5:$J$36,INT(($B50/K$4))+1)),0)</f>
        <v/>
      </c>
      <c r="L50" s="276">
        <f>IFERROR(INDEX('D Fleet'!$C$5:$C$62,MATCH(L$3-$B50,'D Fleet'!$B$5:$B$62,0)),0)*IFERROR(INDEX('D Fleet'!$J$5:$J$36,INT(($B50/L$4))+1)+(($B50/L$4)-INT(($B50/L$4)))*(INDEX('D Fleet'!$J$5:$J$36,INT(($B50/L$4))+2)-INDEX('D Fleet'!$J$5:$J$36,INT(($B50/L$4))+1)),0)</f>
        <v/>
      </c>
      <c r="M50" s="276">
        <f>IFERROR(INDEX('D Fleet'!$C$5:$C$62,MATCH(M$3-$B50,'D Fleet'!$B$5:$B$62,0)),0)*IFERROR(INDEX('D Fleet'!$J$5:$J$36,INT(($B50/M$4))+1)+(($B50/M$4)-INT(($B50/M$4)))*(INDEX('D Fleet'!$J$5:$J$36,INT(($B50/M$4))+2)-INDEX('D Fleet'!$J$5:$J$36,INT(($B50/M$4))+1)),0)</f>
        <v/>
      </c>
      <c r="N50" s="276">
        <f>IFERROR(INDEX('D Fleet'!$C$5:$C$62,MATCH(N$3-$B50,'D Fleet'!$B$5:$B$62,0)),0)*IFERROR(INDEX('D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Fleet'!$C$5:$C$62,MATCH(E$3-$B51,'D Fleet'!$B$5:$B$62,0)),0)*IFERROR(INDEX('D Fleet'!$J$5:$J$36,INT(($B51/E$4))+1)+(($B51/E$4)-INT(($B51/E$4)))*(INDEX('D Fleet'!$J$5:$J$36,INT(($B51/E$4))+2)-INDEX('D Fleet'!$J$5:$J$36,INT(($B51/E$4))+1)),0)</f>
        <v/>
      </c>
      <c r="F51" s="276">
        <f>IFERROR(INDEX('D Fleet'!$C$5:$C$62,MATCH(F$3-$B51,'D Fleet'!$B$5:$B$62,0)),0)*IFERROR(INDEX('D Fleet'!$J$5:$J$36,INT(($B51/F$4))+1)+(($B51/F$4)-INT(($B51/F$4)))*(INDEX('D Fleet'!$J$5:$J$36,INT(($B51/F$4))+2)-INDEX('D Fleet'!$J$5:$J$36,INT(($B51/F$4))+1)),0)</f>
        <v/>
      </c>
      <c r="G51" s="276">
        <f>IFERROR(INDEX('D Fleet'!$C$5:$C$62,MATCH(G$3-$B51,'D Fleet'!$B$5:$B$62,0)),0)*IFERROR(INDEX('D Fleet'!$J$5:$J$36,INT(($B51/G$4))+1)+(($B51/G$4)-INT(($B51/G$4)))*(INDEX('D Fleet'!$J$5:$J$36,INT(($B51/G$4))+2)-INDEX('D Fleet'!$J$5:$J$36,INT(($B51/G$4))+1)),0)</f>
        <v/>
      </c>
      <c r="H51" s="276">
        <f>IFERROR(INDEX('D Fleet'!$C$5:$C$62,MATCH(H$3-$B51,'D Fleet'!$B$5:$B$62,0)),0)*IFERROR(INDEX('D Fleet'!$J$5:$J$36,INT(($B51/H$4))+1)+(($B51/H$4)-INT(($B51/H$4)))*(INDEX('D Fleet'!$J$5:$J$36,INT(($B51/H$4))+2)-INDEX('D Fleet'!$J$5:$J$36,INT(($B51/H$4))+1)),0)</f>
        <v/>
      </c>
      <c r="I51" s="276">
        <f>IFERROR(INDEX('D Fleet'!$C$5:$C$62,MATCH(I$3-$B51,'D Fleet'!$B$5:$B$62,0)),0)*IFERROR(INDEX('D Fleet'!$J$5:$J$36,INT(($B51/I$4))+1)+(($B51/I$4)-INT(($B51/I$4)))*(INDEX('D Fleet'!$J$5:$J$36,INT(($B51/I$4))+2)-INDEX('D Fleet'!$J$5:$J$36,INT(($B51/I$4))+1)),0)</f>
        <v/>
      </c>
      <c r="J51" s="276">
        <f>IFERROR(INDEX('D Fleet'!$C$5:$C$62,MATCH(J$3-$B51,'D Fleet'!$B$5:$B$62,0)),0)*IFERROR(INDEX('D Fleet'!$J$5:$J$36,INT(($B51/J$4))+1)+(($B51/J$4)-INT(($B51/J$4)))*(INDEX('D Fleet'!$J$5:$J$36,INT(($B51/J$4))+2)-INDEX('D Fleet'!$J$5:$J$36,INT(($B51/J$4))+1)),0)</f>
        <v/>
      </c>
      <c r="K51" s="276">
        <f>IFERROR(INDEX('D Fleet'!$C$5:$C$62,MATCH(K$3-$B51,'D Fleet'!$B$5:$B$62,0)),0)*IFERROR(INDEX('D Fleet'!$J$5:$J$36,INT(($B51/K$4))+1)+(($B51/K$4)-INT(($B51/K$4)))*(INDEX('D Fleet'!$J$5:$J$36,INT(($B51/K$4))+2)-INDEX('D Fleet'!$J$5:$J$36,INT(($B51/K$4))+1)),0)</f>
        <v/>
      </c>
      <c r="L51" s="276">
        <f>IFERROR(INDEX('D Fleet'!$C$5:$C$62,MATCH(L$3-$B51,'D Fleet'!$B$5:$B$62,0)),0)*IFERROR(INDEX('D Fleet'!$J$5:$J$36,INT(($B51/L$4))+1)+(($B51/L$4)-INT(($B51/L$4)))*(INDEX('D Fleet'!$J$5:$J$36,INT(($B51/L$4))+2)-INDEX('D Fleet'!$J$5:$J$36,INT(($B51/L$4))+1)),0)</f>
        <v/>
      </c>
      <c r="M51" s="276">
        <f>IFERROR(INDEX('D Fleet'!$C$5:$C$62,MATCH(M$3-$B51,'D Fleet'!$B$5:$B$62,0)),0)*IFERROR(INDEX('D Fleet'!$J$5:$J$36,INT(($B51/M$4))+1)+(($B51/M$4)-INT(($B51/M$4)))*(INDEX('D Fleet'!$J$5:$J$36,INT(($B51/M$4))+2)-INDEX('D Fleet'!$J$5:$J$36,INT(($B51/M$4))+1)),0)</f>
        <v/>
      </c>
      <c r="N51" s="276">
        <f>IFERROR(INDEX('D Fleet'!$C$5:$C$62,MATCH(N$3-$B51,'D Fleet'!$B$5:$B$62,0)),0)*IFERROR(INDEX('D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Fleet'!$C$5:$C$62,MATCH(E$3-$B52,'D Fleet'!$B$5:$B$62,0)),0)*IFERROR(INDEX('D Fleet'!$J$5:$J$36,INT(($B52/E$4))+1)+(($B52/E$4)-INT(($B52/E$4)))*(INDEX('D Fleet'!$J$5:$J$36,INT(($B52/E$4))+2)-INDEX('D Fleet'!$J$5:$J$36,INT(($B52/E$4))+1)),0)</f>
        <v/>
      </c>
      <c r="F52" s="276">
        <f>IFERROR(INDEX('D Fleet'!$C$5:$C$62,MATCH(F$3-$B52,'D Fleet'!$B$5:$B$62,0)),0)*IFERROR(INDEX('D Fleet'!$J$5:$J$36,INT(($B52/F$4))+1)+(($B52/F$4)-INT(($B52/F$4)))*(INDEX('D Fleet'!$J$5:$J$36,INT(($B52/F$4))+2)-INDEX('D Fleet'!$J$5:$J$36,INT(($B52/F$4))+1)),0)</f>
        <v/>
      </c>
      <c r="G52" s="276">
        <f>IFERROR(INDEX('D Fleet'!$C$5:$C$62,MATCH(G$3-$B52,'D Fleet'!$B$5:$B$62,0)),0)*IFERROR(INDEX('D Fleet'!$J$5:$J$36,INT(($B52/G$4))+1)+(($B52/G$4)-INT(($B52/G$4)))*(INDEX('D Fleet'!$J$5:$J$36,INT(($B52/G$4))+2)-INDEX('D Fleet'!$J$5:$J$36,INT(($B52/G$4))+1)),0)</f>
        <v/>
      </c>
      <c r="H52" s="276">
        <f>IFERROR(INDEX('D Fleet'!$C$5:$C$62,MATCH(H$3-$B52,'D Fleet'!$B$5:$B$62,0)),0)*IFERROR(INDEX('D Fleet'!$J$5:$J$36,INT(($B52/H$4))+1)+(($B52/H$4)-INT(($B52/H$4)))*(INDEX('D Fleet'!$J$5:$J$36,INT(($B52/H$4))+2)-INDEX('D Fleet'!$J$5:$J$36,INT(($B52/H$4))+1)),0)</f>
        <v/>
      </c>
      <c r="I52" s="276">
        <f>IFERROR(INDEX('D Fleet'!$C$5:$C$62,MATCH(I$3-$B52,'D Fleet'!$B$5:$B$62,0)),0)*IFERROR(INDEX('D Fleet'!$J$5:$J$36,INT(($B52/I$4))+1)+(($B52/I$4)-INT(($B52/I$4)))*(INDEX('D Fleet'!$J$5:$J$36,INT(($B52/I$4))+2)-INDEX('D Fleet'!$J$5:$J$36,INT(($B52/I$4))+1)),0)</f>
        <v/>
      </c>
      <c r="J52" s="276">
        <f>IFERROR(INDEX('D Fleet'!$C$5:$C$62,MATCH(J$3-$B52,'D Fleet'!$B$5:$B$62,0)),0)*IFERROR(INDEX('D Fleet'!$J$5:$J$36,INT(($B52/J$4))+1)+(($B52/J$4)-INT(($B52/J$4)))*(INDEX('D Fleet'!$J$5:$J$36,INT(($B52/J$4))+2)-INDEX('D Fleet'!$J$5:$J$36,INT(($B52/J$4))+1)),0)</f>
        <v/>
      </c>
      <c r="K52" s="276">
        <f>IFERROR(INDEX('D Fleet'!$C$5:$C$62,MATCH(K$3-$B52,'D Fleet'!$B$5:$B$62,0)),0)*IFERROR(INDEX('D Fleet'!$J$5:$J$36,INT(($B52/K$4))+1)+(($B52/K$4)-INT(($B52/K$4)))*(INDEX('D Fleet'!$J$5:$J$36,INT(($B52/K$4))+2)-INDEX('D Fleet'!$J$5:$J$36,INT(($B52/K$4))+1)),0)</f>
        <v/>
      </c>
      <c r="L52" s="276">
        <f>IFERROR(INDEX('D Fleet'!$C$5:$C$62,MATCH(L$3-$B52,'D Fleet'!$B$5:$B$62,0)),0)*IFERROR(INDEX('D Fleet'!$J$5:$J$36,INT(($B52/L$4))+1)+(($B52/L$4)-INT(($B52/L$4)))*(INDEX('D Fleet'!$J$5:$J$36,INT(($B52/L$4))+2)-INDEX('D Fleet'!$J$5:$J$36,INT(($B52/L$4))+1)),0)</f>
        <v/>
      </c>
      <c r="M52" s="276">
        <f>IFERROR(INDEX('D Fleet'!$C$5:$C$62,MATCH(M$3-$B52,'D Fleet'!$B$5:$B$62,0)),0)*IFERROR(INDEX('D Fleet'!$J$5:$J$36,INT(($B52/M$4))+1)+(($B52/M$4)-INT(($B52/M$4)))*(INDEX('D Fleet'!$J$5:$J$36,INT(($B52/M$4))+2)-INDEX('D Fleet'!$J$5:$J$36,INT(($B52/M$4))+1)),0)</f>
        <v/>
      </c>
      <c r="N52" s="276">
        <f>IFERROR(INDEX('D Fleet'!$C$5:$C$62,MATCH(N$3-$B52,'D Fleet'!$B$5:$B$62,0)),0)*IFERROR(INDEX('D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Fleet'!$D$5:$D$62,MATCH(E$3-$B53,'D Fleet'!$B$5:$B$62,0)),0)*IFERROR(INDEX('D Fleet'!$K$5:$K$36,INT(($B53/E$5))+1)+(($B53/E$5)-INT(($B53/E$5)))*(INDEX('D Fleet'!$K$5:$K$36,INT(($B53/E$5))+2)-INDEX('D Fleet'!$K$5:$K$36,INT(($B53/E$5))+1)),0)</f>
        <v/>
      </c>
      <c r="F53" s="276">
        <f>IFERROR(INDEX('D Fleet'!$D$5:$D$62,MATCH(F$3-$B53,'D Fleet'!$B$5:$B$62,0)),0)*IFERROR(INDEX('D Fleet'!$K$5:$K$36,INT(($B53/F$5))+1)+(($B53/F$5)-INT(($B53/F$5)))*(INDEX('D Fleet'!$K$5:$K$36,INT(($B53/F$5))+2)-INDEX('D Fleet'!$K$5:$K$36,INT(($B53/F$5))+1)),0)</f>
        <v/>
      </c>
      <c r="G53" s="276">
        <f>IFERROR(INDEX('D Fleet'!$D$5:$D$62,MATCH(G$3-$B53,'D Fleet'!$B$5:$B$62,0)),0)*IFERROR(INDEX('D Fleet'!$K$5:$K$36,INT(($B53/G$5))+1)+(($B53/G$5)-INT(($B53/G$5)))*(INDEX('D Fleet'!$K$5:$K$36,INT(($B53/G$5))+2)-INDEX('D Fleet'!$K$5:$K$36,INT(($B53/G$5))+1)),0)</f>
        <v/>
      </c>
      <c r="H53" s="276">
        <f>IFERROR(INDEX('D Fleet'!$D$5:$D$62,MATCH(H$3-$B53,'D Fleet'!$B$5:$B$62,0)),0)*IFERROR(INDEX('D Fleet'!$K$5:$K$36,INT(($B53/H$5))+1)+(($B53/H$5)-INT(($B53/H$5)))*(INDEX('D Fleet'!$K$5:$K$36,INT(($B53/H$5))+2)-INDEX('D Fleet'!$K$5:$K$36,INT(($B53/H$5))+1)),0)</f>
        <v/>
      </c>
      <c r="I53" s="276">
        <f>IFERROR(INDEX('D Fleet'!$D$5:$D$62,MATCH(I$3-$B53,'D Fleet'!$B$5:$B$62,0)),0)*IFERROR(INDEX('D Fleet'!$K$5:$K$36,INT(($B53/I$5))+1)+(($B53/I$5)-INT(($B53/I$5)))*(INDEX('D Fleet'!$K$5:$K$36,INT(($B53/I$5))+2)-INDEX('D Fleet'!$K$5:$K$36,INT(($B53/I$5))+1)),0)</f>
        <v/>
      </c>
      <c r="J53" s="276">
        <f>IFERROR(INDEX('D Fleet'!$D$5:$D$62,MATCH(J$3-$B53,'D Fleet'!$B$5:$B$62,0)),0)*IFERROR(INDEX('D Fleet'!$K$5:$K$36,INT(($B53/J$5))+1)+(($B53/J$5)-INT(($B53/J$5)))*(INDEX('D Fleet'!$K$5:$K$36,INT(($B53/J$5))+2)-INDEX('D Fleet'!$K$5:$K$36,INT(($B53/J$5))+1)),0)</f>
        <v/>
      </c>
      <c r="K53" s="276">
        <f>IFERROR(INDEX('D Fleet'!$D$5:$D$62,MATCH(K$3-$B53,'D Fleet'!$B$5:$B$62,0)),0)*IFERROR(INDEX('D Fleet'!$K$5:$K$36,INT(($B53/K$5))+1)+(($B53/K$5)-INT(($B53/K$5)))*(INDEX('D Fleet'!$K$5:$K$36,INT(($B53/K$5))+2)-INDEX('D Fleet'!$K$5:$K$36,INT(($B53/K$5))+1)),0)</f>
        <v/>
      </c>
      <c r="L53" s="276">
        <f>IFERROR(INDEX('D Fleet'!$D$5:$D$62,MATCH(L$3-$B53,'D Fleet'!$B$5:$B$62,0)),0)*IFERROR(INDEX('D Fleet'!$K$5:$K$36,INT(($B53/L$5))+1)+(($B53/L$5)-INT(($B53/L$5)))*(INDEX('D Fleet'!$K$5:$K$36,INT(($B53/L$5))+2)-INDEX('D Fleet'!$K$5:$K$36,INT(($B53/L$5))+1)),0)</f>
        <v/>
      </c>
      <c r="M53" s="276">
        <f>IFERROR(INDEX('D Fleet'!$D$5:$D$62,MATCH(M$3-$B53,'D Fleet'!$B$5:$B$62,0)),0)*IFERROR(INDEX('D Fleet'!$K$5:$K$36,INT(($B53/M$5))+1)+(($B53/M$5)-INT(($B53/M$5)))*(INDEX('D Fleet'!$K$5:$K$36,INT(($B53/M$5))+2)-INDEX('D Fleet'!$K$5:$K$36,INT(($B53/M$5))+1)),0)</f>
        <v/>
      </c>
      <c r="N53" s="276">
        <f>IFERROR(INDEX('D Fleet'!$D$5:$D$62,MATCH(N$3-$B53,'D Fleet'!$B$5:$B$62,0)),0)*IFERROR(INDEX('D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Fleet'!$D$5:$D$62,MATCH(E$3-$B54,'D Fleet'!$B$5:$B$62,0)),0)*IFERROR(INDEX('D Fleet'!$K$5:$K$36,INT(($B54/E$5))+1)+(($B54/E$5)-INT(($B54/E$5)))*(INDEX('D Fleet'!$K$5:$K$36,INT(($B54/E$5))+2)-INDEX('D Fleet'!$K$5:$K$36,INT(($B54/E$5))+1)),0)</f>
        <v/>
      </c>
      <c r="F54" s="276">
        <f>IFERROR(INDEX('D Fleet'!$D$5:$D$62,MATCH(F$3-$B54,'D Fleet'!$B$5:$B$62,0)),0)*IFERROR(INDEX('D Fleet'!$K$5:$K$36,INT(($B54/F$5))+1)+(($B54/F$5)-INT(($B54/F$5)))*(INDEX('D Fleet'!$K$5:$K$36,INT(($B54/F$5))+2)-INDEX('D Fleet'!$K$5:$K$36,INT(($B54/F$5))+1)),0)</f>
        <v/>
      </c>
      <c r="G54" s="276">
        <f>IFERROR(INDEX('D Fleet'!$D$5:$D$62,MATCH(G$3-$B54,'D Fleet'!$B$5:$B$62,0)),0)*IFERROR(INDEX('D Fleet'!$K$5:$K$36,INT(($B54/G$5))+1)+(($B54/G$5)-INT(($B54/G$5)))*(INDEX('D Fleet'!$K$5:$K$36,INT(($B54/G$5))+2)-INDEX('D Fleet'!$K$5:$K$36,INT(($B54/G$5))+1)),0)</f>
        <v/>
      </c>
      <c r="H54" s="276">
        <f>IFERROR(INDEX('D Fleet'!$D$5:$D$62,MATCH(H$3-$B54,'D Fleet'!$B$5:$B$62,0)),0)*IFERROR(INDEX('D Fleet'!$K$5:$K$36,INT(($B54/H$5))+1)+(($B54/H$5)-INT(($B54/H$5)))*(INDEX('D Fleet'!$K$5:$K$36,INT(($B54/H$5))+2)-INDEX('D Fleet'!$K$5:$K$36,INT(($B54/H$5))+1)),0)</f>
        <v/>
      </c>
      <c r="I54" s="276">
        <f>IFERROR(INDEX('D Fleet'!$D$5:$D$62,MATCH(I$3-$B54,'D Fleet'!$B$5:$B$62,0)),0)*IFERROR(INDEX('D Fleet'!$K$5:$K$36,INT(($B54/I$5))+1)+(($B54/I$5)-INT(($B54/I$5)))*(INDEX('D Fleet'!$K$5:$K$36,INT(($B54/I$5))+2)-INDEX('D Fleet'!$K$5:$K$36,INT(($B54/I$5))+1)),0)</f>
        <v/>
      </c>
      <c r="J54" s="276">
        <f>IFERROR(INDEX('D Fleet'!$D$5:$D$62,MATCH(J$3-$B54,'D Fleet'!$B$5:$B$62,0)),0)*IFERROR(INDEX('D Fleet'!$K$5:$K$36,INT(($B54/J$5))+1)+(($B54/J$5)-INT(($B54/J$5)))*(INDEX('D Fleet'!$K$5:$K$36,INT(($B54/J$5))+2)-INDEX('D Fleet'!$K$5:$K$36,INT(($B54/J$5))+1)),0)</f>
        <v/>
      </c>
      <c r="K54" s="276">
        <f>IFERROR(INDEX('D Fleet'!$D$5:$D$62,MATCH(K$3-$B54,'D Fleet'!$B$5:$B$62,0)),0)*IFERROR(INDEX('D Fleet'!$K$5:$K$36,INT(($B54/K$5))+1)+(($B54/K$5)-INT(($B54/K$5)))*(INDEX('D Fleet'!$K$5:$K$36,INT(($B54/K$5))+2)-INDEX('D Fleet'!$K$5:$K$36,INT(($B54/K$5))+1)),0)</f>
        <v/>
      </c>
      <c r="L54" s="276">
        <f>IFERROR(INDEX('D Fleet'!$D$5:$D$62,MATCH(L$3-$B54,'D Fleet'!$B$5:$B$62,0)),0)*IFERROR(INDEX('D Fleet'!$K$5:$K$36,INT(($B54/L$5))+1)+(($B54/L$5)-INT(($B54/L$5)))*(INDEX('D Fleet'!$K$5:$K$36,INT(($B54/L$5))+2)-INDEX('D Fleet'!$K$5:$K$36,INT(($B54/L$5))+1)),0)</f>
        <v/>
      </c>
      <c r="M54" s="276">
        <f>IFERROR(INDEX('D Fleet'!$D$5:$D$62,MATCH(M$3-$B54,'D Fleet'!$B$5:$B$62,0)),0)*IFERROR(INDEX('D Fleet'!$K$5:$K$36,INT(($B54/M$5))+1)+(($B54/M$5)-INT(($B54/M$5)))*(INDEX('D Fleet'!$K$5:$K$36,INT(($B54/M$5))+2)-INDEX('D Fleet'!$K$5:$K$36,INT(($B54/M$5))+1)),0)</f>
        <v/>
      </c>
      <c r="N54" s="276">
        <f>IFERROR(INDEX('D Fleet'!$D$5:$D$62,MATCH(N$3-$B54,'D Fleet'!$B$5:$B$62,0)),0)*IFERROR(INDEX('D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Fleet'!$D$5:$D$62,MATCH(E$3-$B55,'D Fleet'!$B$5:$B$62,0)),0)*IFERROR(INDEX('D Fleet'!$K$5:$K$36,INT(($B55/E$5))+1)+(($B55/E$5)-INT(($B55/E$5)))*(INDEX('D Fleet'!$K$5:$K$36,INT(($B55/E$5))+2)-INDEX('D Fleet'!$K$5:$K$36,INT(($B55/E$5))+1)),0)</f>
        <v/>
      </c>
      <c r="F55" s="276">
        <f>IFERROR(INDEX('D Fleet'!$D$5:$D$62,MATCH(F$3-$B55,'D Fleet'!$B$5:$B$62,0)),0)*IFERROR(INDEX('D Fleet'!$K$5:$K$36,INT(($B55/F$5))+1)+(($B55/F$5)-INT(($B55/F$5)))*(INDEX('D Fleet'!$K$5:$K$36,INT(($B55/F$5))+2)-INDEX('D Fleet'!$K$5:$K$36,INT(($B55/F$5))+1)),0)</f>
        <v/>
      </c>
      <c r="G55" s="276">
        <f>IFERROR(INDEX('D Fleet'!$D$5:$D$62,MATCH(G$3-$B55,'D Fleet'!$B$5:$B$62,0)),0)*IFERROR(INDEX('D Fleet'!$K$5:$K$36,INT(($B55/G$5))+1)+(($B55/G$5)-INT(($B55/G$5)))*(INDEX('D Fleet'!$K$5:$K$36,INT(($B55/G$5))+2)-INDEX('D Fleet'!$K$5:$K$36,INT(($B55/G$5))+1)),0)</f>
        <v/>
      </c>
      <c r="H55" s="276">
        <f>IFERROR(INDEX('D Fleet'!$D$5:$D$62,MATCH(H$3-$B55,'D Fleet'!$B$5:$B$62,0)),0)*IFERROR(INDEX('D Fleet'!$K$5:$K$36,INT(($B55/H$5))+1)+(($B55/H$5)-INT(($B55/H$5)))*(INDEX('D Fleet'!$K$5:$K$36,INT(($B55/H$5))+2)-INDEX('D Fleet'!$K$5:$K$36,INT(($B55/H$5))+1)),0)</f>
        <v/>
      </c>
      <c r="I55" s="276">
        <f>IFERROR(INDEX('D Fleet'!$D$5:$D$62,MATCH(I$3-$B55,'D Fleet'!$B$5:$B$62,0)),0)*IFERROR(INDEX('D Fleet'!$K$5:$K$36,INT(($B55/I$5))+1)+(($B55/I$5)-INT(($B55/I$5)))*(INDEX('D Fleet'!$K$5:$K$36,INT(($B55/I$5))+2)-INDEX('D Fleet'!$K$5:$K$36,INT(($B55/I$5))+1)),0)</f>
        <v/>
      </c>
      <c r="J55" s="276">
        <f>IFERROR(INDEX('D Fleet'!$D$5:$D$62,MATCH(J$3-$B55,'D Fleet'!$B$5:$B$62,0)),0)*IFERROR(INDEX('D Fleet'!$K$5:$K$36,INT(($B55/J$5))+1)+(($B55/J$5)-INT(($B55/J$5)))*(INDEX('D Fleet'!$K$5:$K$36,INT(($B55/J$5))+2)-INDEX('D Fleet'!$K$5:$K$36,INT(($B55/J$5))+1)),0)</f>
        <v/>
      </c>
      <c r="K55" s="276">
        <f>IFERROR(INDEX('D Fleet'!$D$5:$D$62,MATCH(K$3-$B55,'D Fleet'!$B$5:$B$62,0)),0)*IFERROR(INDEX('D Fleet'!$K$5:$K$36,INT(($B55/K$5))+1)+(($B55/K$5)-INT(($B55/K$5)))*(INDEX('D Fleet'!$K$5:$K$36,INT(($B55/K$5))+2)-INDEX('D Fleet'!$K$5:$K$36,INT(($B55/K$5))+1)),0)</f>
        <v/>
      </c>
      <c r="L55" s="276">
        <f>IFERROR(INDEX('D Fleet'!$D$5:$D$62,MATCH(L$3-$B55,'D Fleet'!$B$5:$B$62,0)),0)*IFERROR(INDEX('D Fleet'!$K$5:$K$36,INT(($B55/L$5))+1)+(($B55/L$5)-INT(($B55/L$5)))*(INDEX('D Fleet'!$K$5:$K$36,INT(($B55/L$5))+2)-INDEX('D Fleet'!$K$5:$K$36,INT(($B55/L$5))+1)),0)</f>
        <v/>
      </c>
      <c r="M55" s="276">
        <f>IFERROR(INDEX('D Fleet'!$D$5:$D$62,MATCH(M$3-$B55,'D Fleet'!$B$5:$B$62,0)),0)*IFERROR(INDEX('D Fleet'!$K$5:$K$36,INT(($B55/M$5))+1)+(($B55/M$5)-INT(($B55/M$5)))*(INDEX('D Fleet'!$K$5:$K$36,INT(($B55/M$5))+2)-INDEX('D Fleet'!$K$5:$K$36,INT(($B55/M$5))+1)),0)</f>
        <v/>
      </c>
      <c r="N55" s="276">
        <f>IFERROR(INDEX('D Fleet'!$D$5:$D$62,MATCH(N$3-$B55,'D Fleet'!$B$5:$B$62,0)),0)*IFERROR(INDEX('D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Fleet'!$D$5:$D$62,MATCH(E$3-$B56,'D Fleet'!$B$5:$B$62,0)),0)*IFERROR(INDEX('D Fleet'!$K$5:$K$36,INT(($B56/E$5))+1)+(($B56/E$5)-INT(($B56/E$5)))*(INDEX('D Fleet'!$K$5:$K$36,INT(($B56/E$5))+2)-INDEX('D Fleet'!$K$5:$K$36,INT(($B56/E$5))+1)),0)</f>
        <v/>
      </c>
      <c r="F56" s="276">
        <f>IFERROR(INDEX('D Fleet'!$D$5:$D$62,MATCH(F$3-$B56,'D Fleet'!$B$5:$B$62,0)),0)*IFERROR(INDEX('D Fleet'!$K$5:$K$36,INT(($B56/F$5))+1)+(($B56/F$5)-INT(($B56/F$5)))*(INDEX('D Fleet'!$K$5:$K$36,INT(($B56/F$5))+2)-INDEX('D Fleet'!$K$5:$K$36,INT(($B56/F$5))+1)),0)</f>
        <v/>
      </c>
      <c r="G56" s="276">
        <f>IFERROR(INDEX('D Fleet'!$D$5:$D$62,MATCH(G$3-$B56,'D Fleet'!$B$5:$B$62,0)),0)*IFERROR(INDEX('D Fleet'!$K$5:$K$36,INT(($B56/G$5))+1)+(($B56/G$5)-INT(($B56/G$5)))*(INDEX('D Fleet'!$K$5:$K$36,INT(($B56/G$5))+2)-INDEX('D Fleet'!$K$5:$K$36,INT(($B56/G$5))+1)),0)</f>
        <v/>
      </c>
      <c r="H56" s="276">
        <f>IFERROR(INDEX('D Fleet'!$D$5:$D$62,MATCH(H$3-$B56,'D Fleet'!$B$5:$B$62,0)),0)*IFERROR(INDEX('D Fleet'!$K$5:$K$36,INT(($B56/H$5))+1)+(($B56/H$5)-INT(($B56/H$5)))*(INDEX('D Fleet'!$K$5:$K$36,INT(($B56/H$5))+2)-INDEX('D Fleet'!$K$5:$K$36,INT(($B56/H$5))+1)),0)</f>
        <v/>
      </c>
      <c r="I56" s="276">
        <f>IFERROR(INDEX('D Fleet'!$D$5:$D$62,MATCH(I$3-$B56,'D Fleet'!$B$5:$B$62,0)),0)*IFERROR(INDEX('D Fleet'!$K$5:$K$36,INT(($B56/I$5))+1)+(($B56/I$5)-INT(($B56/I$5)))*(INDEX('D Fleet'!$K$5:$K$36,INT(($B56/I$5))+2)-INDEX('D Fleet'!$K$5:$K$36,INT(($B56/I$5))+1)),0)</f>
        <v/>
      </c>
      <c r="J56" s="276">
        <f>IFERROR(INDEX('D Fleet'!$D$5:$D$62,MATCH(J$3-$B56,'D Fleet'!$B$5:$B$62,0)),0)*IFERROR(INDEX('D Fleet'!$K$5:$K$36,INT(($B56/J$5))+1)+(($B56/J$5)-INT(($B56/J$5)))*(INDEX('D Fleet'!$K$5:$K$36,INT(($B56/J$5))+2)-INDEX('D Fleet'!$K$5:$K$36,INT(($B56/J$5))+1)),0)</f>
        <v/>
      </c>
      <c r="K56" s="276">
        <f>IFERROR(INDEX('D Fleet'!$D$5:$D$62,MATCH(K$3-$B56,'D Fleet'!$B$5:$B$62,0)),0)*IFERROR(INDEX('D Fleet'!$K$5:$K$36,INT(($B56/K$5))+1)+(($B56/K$5)-INT(($B56/K$5)))*(INDEX('D Fleet'!$K$5:$K$36,INT(($B56/K$5))+2)-INDEX('D Fleet'!$K$5:$K$36,INT(($B56/K$5))+1)),0)</f>
        <v/>
      </c>
      <c r="L56" s="276">
        <f>IFERROR(INDEX('D Fleet'!$D$5:$D$62,MATCH(L$3-$B56,'D Fleet'!$B$5:$B$62,0)),0)*IFERROR(INDEX('D Fleet'!$K$5:$K$36,INT(($B56/L$5))+1)+(($B56/L$5)-INT(($B56/L$5)))*(INDEX('D Fleet'!$K$5:$K$36,INT(($B56/L$5))+2)-INDEX('D Fleet'!$K$5:$K$36,INT(($B56/L$5))+1)),0)</f>
        <v/>
      </c>
      <c r="M56" s="276">
        <f>IFERROR(INDEX('D Fleet'!$D$5:$D$62,MATCH(M$3-$B56,'D Fleet'!$B$5:$B$62,0)),0)*IFERROR(INDEX('D Fleet'!$K$5:$K$36,INT(($B56/M$5))+1)+(($B56/M$5)-INT(($B56/M$5)))*(INDEX('D Fleet'!$K$5:$K$36,INT(($B56/M$5))+2)-INDEX('D Fleet'!$K$5:$K$36,INT(($B56/M$5))+1)),0)</f>
        <v/>
      </c>
      <c r="N56" s="276">
        <f>IFERROR(INDEX('D Fleet'!$D$5:$D$62,MATCH(N$3-$B56,'D Fleet'!$B$5:$B$62,0)),0)*IFERROR(INDEX('D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Fleet'!$D$5:$D$62,MATCH(E$3-$B57,'D Fleet'!$B$5:$B$62,0)),0)*IFERROR(INDEX('D Fleet'!$K$5:$K$36,INT(($B57/E$5))+1)+(($B57/E$5)-INT(($B57/E$5)))*(INDEX('D Fleet'!$K$5:$K$36,INT(($B57/E$5))+2)-INDEX('D Fleet'!$K$5:$K$36,INT(($B57/E$5))+1)),0)</f>
        <v/>
      </c>
      <c r="F57" s="276">
        <f>IFERROR(INDEX('D Fleet'!$D$5:$D$62,MATCH(F$3-$B57,'D Fleet'!$B$5:$B$62,0)),0)*IFERROR(INDEX('D Fleet'!$K$5:$K$36,INT(($B57/F$5))+1)+(($B57/F$5)-INT(($B57/F$5)))*(INDEX('D Fleet'!$K$5:$K$36,INT(($B57/F$5))+2)-INDEX('D Fleet'!$K$5:$K$36,INT(($B57/F$5))+1)),0)</f>
        <v/>
      </c>
      <c r="G57" s="276">
        <f>IFERROR(INDEX('D Fleet'!$D$5:$D$62,MATCH(G$3-$B57,'D Fleet'!$B$5:$B$62,0)),0)*IFERROR(INDEX('D Fleet'!$K$5:$K$36,INT(($B57/G$5))+1)+(($B57/G$5)-INT(($B57/G$5)))*(INDEX('D Fleet'!$K$5:$K$36,INT(($B57/G$5))+2)-INDEX('D Fleet'!$K$5:$K$36,INT(($B57/G$5))+1)),0)</f>
        <v/>
      </c>
      <c r="H57" s="276">
        <f>IFERROR(INDEX('D Fleet'!$D$5:$D$62,MATCH(H$3-$B57,'D Fleet'!$B$5:$B$62,0)),0)*IFERROR(INDEX('D Fleet'!$K$5:$K$36,INT(($B57/H$5))+1)+(($B57/H$5)-INT(($B57/H$5)))*(INDEX('D Fleet'!$K$5:$K$36,INT(($B57/H$5))+2)-INDEX('D Fleet'!$K$5:$K$36,INT(($B57/H$5))+1)),0)</f>
        <v/>
      </c>
      <c r="I57" s="276">
        <f>IFERROR(INDEX('D Fleet'!$D$5:$D$62,MATCH(I$3-$B57,'D Fleet'!$B$5:$B$62,0)),0)*IFERROR(INDEX('D Fleet'!$K$5:$K$36,INT(($B57/I$5))+1)+(($B57/I$5)-INT(($B57/I$5)))*(INDEX('D Fleet'!$K$5:$K$36,INT(($B57/I$5))+2)-INDEX('D Fleet'!$K$5:$K$36,INT(($B57/I$5))+1)),0)</f>
        <v/>
      </c>
      <c r="J57" s="276">
        <f>IFERROR(INDEX('D Fleet'!$D$5:$D$62,MATCH(J$3-$B57,'D Fleet'!$B$5:$B$62,0)),0)*IFERROR(INDEX('D Fleet'!$K$5:$K$36,INT(($B57/J$5))+1)+(($B57/J$5)-INT(($B57/J$5)))*(INDEX('D Fleet'!$K$5:$K$36,INT(($B57/J$5))+2)-INDEX('D Fleet'!$K$5:$K$36,INT(($B57/J$5))+1)),0)</f>
        <v/>
      </c>
      <c r="K57" s="276">
        <f>IFERROR(INDEX('D Fleet'!$D$5:$D$62,MATCH(K$3-$B57,'D Fleet'!$B$5:$B$62,0)),0)*IFERROR(INDEX('D Fleet'!$K$5:$K$36,INT(($B57/K$5))+1)+(($B57/K$5)-INT(($B57/K$5)))*(INDEX('D Fleet'!$K$5:$K$36,INT(($B57/K$5))+2)-INDEX('D Fleet'!$K$5:$K$36,INT(($B57/K$5))+1)),0)</f>
        <v/>
      </c>
      <c r="L57" s="276">
        <f>IFERROR(INDEX('D Fleet'!$D$5:$D$62,MATCH(L$3-$B57,'D Fleet'!$B$5:$B$62,0)),0)*IFERROR(INDEX('D Fleet'!$K$5:$K$36,INT(($B57/L$5))+1)+(($B57/L$5)-INT(($B57/L$5)))*(INDEX('D Fleet'!$K$5:$K$36,INT(($B57/L$5))+2)-INDEX('D Fleet'!$K$5:$K$36,INT(($B57/L$5))+1)),0)</f>
        <v/>
      </c>
      <c r="M57" s="276">
        <f>IFERROR(INDEX('D Fleet'!$D$5:$D$62,MATCH(M$3-$B57,'D Fleet'!$B$5:$B$62,0)),0)*IFERROR(INDEX('D Fleet'!$K$5:$K$36,INT(($B57/M$5))+1)+(($B57/M$5)-INT(($B57/M$5)))*(INDEX('D Fleet'!$K$5:$K$36,INT(($B57/M$5))+2)-INDEX('D Fleet'!$K$5:$K$36,INT(($B57/M$5))+1)),0)</f>
        <v/>
      </c>
      <c r="N57" s="276">
        <f>IFERROR(INDEX('D Fleet'!$D$5:$D$62,MATCH(N$3-$B57,'D Fleet'!$B$5:$B$62,0)),0)*IFERROR(INDEX('D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Fleet'!$D$5:$D$62,MATCH(E$3-$B58,'D Fleet'!$B$5:$B$62,0)),0)*IFERROR(INDEX('D Fleet'!$K$5:$K$36,INT(($B58/E$5))+1)+(($B58/E$5)-INT(($B58/E$5)))*(INDEX('D Fleet'!$K$5:$K$36,INT(($B58/E$5))+2)-INDEX('D Fleet'!$K$5:$K$36,INT(($B58/E$5))+1)),0)</f>
        <v/>
      </c>
      <c r="F58" s="276">
        <f>IFERROR(INDEX('D Fleet'!$D$5:$D$62,MATCH(F$3-$B58,'D Fleet'!$B$5:$B$62,0)),0)*IFERROR(INDEX('D Fleet'!$K$5:$K$36,INT(($B58/F$5))+1)+(($B58/F$5)-INT(($B58/F$5)))*(INDEX('D Fleet'!$K$5:$K$36,INT(($B58/F$5))+2)-INDEX('D Fleet'!$K$5:$K$36,INT(($B58/F$5))+1)),0)</f>
        <v/>
      </c>
      <c r="G58" s="276">
        <f>IFERROR(INDEX('D Fleet'!$D$5:$D$62,MATCH(G$3-$B58,'D Fleet'!$B$5:$B$62,0)),0)*IFERROR(INDEX('D Fleet'!$K$5:$K$36,INT(($B58/G$5))+1)+(($B58/G$5)-INT(($B58/G$5)))*(INDEX('D Fleet'!$K$5:$K$36,INT(($B58/G$5))+2)-INDEX('D Fleet'!$K$5:$K$36,INT(($B58/G$5))+1)),0)</f>
        <v/>
      </c>
      <c r="H58" s="276">
        <f>IFERROR(INDEX('D Fleet'!$D$5:$D$62,MATCH(H$3-$B58,'D Fleet'!$B$5:$B$62,0)),0)*IFERROR(INDEX('D Fleet'!$K$5:$K$36,INT(($B58/H$5))+1)+(($B58/H$5)-INT(($B58/H$5)))*(INDEX('D Fleet'!$K$5:$K$36,INT(($B58/H$5))+2)-INDEX('D Fleet'!$K$5:$K$36,INT(($B58/H$5))+1)),0)</f>
        <v/>
      </c>
      <c r="I58" s="276">
        <f>IFERROR(INDEX('D Fleet'!$D$5:$D$62,MATCH(I$3-$B58,'D Fleet'!$B$5:$B$62,0)),0)*IFERROR(INDEX('D Fleet'!$K$5:$K$36,INT(($B58/I$5))+1)+(($B58/I$5)-INT(($B58/I$5)))*(INDEX('D Fleet'!$K$5:$K$36,INT(($B58/I$5))+2)-INDEX('D Fleet'!$K$5:$K$36,INT(($B58/I$5))+1)),0)</f>
        <v/>
      </c>
      <c r="J58" s="276">
        <f>IFERROR(INDEX('D Fleet'!$D$5:$D$62,MATCH(J$3-$B58,'D Fleet'!$B$5:$B$62,0)),0)*IFERROR(INDEX('D Fleet'!$K$5:$K$36,INT(($B58/J$5))+1)+(($B58/J$5)-INT(($B58/J$5)))*(INDEX('D Fleet'!$K$5:$K$36,INT(($B58/J$5))+2)-INDEX('D Fleet'!$K$5:$K$36,INT(($B58/J$5))+1)),0)</f>
        <v/>
      </c>
      <c r="K58" s="276">
        <f>IFERROR(INDEX('D Fleet'!$D$5:$D$62,MATCH(K$3-$B58,'D Fleet'!$B$5:$B$62,0)),0)*IFERROR(INDEX('D Fleet'!$K$5:$K$36,INT(($B58/K$5))+1)+(($B58/K$5)-INT(($B58/K$5)))*(INDEX('D Fleet'!$K$5:$K$36,INT(($B58/K$5))+2)-INDEX('D Fleet'!$K$5:$K$36,INT(($B58/K$5))+1)),0)</f>
        <v/>
      </c>
      <c r="L58" s="276">
        <f>IFERROR(INDEX('D Fleet'!$D$5:$D$62,MATCH(L$3-$B58,'D Fleet'!$B$5:$B$62,0)),0)*IFERROR(INDEX('D Fleet'!$K$5:$K$36,INT(($B58/L$5))+1)+(($B58/L$5)-INT(($B58/L$5)))*(INDEX('D Fleet'!$K$5:$K$36,INT(($B58/L$5))+2)-INDEX('D Fleet'!$K$5:$K$36,INT(($B58/L$5))+1)),0)</f>
        <v/>
      </c>
      <c r="M58" s="276">
        <f>IFERROR(INDEX('D Fleet'!$D$5:$D$62,MATCH(M$3-$B58,'D Fleet'!$B$5:$B$62,0)),0)*IFERROR(INDEX('D Fleet'!$K$5:$K$36,INT(($B58/M$5))+1)+(($B58/M$5)-INT(($B58/M$5)))*(INDEX('D Fleet'!$K$5:$K$36,INT(($B58/M$5))+2)-INDEX('D Fleet'!$K$5:$K$36,INT(($B58/M$5))+1)),0)</f>
        <v/>
      </c>
      <c r="N58" s="276">
        <f>IFERROR(INDEX('D Fleet'!$D$5:$D$62,MATCH(N$3-$B58,'D Fleet'!$B$5:$B$62,0)),0)*IFERROR(INDEX('D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Fleet'!$D$5:$D$62,MATCH(E$3-$B59,'D Fleet'!$B$5:$B$62,0)),0)*IFERROR(INDEX('D Fleet'!$K$5:$K$36,INT(($B59/E$5))+1)+(($B59/E$5)-INT(($B59/E$5)))*(INDEX('D Fleet'!$K$5:$K$36,INT(($B59/E$5))+2)-INDEX('D Fleet'!$K$5:$K$36,INT(($B59/E$5))+1)),0)</f>
        <v/>
      </c>
      <c r="F59" s="276">
        <f>IFERROR(INDEX('D Fleet'!$D$5:$D$62,MATCH(F$3-$B59,'D Fleet'!$B$5:$B$62,0)),0)*IFERROR(INDEX('D Fleet'!$K$5:$K$36,INT(($B59/F$5))+1)+(($B59/F$5)-INT(($B59/F$5)))*(INDEX('D Fleet'!$K$5:$K$36,INT(($B59/F$5))+2)-INDEX('D Fleet'!$K$5:$K$36,INT(($B59/F$5))+1)),0)</f>
        <v/>
      </c>
      <c r="G59" s="276">
        <f>IFERROR(INDEX('D Fleet'!$D$5:$D$62,MATCH(G$3-$B59,'D Fleet'!$B$5:$B$62,0)),0)*IFERROR(INDEX('D Fleet'!$K$5:$K$36,INT(($B59/G$5))+1)+(($B59/G$5)-INT(($B59/G$5)))*(INDEX('D Fleet'!$K$5:$K$36,INT(($B59/G$5))+2)-INDEX('D Fleet'!$K$5:$K$36,INT(($B59/G$5))+1)),0)</f>
        <v/>
      </c>
      <c r="H59" s="276">
        <f>IFERROR(INDEX('D Fleet'!$D$5:$D$62,MATCH(H$3-$B59,'D Fleet'!$B$5:$B$62,0)),0)*IFERROR(INDEX('D Fleet'!$K$5:$K$36,INT(($B59/H$5))+1)+(($B59/H$5)-INT(($B59/H$5)))*(INDEX('D Fleet'!$K$5:$K$36,INT(($B59/H$5))+2)-INDEX('D Fleet'!$K$5:$K$36,INT(($B59/H$5))+1)),0)</f>
        <v/>
      </c>
      <c r="I59" s="276">
        <f>IFERROR(INDEX('D Fleet'!$D$5:$D$62,MATCH(I$3-$B59,'D Fleet'!$B$5:$B$62,0)),0)*IFERROR(INDEX('D Fleet'!$K$5:$K$36,INT(($B59/I$5))+1)+(($B59/I$5)-INT(($B59/I$5)))*(INDEX('D Fleet'!$K$5:$K$36,INT(($B59/I$5))+2)-INDEX('D Fleet'!$K$5:$K$36,INT(($B59/I$5))+1)),0)</f>
        <v/>
      </c>
      <c r="J59" s="276">
        <f>IFERROR(INDEX('D Fleet'!$D$5:$D$62,MATCH(J$3-$B59,'D Fleet'!$B$5:$B$62,0)),0)*IFERROR(INDEX('D Fleet'!$K$5:$K$36,INT(($B59/J$5))+1)+(($B59/J$5)-INT(($B59/J$5)))*(INDEX('D Fleet'!$K$5:$K$36,INT(($B59/J$5))+2)-INDEX('D Fleet'!$K$5:$K$36,INT(($B59/J$5))+1)),0)</f>
        <v/>
      </c>
      <c r="K59" s="276">
        <f>IFERROR(INDEX('D Fleet'!$D$5:$D$62,MATCH(K$3-$B59,'D Fleet'!$B$5:$B$62,0)),0)*IFERROR(INDEX('D Fleet'!$K$5:$K$36,INT(($B59/K$5))+1)+(($B59/K$5)-INT(($B59/K$5)))*(INDEX('D Fleet'!$K$5:$K$36,INT(($B59/K$5))+2)-INDEX('D Fleet'!$K$5:$K$36,INT(($B59/K$5))+1)),0)</f>
        <v/>
      </c>
      <c r="L59" s="276">
        <f>IFERROR(INDEX('D Fleet'!$D$5:$D$62,MATCH(L$3-$B59,'D Fleet'!$B$5:$B$62,0)),0)*IFERROR(INDEX('D Fleet'!$K$5:$K$36,INT(($B59/L$5))+1)+(($B59/L$5)-INT(($B59/L$5)))*(INDEX('D Fleet'!$K$5:$K$36,INT(($B59/L$5))+2)-INDEX('D Fleet'!$K$5:$K$36,INT(($B59/L$5))+1)),0)</f>
        <v/>
      </c>
      <c r="M59" s="276">
        <f>IFERROR(INDEX('D Fleet'!$D$5:$D$62,MATCH(M$3-$B59,'D Fleet'!$B$5:$B$62,0)),0)*IFERROR(INDEX('D Fleet'!$K$5:$K$36,INT(($B59/M$5))+1)+(($B59/M$5)-INT(($B59/M$5)))*(INDEX('D Fleet'!$K$5:$K$36,INT(($B59/M$5))+2)-INDEX('D Fleet'!$K$5:$K$36,INT(($B59/M$5))+1)),0)</f>
        <v/>
      </c>
      <c r="N59" s="276">
        <f>IFERROR(INDEX('D Fleet'!$D$5:$D$62,MATCH(N$3-$B59,'D Fleet'!$B$5:$B$62,0)),0)*IFERROR(INDEX('D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Fleet'!$D$5:$D$62,MATCH(E$3-$B60,'D Fleet'!$B$5:$B$62,0)),0)*IFERROR(INDEX('D Fleet'!$K$5:$K$36,INT(($B60/E$5))+1)+(($B60/E$5)-INT(($B60/E$5)))*(INDEX('D Fleet'!$K$5:$K$36,INT(($B60/E$5))+2)-INDEX('D Fleet'!$K$5:$K$36,INT(($B60/E$5))+1)),0)</f>
        <v/>
      </c>
      <c r="F60" s="276">
        <f>IFERROR(INDEX('D Fleet'!$D$5:$D$62,MATCH(F$3-$B60,'D Fleet'!$B$5:$B$62,0)),0)*IFERROR(INDEX('D Fleet'!$K$5:$K$36,INT(($B60/F$5))+1)+(($B60/F$5)-INT(($B60/F$5)))*(INDEX('D Fleet'!$K$5:$K$36,INT(($B60/F$5))+2)-INDEX('D Fleet'!$K$5:$K$36,INT(($B60/F$5))+1)),0)</f>
        <v/>
      </c>
      <c r="G60" s="276">
        <f>IFERROR(INDEX('D Fleet'!$D$5:$D$62,MATCH(G$3-$B60,'D Fleet'!$B$5:$B$62,0)),0)*IFERROR(INDEX('D Fleet'!$K$5:$K$36,INT(($B60/G$5))+1)+(($B60/G$5)-INT(($B60/G$5)))*(INDEX('D Fleet'!$K$5:$K$36,INT(($B60/G$5))+2)-INDEX('D Fleet'!$K$5:$K$36,INT(($B60/G$5))+1)),0)</f>
        <v/>
      </c>
      <c r="H60" s="276">
        <f>IFERROR(INDEX('D Fleet'!$D$5:$D$62,MATCH(H$3-$B60,'D Fleet'!$B$5:$B$62,0)),0)*IFERROR(INDEX('D Fleet'!$K$5:$K$36,INT(($B60/H$5))+1)+(($B60/H$5)-INT(($B60/H$5)))*(INDEX('D Fleet'!$K$5:$K$36,INT(($B60/H$5))+2)-INDEX('D Fleet'!$K$5:$K$36,INT(($B60/H$5))+1)),0)</f>
        <v/>
      </c>
      <c r="I60" s="276">
        <f>IFERROR(INDEX('D Fleet'!$D$5:$D$62,MATCH(I$3-$B60,'D Fleet'!$B$5:$B$62,0)),0)*IFERROR(INDEX('D Fleet'!$K$5:$K$36,INT(($B60/I$5))+1)+(($B60/I$5)-INT(($B60/I$5)))*(INDEX('D Fleet'!$K$5:$K$36,INT(($B60/I$5))+2)-INDEX('D Fleet'!$K$5:$K$36,INT(($B60/I$5))+1)),0)</f>
        <v/>
      </c>
      <c r="J60" s="276">
        <f>IFERROR(INDEX('D Fleet'!$D$5:$D$62,MATCH(J$3-$B60,'D Fleet'!$B$5:$B$62,0)),0)*IFERROR(INDEX('D Fleet'!$K$5:$K$36,INT(($B60/J$5))+1)+(($B60/J$5)-INT(($B60/J$5)))*(INDEX('D Fleet'!$K$5:$K$36,INT(($B60/J$5))+2)-INDEX('D Fleet'!$K$5:$K$36,INT(($B60/J$5))+1)),0)</f>
        <v/>
      </c>
      <c r="K60" s="276">
        <f>IFERROR(INDEX('D Fleet'!$D$5:$D$62,MATCH(K$3-$B60,'D Fleet'!$B$5:$B$62,0)),0)*IFERROR(INDEX('D Fleet'!$K$5:$K$36,INT(($B60/K$5))+1)+(($B60/K$5)-INT(($B60/K$5)))*(INDEX('D Fleet'!$K$5:$K$36,INT(($B60/K$5))+2)-INDEX('D Fleet'!$K$5:$K$36,INT(($B60/K$5))+1)),0)</f>
        <v/>
      </c>
      <c r="L60" s="276">
        <f>IFERROR(INDEX('D Fleet'!$D$5:$D$62,MATCH(L$3-$B60,'D Fleet'!$B$5:$B$62,0)),0)*IFERROR(INDEX('D Fleet'!$K$5:$K$36,INT(($B60/L$5))+1)+(($B60/L$5)-INT(($B60/L$5)))*(INDEX('D Fleet'!$K$5:$K$36,INT(($B60/L$5))+2)-INDEX('D Fleet'!$K$5:$K$36,INT(($B60/L$5))+1)),0)</f>
        <v/>
      </c>
      <c r="M60" s="276">
        <f>IFERROR(INDEX('D Fleet'!$D$5:$D$62,MATCH(M$3-$B60,'D Fleet'!$B$5:$B$62,0)),0)*IFERROR(INDEX('D Fleet'!$K$5:$K$36,INT(($B60/M$5))+1)+(($B60/M$5)-INT(($B60/M$5)))*(INDEX('D Fleet'!$K$5:$K$36,INT(($B60/M$5))+2)-INDEX('D Fleet'!$K$5:$K$36,INT(($B60/M$5))+1)),0)</f>
        <v/>
      </c>
      <c r="N60" s="276">
        <f>IFERROR(INDEX('D Fleet'!$D$5:$D$62,MATCH(N$3-$B60,'D Fleet'!$B$5:$B$62,0)),0)*IFERROR(INDEX('D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Fleet'!$D$5:$D$62,MATCH(E$3-$B61,'D Fleet'!$B$5:$B$62,0)),0)*IFERROR(INDEX('D Fleet'!$K$5:$K$36,INT(($B61/E$5))+1)+(($B61/E$5)-INT(($B61/E$5)))*(INDEX('D Fleet'!$K$5:$K$36,INT(($B61/E$5))+2)-INDEX('D Fleet'!$K$5:$K$36,INT(($B61/E$5))+1)),0)</f>
        <v/>
      </c>
      <c r="F61" s="276">
        <f>IFERROR(INDEX('D Fleet'!$D$5:$D$62,MATCH(F$3-$B61,'D Fleet'!$B$5:$B$62,0)),0)*IFERROR(INDEX('D Fleet'!$K$5:$K$36,INT(($B61/F$5))+1)+(($B61/F$5)-INT(($B61/F$5)))*(INDEX('D Fleet'!$K$5:$K$36,INT(($B61/F$5))+2)-INDEX('D Fleet'!$K$5:$K$36,INT(($B61/F$5))+1)),0)</f>
        <v/>
      </c>
      <c r="G61" s="276">
        <f>IFERROR(INDEX('D Fleet'!$D$5:$D$62,MATCH(G$3-$B61,'D Fleet'!$B$5:$B$62,0)),0)*IFERROR(INDEX('D Fleet'!$K$5:$K$36,INT(($B61/G$5))+1)+(($B61/G$5)-INT(($B61/G$5)))*(INDEX('D Fleet'!$K$5:$K$36,INT(($B61/G$5))+2)-INDEX('D Fleet'!$K$5:$K$36,INT(($B61/G$5))+1)),0)</f>
        <v/>
      </c>
      <c r="H61" s="276">
        <f>IFERROR(INDEX('D Fleet'!$D$5:$D$62,MATCH(H$3-$B61,'D Fleet'!$B$5:$B$62,0)),0)*IFERROR(INDEX('D Fleet'!$K$5:$K$36,INT(($B61/H$5))+1)+(($B61/H$5)-INT(($B61/H$5)))*(INDEX('D Fleet'!$K$5:$K$36,INT(($B61/H$5))+2)-INDEX('D Fleet'!$K$5:$K$36,INT(($B61/H$5))+1)),0)</f>
        <v/>
      </c>
      <c r="I61" s="276">
        <f>IFERROR(INDEX('D Fleet'!$D$5:$D$62,MATCH(I$3-$B61,'D Fleet'!$B$5:$B$62,0)),0)*IFERROR(INDEX('D Fleet'!$K$5:$K$36,INT(($B61/I$5))+1)+(($B61/I$5)-INT(($B61/I$5)))*(INDEX('D Fleet'!$K$5:$K$36,INT(($B61/I$5))+2)-INDEX('D Fleet'!$K$5:$K$36,INT(($B61/I$5))+1)),0)</f>
        <v/>
      </c>
      <c r="J61" s="276">
        <f>IFERROR(INDEX('D Fleet'!$D$5:$D$62,MATCH(J$3-$B61,'D Fleet'!$B$5:$B$62,0)),0)*IFERROR(INDEX('D Fleet'!$K$5:$K$36,INT(($B61/J$5))+1)+(($B61/J$5)-INT(($B61/J$5)))*(INDEX('D Fleet'!$K$5:$K$36,INT(($B61/J$5))+2)-INDEX('D Fleet'!$K$5:$K$36,INT(($B61/J$5))+1)),0)</f>
        <v/>
      </c>
      <c r="K61" s="276">
        <f>IFERROR(INDEX('D Fleet'!$D$5:$D$62,MATCH(K$3-$B61,'D Fleet'!$B$5:$B$62,0)),0)*IFERROR(INDEX('D Fleet'!$K$5:$K$36,INT(($B61/K$5))+1)+(($B61/K$5)-INT(($B61/K$5)))*(INDEX('D Fleet'!$K$5:$K$36,INT(($B61/K$5))+2)-INDEX('D Fleet'!$K$5:$K$36,INT(($B61/K$5))+1)),0)</f>
        <v/>
      </c>
      <c r="L61" s="276">
        <f>IFERROR(INDEX('D Fleet'!$D$5:$D$62,MATCH(L$3-$B61,'D Fleet'!$B$5:$B$62,0)),0)*IFERROR(INDEX('D Fleet'!$K$5:$K$36,INT(($B61/L$5))+1)+(($B61/L$5)-INT(($B61/L$5)))*(INDEX('D Fleet'!$K$5:$K$36,INT(($B61/L$5))+2)-INDEX('D Fleet'!$K$5:$K$36,INT(($B61/L$5))+1)),0)</f>
        <v/>
      </c>
      <c r="M61" s="276">
        <f>IFERROR(INDEX('D Fleet'!$D$5:$D$62,MATCH(M$3-$B61,'D Fleet'!$B$5:$B$62,0)),0)*IFERROR(INDEX('D Fleet'!$K$5:$K$36,INT(($B61/M$5))+1)+(($B61/M$5)-INT(($B61/M$5)))*(INDEX('D Fleet'!$K$5:$K$36,INT(($B61/M$5))+2)-INDEX('D Fleet'!$K$5:$K$36,INT(($B61/M$5))+1)),0)</f>
        <v/>
      </c>
      <c r="N61" s="276">
        <f>IFERROR(INDEX('D Fleet'!$D$5:$D$62,MATCH(N$3-$B61,'D Fleet'!$B$5:$B$62,0)),0)*IFERROR(INDEX('D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Fleet'!$D$5:$D$62,MATCH(E$3-$B62,'D Fleet'!$B$5:$B$62,0)),0)*IFERROR(INDEX('D Fleet'!$K$5:$K$36,INT(($B62/E$5))+1)+(($B62/E$5)-INT(($B62/E$5)))*(INDEX('D Fleet'!$K$5:$K$36,INT(($B62/E$5))+2)-INDEX('D Fleet'!$K$5:$K$36,INT(($B62/E$5))+1)),0)</f>
        <v/>
      </c>
      <c r="F62" s="276">
        <f>IFERROR(INDEX('D Fleet'!$D$5:$D$62,MATCH(F$3-$B62,'D Fleet'!$B$5:$B$62,0)),0)*IFERROR(INDEX('D Fleet'!$K$5:$K$36,INT(($B62/F$5))+1)+(($B62/F$5)-INT(($B62/F$5)))*(INDEX('D Fleet'!$K$5:$K$36,INT(($B62/F$5))+2)-INDEX('D Fleet'!$K$5:$K$36,INT(($B62/F$5))+1)),0)</f>
        <v/>
      </c>
      <c r="G62" s="276">
        <f>IFERROR(INDEX('D Fleet'!$D$5:$D$62,MATCH(G$3-$B62,'D Fleet'!$B$5:$B$62,0)),0)*IFERROR(INDEX('D Fleet'!$K$5:$K$36,INT(($B62/G$5))+1)+(($B62/G$5)-INT(($B62/G$5)))*(INDEX('D Fleet'!$K$5:$K$36,INT(($B62/G$5))+2)-INDEX('D Fleet'!$K$5:$K$36,INT(($B62/G$5))+1)),0)</f>
        <v/>
      </c>
      <c r="H62" s="276">
        <f>IFERROR(INDEX('D Fleet'!$D$5:$D$62,MATCH(H$3-$B62,'D Fleet'!$B$5:$B$62,0)),0)*IFERROR(INDEX('D Fleet'!$K$5:$K$36,INT(($B62/H$5))+1)+(($B62/H$5)-INT(($B62/H$5)))*(INDEX('D Fleet'!$K$5:$K$36,INT(($B62/H$5))+2)-INDEX('D Fleet'!$K$5:$K$36,INT(($B62/H$5))+1)),0)</f>
        <v/>
      </c>
      <c r="I62" s="276">
        <f>IFERROR(INDEX('D Fleet'!$D$5:$D$62,MATCH(I$3-$B62,'D Fleet'!$B$5:$B$62,0)),0)*IFERROR(INDEX('D Fleet'!$K$5:$K$36,INT(($B62/I$5))+1)+(($B62/I$5)-INT(($B62/I$5)))*(INDEX('D Fleet'!$K$5:$K$36,INT(($B62/I$5))+2)-INDEX('D Fleet'!$K$5:$K$36,INT(($B62/I$5))+1)),0)</f>
        <v/>
      </c>
      <c r="J62" s="276">
        <f>IFERROR(INDEX('D Fleet'!$D$5:$D$62,MATCH(J$3-$B62,'D Fleet'!$B$5:$B$62,0)),0)*IFERROR(INDEX('D Fleet'!$K$5:$K$36,INT(($B62/J$5))+1)+(($B62/J$5)-INT(($B62/J$5)))*(INDEX('D Fleet'!$K$5:$K$36,INT(($B62/J$5))+2)-INDEX('D Fleet'!$K$5:$K$36,INT(($B62/J$5))+1)),0)</f>
        <v/>
      </c>
      <c r="K62" s="276">
        <f>IFERROR(INDEX('D Fleet'!$D$5:$D$62,MATCH(K$3-$B62,'D Fleet'!$B$5:$B$62,0)),0)*IFERROR(INDEX('D Fleet'!$K$5:$K$36,INT(($B62/K$5))+1)+(($B62/K$5)-INT(($B62/K$5)))*(INDEX('D Fleet'!$K$5:$K$36,INT(($B62/K$5))+2)-INDEX('D Fleet'!$K$5:$K$36,INT(($B62/K$5))+1)),0)</f>
        <v/>
      </c>
      <c r="L62" s="276">
        <f>IFERROR(INDEX('D Fleet'!$D$5:$D$62,MATCH(L$3-$B62,'D Fleet'!$B$5:$B$62,0)),0)*IFERROR(INDEX('D Fleet'!$K$5:$K$36,INT(($B62/L$5))+1)+(($B62/L$5)-INT(($B62/L$5)))*(INDEX('D Fleet'!$K$5:$K$36,INT(($B62/L$5))+2)-INDEX('D Fleet'!$K$5:$K$36,INT(($B62/L$5))+1)),0)</f>
        <v/>
      </c>
      <c r="M62" s="276">
        <f>IFERROR(INDEX('D Fleet'!$D$5:$D$62,MATCH(M$3-$B62,'D Fleet'!$B$5:$B$62,0)),0)*IFERROR(INDEX('D Fleet'!$K$5:$K$36,INT(($B62/M$5))+1)+(($B62/M$5)-INT(($B62/M$5)))*(INDEX('D Fleet'!$K$5:$K$36,INT(($B62/M$5))+2)-INDEX('D Fleet'!$K$5:$K$36,INT(($B62/M$5))+1)),0)</f>
        <v/>
      </c>
      <c r="N62" s="276">
        <f>IFERROR(INDEX('D Fleet'!$D$5:$D$62,MATCH(N$3-$B62,'D Fleet'!$B$5:$B$62,0)),0)*IFERROR(INDEX('D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Fleet'!$D$5:$D$62,MATCH(E$3-$B63,'D Fleet'!$B$5:$B$62,0)),0)*IFERROR(INDEX('D Fleet'!$K$5:$K$36,INT(($B63/E$5))+1)+(($B63/E$5)-INT(($B63/E$5)))*(INDEX('D Fleet'!$K$5:$K$36,INT(($B63/E$5))+2)-INDEX('D Fleet'!$K$5:$K$36,INT(($B63/E$5))+1)),0)</f>
        <v/>
      </c>
      <c r="F63" s="276">
        <f>IFERROR(INDEX('D Fleet'!$D$5:$D$62,MATCH(F$3-$B63,'D Fleet'!$B$5:$B$62,0)),0)*IFERROR(INDEX('D Fleet'!$K$5:$K$36,INT(($B63/F$5))+1)+(($B63/F$5)-INT(($B63/F$5)))*(INDEX('D Fleet'!$K$5:$K$36,INT(($B63/F$5))+2)-INDEX('D Fleet'!$K$5:$K$36,INT(($B63/F$5))+1)),0)</f>
        <v/>
      </c>
      <c r="G63" s="276">
        <f>IFERROR(INDEX('D Fleet'!$D$5:$D$62,MATCH(G$3-$B63,'D Fleet'!$B$5:$B$62,0)),0)*IFERROR(INDEX('D Fleet'!$K$5:$K$36,INT(($B63/G$5))+1)+(($B63/G$5)-INT(($B63/G$5)))*(INDEX('D Fleet'!$K$5:$K$36,INT(($B63/G$5))+2)-INDEX('D Fleet'!$K$5:$K$36,INT(($B63/G$5))+1)),0)</f>
        <v/>
      </c>
      <c r="H63" s="276">
        <f>IFERROR(INDEX('D Fleet'!$D$5:$D$62,MATCH(H$3-$B63,'D Fleet'!$B$5:$B$62,0)),0)*IFERROR(INDEX('D Fleet'!$K$5:$K$36,INT(($B63/H$5))+1)+(($B63/H$5)-INT(($B63/H$5)))*(INDEX('D Fleet'!$K$5:$K$36,INT(($B63/H$5))+2)-INDEX('D Fleet'!$K$5:$K$36,INT(($B63/H$5))+1)),0)</f>
        <v/>
      </c>
      <c r="I63" s="276">
        <f>IFERROR(INDEX('D Fleet'!$D$5:$D$62,MATCH(I$3-$B63,'D Fleet'!$B$5:$B$62,0)),0)*IFERROR(INDEX('D Fleet'!$K$5:$K$36,INT(($B63/I$5))+1)+(($B63/I$5)-INT(($B63/I$5)))*(INDEX('D Fleet'!$K$5:$K$36,INT(($B63/I$5))+2)-INDEX('D Fleet'!$K$5:$K$36,INT(($B63/I$5))+1)),0)</f>
        <v/>
      </c>
      <c r="J63" s="276">
        <f>IFERROR(INDEX('D Fleet'!$D$5:$D$62,MATCH(J$3-$B63,'D Fleet'!$B$5:$B$62,0)),0)*IFERROR(INDEX('D Fleet'!$K$5:$K$36,INT(($B63/J$5))+1)+(($B63/J$5)-INT(($B63/J$5)))*(INDEX('D Fleet'!$K$5:$K$36,INT(($B63/J$5))+2)-INDEX('D Fleet'!$K$5:$K$36,INT(($B63/J$5))+1)),0)</f>
        <v/>
      </c>
      <c r="K63" s="276">
        <f>IFERROR(INDEX('D Fleet'!$D$5:$D$62,MATCH(K$3-$B63,'D Fleet'!$B$5:$B$62,0)),0)*IFERROR(INDEX('D Fleet'!$K$5:$K$36,INT(($B63/K$5))+1)+(($B63/K$5)-INT(($B63/K$5)))*(INDEX('D Fleet'!$K$5:$K$36,INT(($B63/K$5))+2)-INDEX('D Fleet'!$K$5:$K$36,INT(($B63/K$5))+1)),0)</f>
        <v/>
      </c>
      <c r="L63" s="276">
        <f>IFERROR(INDEX('D Fleet'!$D$5:$D$62,MATCH(L$3-$B63,'D Fleet'!$B$5:$B$62,0)),0)*IFERROR(INDEX('D Fleet'!$K$5:$K$36,INT(($B63/L$5))+1)+(($B63/L$5)-INT(($B63/L$5)))*(INDEX('D Fleet'!$K$5:$K$36,INT(($B63/L$5))+2)-INDEX('D Fleet'!$K$5:$K$36,INT(($B63/L$5))+1)),0)</f>
        <v/>
      </c>
      <c r="M63" s="276">
        <f>IFERROR(INDEX('D Fleet'!$D$5:$D$62,MATCH(M$3-$B63,'D Fleet'!$B$5:$B$62,0)),0)*IFERROR(INDEX('D Fleet'!$K$5:$K$36,INT(($B63/M$5))+1)+(($B63/M$5)-INT(($B63/M$5)))*(INDEX('D Fleet'!$K$5:$K$36,INT(($B63/M$5))+2)-INDEX('D Fleet'!$K$5:$K$36,INT(($B63/M$5))+1)),0)</f>
        <v/>
      </c>
      <c r="N63" s="276">
        <f>IFERROR(INDEX('D Fleet'!$D$5:$D$62,MATCH(N$3-$B63,'D Fleet'!$B$5:$B$62,0)),0)*IFERROR(INDEX('D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Fleet'!$D$5:$D$62,MATCH(E$3-$B64,'D Fleet'!$B$5:$B$62,0)),0)*IFERROR(INDEX('D Fleet'!$K$5:$K$36,INT(($B64/E$5))+1)+(($B64/E$5)-INT(($B64/E$5)))*(INDEX('D Fleet'!$K$5:$K$36,INT(($B64/E$5))+2)-INDEX('D Fleet'!$K$5:$K$36,INT(($B64/E$5))+1)),0)</f>
        <v/>
      </c>
      <c r="F64" s="276">
        <f>IFERROR(INDEX('D Fleet'!$D$5:$D$62,MATCH(F$3-$B64,'D Fleet'!$B$5:$B$62,0)),0)*IFERROR(INDEX('D Fleet'!$K$5:$K$36,INT(($B64/F$5))+1)+(($B64/F$5)-INT(($B64/F$5)))*(INDEX('D Fleet'!$K$5:$K$36,INT(($B64/F$5))+2)-INDEX('D Fleet'!$K$5:$K$36,INT(($B64/F$5))+1)),0)</f>
        <v/>
      </c>
      <c r="G64" s="276">
        <f>IFERROR(INDEX('D Fleet'!$D$5:$D$62,MATCH(G$3-$B64,'D Fleet'!$B$5:$B$62,0)),0)*IFERROR(INDEX('D Fleet'!$K$5:$K$36,INT(($B64/G$5))+1)+(($B64/G$5)-INT(($B64/G$5)))*(INDEX('D Fleet'!$K$5:$K$36,INT(($B64/G$5))+2)-INDEX('D Fleet'!$K$5:$K$36,INT(($B64/G$5))+1)),0)</f>
        <v/>
      </c>
      <c r="H64" s="276">
        <f>IFERROR(INDEX('D Fleet'!$D$5:$D$62,MATCH(H$3-$B64,'D Fleet'!$B$5:$B$62,0)),0)*IFERROR(INDEX('D Fleet'!$K$5:$K$36,INT(($B64/H$5))+1)+(($B64/H$5)-INT(($B64/H$5)))*(INDEX('D Fleet'!$K$5:$K$36,INT(($B64/H$5))+2)-INDEX('D Fleet'!$K$5:$K$36,INT(($B64/H$5))+1)),0)</f>
        <v/>
      </c>
      <c r="I64" s="276">
        <f>IFERROR(INDEX('D Fleet'!$D$5:$D$62,MATCH(I$3-$B64,'D Fleet'!$B$5:$B$62,0)),0)*IFERROR(INDEX('D Fleet'!$K$5:$K$36,INT(($B64/I$5))+1)+(($B64/I$5)-INT(($B64/I$5)))*(INDEX('D Fleet'!$K$5:$K$36,INT(($B64/I$5))+2)-INDEX('D Fleet'!$K$5:$K$36,INT(($B64/I$5))+1)),0)</f>
        <v/>
      </c>
      <c r="J64" s="276">
        <f>IFERROR(INDEX('D Fleet'!$D$5:$D$62,MATCH(J$3-$B64,'D Fleet'!$B$5:$B$62,0)),0)*IFERROR(INDEX('D Fleet'!$K$5:$K$36,INT(($B64/J$5))+1)+(($B64/J$5)-INT(($B64/J$5)))*(INDEX('D Fleet'!$K$5:$K$36,INT(($B64/J$5))+2)-INDEX('D Fleet'!$K$5:$K$36,INT(($B64/J$5))+1)),0)</f>
        <v/>
      </c>
      <c r="K64" s="276">
        <f>IFERROR(INDEX('D Fleet'!$D$5:$D$62,MATCH(K$3-$B64,'D Fleet'!$B$5:$B$62,0)),0)*IFERROR(INDEX('D Fleet'!$K$5:$K$36,INT(($B64/K$5))+1)+(($B64/K$5)-INT(($B64/K$5)))*(INDEX('D Fleet'!$K$5:$K$36,INT(($B64/K$5))+2)-INDEX('D Fleet'!$K$5:$K$36,INT(($B64/K$5))+1)),0)</f>
        <v/>
      </c>
      <c r="L64" s="276">
        <f>IFERROR(INDEX('D Fleet'!$D$5:$D$62,MATCH(L$3-$B64,'D Fleet'!$B$5:$B$62,0)),0)*IFERROR(INDEX('D Fleet'!$K$5:$K$36,INT(($B64/L$5))+1)+(($B64/L$5)-INT(($B64/L$5)))*(INDEX('D Fleet'!$K$5:$K$36,INT(($B64/L$5))+2)-INDEX('D Fleet'!$K$5:$K$36,INT(($B64/L$5))+1)),0)</f>
        <v/>
      </c>
      <c r="M64" s="276">
        <f>IFERROR(INDEX('D Fleet'!$D$5:$D$62,MATCH(M$3-$B64,'D Fleet'!$B$5:$B$62,0)),0)*IFERROR(INDEX('D Fleet'!$K$5:$K$36,INT(($B64/M$5))+1)+(($B64/M$5)-INT(($B64/M$5)))*(INDEX('D Fleet'!$K$5:$K$36,INT(($B64/M$5))+2)-INDEX('D Fleet'!$K$5:$K$36,INT(($B64/M$5))+1)),0)</f>
        <v/>
      </c>
      <c r="N64" s="276">
        <f>IFERROR(INDEX('D Fleet'!$D$5:$D$62,MATCH(N$3-$B64,'D Fleet'!$B$5:$B$62,0)),0)*IFERROR(INDEX('D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Fleet'!$D$5:$D$62,MATCH(E$3-$B65,'D Fleet'!$B$5:$B$62,0)),0)*IFERROR(INDEX('D Fleet'!$K$5:$K$36,INT(($B65/E$5))+1)+(($B65/E$5)-INT(($B65/E$5)))*(INDEX('D Fleet'!$K$5:$K$36,INT(($B65/E$5))+2)-INDEX('D Fleet'!$K$5:$K$36,INT(($B65/E$5))+1)),0)</f>
        <v/>
      </c>
      <c r="F65" s="276">
        <f>IFERROR(INDEX('D Fleet'!$D$5:$D$62,MATCH(F$3-$B65,'D Fleet'!$B$5:$B$62,0)),0)*IFERROR(INDEX('D Fleet'!$K$5:$K$36,INT(($B65/F$5))+1)+(($B65/F$5)-INT(($B65/F$5)))*(INDEX('D Fleet'!$K$5:$K$36,INT(($B65/F$5))+2)-INDEX('D Fleet'!$K$5:$K$36,INT(($B65/F$5))+1)),0)</f>
        <v/>
      </c>
      <c r="G65" s="276">
        <f>IFERROR(INDEX('D Fleet'!$D$5:$D$62,MATCH(G$3-$B65,'D Fleet'!$B$5:$B$62,0)),0)*IFERROR(INDEX('D Fleet'!$K$5:$K$36,INT(($B65/G$5))+1)+(($B65/G$5)-INT(($B65/G$5)))*(INDEX('D Fleet'!$K$5:$K$36,INT(($B65/G$5))+2)-INDEX('D Fleet'!$K$5:$K$36,INT(($B65/G$5))+1)),0)</f>
        <v/>
      </c>
      <c r="H65" s="276">
        <f>IFERROR(INDEX('D Fleet'!$D$5:$D$62,MATCH(H$3-$B65,'D Fleet'!$B$5:$B$62,0)),0)*IFERROR(INDEX('D Fleet'!$K$5:$K$36,INT(($B65/H$5))+1)+(($B65/H$5)-INT(($B65/H$5)))*(INDEX('D Fleet'!$K$5:$K$36,INT(($B65/H$5))+2)-INDEX('D Fleet'!$K$5:$K$36,INT(($B65/H$5))+1)),0)</f>
        <v/>
      </c>
      <c r="I65" s="276">
        <f>IFERROR(INDEX('D Fleet'!$D$5:$D$62,MATCH(I$3-$B65,'D Fleet'!$B$5:$B$62,0)),0)*IFERROR(INDEX('D Fleet'!$K$5:$K$36,INT(($B65/I$5))+1)+(($B65/I$5)-INT(($B65/I$5)))*(INDEX('D Fleet'!$K$5:$K$36,INT(($B65/I$5))+2)-INDEX('D Fleet'!$K$5:$K$36,INT(($B65/I$5))+1)),0)</f>
        <v/>
      </c>
      <c r="J65" s="276">
        <f>IFERROR(INDEX('D Fleet'!$D$5:$D$62,MATCH(J$3-$B65,'D Fleet'!$B$5:$B$62,0)),0)*IFERROR(INDEX('D Fleet'!$K$5:$K$36,INT(($B65/J$5))+1)+(($B65/J$5)-INT(($B65/J$5)))*(INDEX('D Fleet'!$K$5:$K$36,INT(($B65/J$5))+2)-INDEX('D Fleet'!$K$5:$K$36,INT(($B65/J$5))+1)),0)</f>
        <v/>
      </c>
      <c r="K65" s="276">
        <f>IFERROR(INDEX('D Fleet'!$D$5:$D$62,MATCH(K$3-$B65,'D Fleet'!$B$5:$B$62,0)),0)*IFERROR(INDEX('D Fleet'!$K$5:$K$36,INT(($B65/K$5))+1)+(($B65/K$5)-INT(($B65/K$5)))*(INDEX('D Fleet'!$K$5:$K$36,INT(($B65/K$5))+2)-INDEX('D Fleet'!$K$5:$K$36,INT(($B65/K$5))+1)),0)</f>
        <v/>
      </c>
      <c r="L65" s="276">
        <f>IFERROR(INDEX('D Fleet'!$D$5:$D$62,MATCH(L$3-$B65,'D Fleet'!$B$5:$B$62,0)),0)*IFERROR(INDEX('D Fleet'!$K$5:$K$36,INT(($B65/L$5))+1)+(($B65/L$5)-INT(($B65/L$5)))*(INDEX('D Fleet'!$K$5:$K$36,INT(($B65/L$5))+2)-INDEX('D Fleet'!$K$5:$K$36,INT(($B65/L$5))+1)),0)</f>
        <v/>
      </c>
      <c r="M65" s="276">
        <f>IFERROR(INDEX('D Fleet'!$D$5:$D$62,MATCH(M$3-$B65,'D Fleet'!$B$5:$B$62,0)),0)*IFERROR(INDEX('D Fleet'!$K$5:$K$36,INT(($B65/M$5))+1)+(($B65/M$5)-INT(($B65/M$5)))*(INDEX('D Fleet'!$K$5:$K$36,INT(($B65/M$5))+2)-INDEX('D Fleet'!$K$5:$K$36,INT(($B65/M$5))+1)),0)</f>
        <v/>
      </c>
      <c r="N65" s="276">
        <f>IFERROR(INDEX('D Fleet'!$D$5:$D$62,MATCH(N$3-$B65,'D Fleet'!$B$5:$B$62,0)),0)*IFERROR(INDEX('D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Fleet'!$D$5:$D$62,MATCH(E$3-$B66,'D Fleet'!$B$5:$B$62,0)),0)*IFERROR(INDEX('D Fleet'!$K$5:$K$36,INT(($B66/E$5))+1)+(($B66/E$5)-INT(($B66/E$5)))*(INDEX('D Fleet'!$K$5:$K$36,INT(($B66/E$5))+2)-INDEX('D Fleet'!$K$5:$K$36,INT(($B66/E$5))+1)),0)</f>
        <v/>
      </c>
      <c r="F66" s="276">
        <f>IFERROR(INDEX('D Fleet'!$D$5:$D$62,MATCH(F$3-$B66,'D Fleet'!$B$5:$B$62,0)),0)*IFERROR(INDEX('D Fleet'!$K$5:$K$36,INT(($B66/F$5))+1)+(($B66/F$5)-INT(($B66/F$5)))*(INDEX('D Fleet'!$K$5:$K$36,INT(($B66/F$5))+2)-INDEX('D Fleet'!$K$5:$K$36,INT(($B66/F$5))+1)),0)</f>
        <v/>
      </c>
      <c r="G66" s="276">
        <f>IFERROR(INDEX('D Fleet'!$D$5:$D$62,MATCH(G$3-$B66,'D Fleet'!$B$5:$B$62,0)),0)*IFERROR(INDEX('D Fleet'!$K$5:$K$36,INT(($B66/G$5))+1)+(($B66/G$5)-INT(($B66/G$5)))*(INDEX('D Fleet'!$K$5:$K$36,INT(($B66/G$5))+2)-INDEX('D Fleet'!$K$5:$K$36,INT(($B66/G$5))+1)),0)</f>
        <v/>
      </c>
      <c r="H66" s="276">
        <f>IFERROR(INDEX('D Fleet'!$D$5:$D$62,MATCH(H$3-$B66,'D Fleet'!$B$5:$B$62,0)),0)*IFERROR(INDEX('D Fleet'!$K$5:$K$36,INT(($B66/H$5))+1)+(($B66/H$5)-INT(($B66/H$5)))*(INDEX('D Fleet'!$K$5:$K$36,INT(($B66/H$5))+2)-INDEX('D Fleet'!$K$5:$K$36,INT(($B66/H$5))+1)),0)</f>
        <v/>
      </c>
      <c r="I66" s="276">
        <f>IFERROR(INDEX('D Fleet'!$D$5:$D$62,MATCH(I$3-$B66,'D Fleet'!$B$5:$B$62,0)),0)*IFERROR(INDEX('D Fleet'!$K$5:$K$36,INT(($B66/I$5))+1)+(($B66/I$5)-INT(($B66/I$5)))*(INDEX('D Fleet'!$K$5:$K$36,INT(($B66/I$5))+2)-INDEX('D Fleet'!$K$5:$K$36,INT(($B66/I$5))+1)),0)</f>
        <v/>
      </c>
      <c r="J66" s="276">
        <f>IFERROR(INDEX('D Fleet'!$D$5:$D$62,MATCH(J$3-$B66,'D Fleet'!$B$5:$B$62,0)),0)*IFERROR(INDEX('D Fleet'!$K$5:$K$36,INT(($B66/J$5))+1)+(($B66/J$5)-INT(($B66/J$5)))*(INDEX('D Fleet'!$K$5:$K$36,INT(($B66/J$5))+2)-INDEX('D Fleet'!$K$5:$K$36,INT(($B66/J$5))+1)),0)</f>
        <v/>
      </c>
      <c r="K66" s="276">
        <f>IFERROR(INDEX('D Fleet'!$D$5:$D$62,MATCH(K$3-$B66,'D Fleet'!$B$5:$B$62,0)),0)*IFERROR(INDEX('D Fleet'!$K$5:$K$36,INT(($B66/K$5))+1)+(($B66/K$5)-INT(($B66/K$5)))*(INDEX('D Fleet'!$K$5:$K$36,INT(($B66/K$5))+2)-INDEX('D Fleet'!$K$5:$K$36,INT(($B66/K$5))+1)),0)</f>
        <v/>
      </c>
      <c r="L66" s="276">
        <f>IFERROR(INDEX('D Fleet'!$D$5:$D$62,MATCH(L$3-$B66,'D Fleet'!$B$5:$B$62,0)),0)*IFERROR(INDEX('D Fleet'!$K$5:$K$36,INT(($B66/L$5))+1)+(($B66/L$5)-INT(($B66/L$5)))*(INDEX('D Fleet'!$K$5:$K$36,INT(($B66/L$5))+2)-INDEX('D Fleet'!$K$5:$K$36,INT(($B66/L$5))+1)),0)</f>
        <v/>
      </c>
      <c r="M66" s="276">
        <f>IFERROR(INDEX('D Fleet'!$D$5:$D$62,MATCH(M$3-$B66,'D Fleet'!$B$5:$B$62,0)),0)*IFERROR(INDEX('D Fleet'!$K$5:$K$36,INT(($B66/M$5))+1)+(($B66/M$5)-INT(($B66/M$5)))*(INDEX('D Fleet'!$K$5:$K$36,INT(($B66/M$5))+2)-INDEX('D Fleet'!$K$5:$K$36,INT(($B66/M$5))+1)),0)</f>
        <v/>
      </c>
      <c r="N66" s="276">
        <f>IFERROR(INDEX('D Fleet'!$D$5:$D$62,MATCH(N$3-$B66,'D Fleet'!$B$5:$B$62,0)),0)*IFERROR(INDEX('D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Fleet'!$D$5:$D$62,MATCH(E$3-$B67,'D Fleet'!$B$5:$B$62,0)),0)*IFERROR(INDEX('D Fleet'!$K$5:$K$36,INT(($B67/E$5))+1)+(($B67/E$5)-INT(($B67/E$5)))*(INDEX('D Fleet'!$K$5:$K$36,INT(($B67/E$5))+2)-INDEX('D Fleet'!$K$5:$K$36,INT(($B67/E$5))+1)),0)</f>
        <v/>
      </c>
      <c r="F67" s="276">
        <f>IFERROR(INDEX('D Fleet'!$D$5:$D$62,MATCH(F$3-$B67,'D Fleet'!$B$5:$B$62,0)),0)*IFERROR(INDEX('D Fleet'!$K$5:$K$36,INT(($B67/F$5))+1)+(($B67/F$5)-INT(($B67/F$5)))*(INDEX('D Fleet'!$K$5:$K$36,INT(($B67/F$5))+2)-INDEX('D Fleet'!$K$5:$K$36,INT(($B67/F$5))+1)),0)</f>
        <v/>
      </c>
      <c r="G67" s="276">
        <f>IFERROR(INDEX('D Fleet'!$D$5:$D$62,MATCH(G$3-$B67,'D Fleet'!$B$5:$B$62,0)),0)*IFERROR(INDEX('D Fleet'!$K$5:$K$36,INT(($B67/G$5))+1)+(($B67/G$5)-INT(($B67/G$5)))*(INDEX('D Fleet'!$K$5:$K$36,INT(($B67/G$5))+2)-INDEX('D Fleet'!$K$5:$K$36,INT(($B67/G$5))+1)),0)</f>
        <v/>
      </c>
      <c r="H67" s="276">
        <f>IFERROR(INDEX('D Fleet'!$D$5:$D$62,MATCH(H$3-$B67,'D Fleet'!$B$5:$B$62,0)),0)*IFERROR(INDEX('D Fleet'!$K$5:$K$36,INT(($B67/H$5))+1)+(($B67/H$5)-INT(($B67/H$5)))*(INDEX('D Fleet'!$K$5:$K$36,INT(($B67/H$5))+2)-INDEX('D Fleet'!$K$5:$K$36,INT(($B67/H$5))+1)),0)</f>
        <v/>
      </c>
      <c r="I67" s="276">
        <f>IFERROR(INDEX('D Fleet'!$D$5:$D$62,MATCH(I$3-$B67,'D Fleet'!$B$5:$B$62,0)),0)*IFERROR(INDEX('D Fleet'!$K$5:$K$36,INT(($B67/I$5))+1)+(($B67/I$5)-INT(($B67/I$5)))*(INDEX('D Fleet'!$K$5:$K$36,INT(($B67/I$5))+2)-INDEX('D Fleet'!$K$5:$K$36,INT(($B67/I$5))+1)),0)</f>
        <v/>
      </c>
      <c r="J67" s="276">
        <f>IFERROR(INDEX('D Fleet'!$D$5:$D$62,MATCH(J$3-$B67,'D Fleet'!$B$5:$B$62,0)),0)*IFERROR(INDEX('D Fleet'!$K$5:$K$36,INT(($B67/J$5))+1)+(($B67/J$5)-INT(($B67/J$5)))*(INDEX('D Fleet'!$K$5:$K$36,INT(($B67/J$5))+2)-INDEX('D Fleet'!$K$5:$K$36,INT(($B67/J$5))+1)),0)</f>
        <v/>
      </c>
      <c r="K67" s="276">
        <f>IFERROR(INDEX('D Fleet'!$D$5:$D$62,MATCH(K$3-$B67,'D Fleet'!$B$5:$B$62,0)),0)*IFERROR(INDEX('D Fleet'!$K$5:$K$36,INT(($B67/K$5))+1)+(($B67/K$5)-INT(($B67/K$5)))*(INDEX('D Fleet'!$K$5:$K$36,INT(($B67/K$5))+2)-INDEX('D Fleet'!$K$5:$K$36,INT(($B67/K$5))+1)),0)</f>
        <v/>
      </c>
      <c r="L67" s="276">
        <f>IFERROR(INDEX('D Fleet'!$D$5:$D$62,MATCH(L$3-$B67,'D Fleet'!$B$5:$B$62,0)),0)*IFERROR(INDEX('D Fleet'!$K$5:$K$36,INT(($B67/L$5))+1)+(($B67/L$5)-INT(($B67/L$5)))*(INDEX('D Fleet'!$K$5:$K$36,INT(($B67/L$5))+2)-INDEX('D Fleet'!$K$5:$K$36,INT(($B67/L$5))+1)),0)</f>
        <v/>
      </c>
      <c r="M67" s="276">
        <f>IFERROR(INDEX('D Fleet'!$D$5:$D$62,MATCH(M$3-$B67,'D Fleet'!$B$5:$B$62,0)),0)*IFERROR(INDEX('D Fleet'!$K$5:$K$36,INT(($B67/M$5))+1)+(($B67/M$5)-INT(($B67/M$5)))*(INDEX('D Fleet'!$K$5:$K$36,INT(($B67/M$5))+2)-INDEX('D Fleet'!$K$5:$K$36,INT(($B67/M$5))+1)),0)</f>
        <v/>
      </c>
      <c r="N67" s="276">
        <f>IFERROR(INDEX('D Fleet'!$D$5:$D$62,MATCH(N$3-$B67,'D Fleet'!$B$5:$B$62,0)),0)*IFERROR(INDEX('D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Fleet'!$D$5:$D$62,MATCH(E$3-$B68,'D Fleet'!$B$5:$B$62,0)),0)*IFERROR(INDEX('D Fleet'!$K$5:$K$36,INT(($B68/E$5))+1)+(($B68/E$5)-INT(($B68/E$5)))*(INDEX('D Fleet'!$K$5:$K$36,INT(($B68/E$5))+2)-INDEX('D Fleet'!$K$5:$K$36,INT(($B68/E$5))+1)),0)</f>
        <v/>
      </c>
      <c r="F68" s="276">
        <f>IFERROR(INDEX('D Fleet'!$D$5:$D$62,MATCH(F$3-$B68,'D Fleet'!$B$5:$B$62,0)),0)*IFERROR(INDEX('D Fleet'!$K$5:$K$36,INT(($B68/F$5))+1)+(($B68/F$5)-INT(($B68/F$5)))*(INDEX('D Fleet'!$K$5:$K$36,INT(($B68/F$5))+2)-INDEX('D Fleet'!$K$5:$K$36,INT(($B68/F$5))+1)),0)</f>
        <v/>
      </c>
      <c r="G68" s="276">
        <f>IFERROR(INDEX('D Fleet'!$D$5:$D$62,MATCH(G$3-$B68,'D Fleet'!$B$5:$B$62,0)),0)*IFERROR(INDEX('D Fleet'!$K$5:$K$36,INT(($B68/G$5))+1)+(($B68/G$5)-INT(($B68/G$5)))*(INDEX('D Fleet'!$K$5:$K$36,INT(($B68/G$5))+2)-INDEX('D Fleet'!$K$5:$K$36,INT(($B68/G$5))+1)),0)</f>
        <v/>
      </c>
      <c r="H68" s="276">
        <f>IFERROR(INDEX('D Fleet'!$D$5:$D$62,MATCH(H$3-$B68,'D Fleet'!$B$5:$B$62,0)),0)*IFERROR(INDEX('D Fleet'!$K$5:$K$36,INT(($B68/H$5))+1)+(($B68/H$5)-INT(($B68/H$5)))*(INDEX('D Fleet'!$K$5:$K$36,INT(($B68/H$5))+2)-INDEX('D Fleet'!$K$5:$K$36,INT(($B68/H$5))+1)),0)</f>
        <v/>
      </c>
      <c r="I68" s="276">
        <f>IFERROR(INDEX('D Fleet'!$D$5:$D$62,MATCH(I$3-$B68,'D Fleet'!$B$5:$B$62,0)),0)*IFERROR(INDEX('D Fleet'!$K$5:$K$36,INT(($B68/I$5))+1)+(($B68/I$5)-INT(($B68/I$5)))*(INDEX('D Fleet'!$K$5:$K$36,INT(($B68/I$5))+2)-INDEX('D Fleet'!$K$5:$K$36,INT(($B68/I$5))+1)),0)</f>
        <v/>
      </c>
      <c r="J68" s="276">
        <f>IFERROR(INDEX('D Fleet'!$D$5:$D$62,MATCH(J$3-$B68,'D Fleet'!$B$5:$B$62,0)),0)*IFERROR(INDEX('D Fleet'!$K$5:$K$36,INT(($B68/J$5))+1)+(($B68/J$5)-INT(($B68/J$5)))*(INDEX('D Fleet'!$K$5:$K$36,INT(($B68/J$5))+2)-INDEX('D Fleet'!$K$5:$K$36,INT(($B68/J$5))+1)),0)</f>
        <v/>
      </c>
      <c r="K68" s="276">
        <f>IFERROR(INDEX('D Fleet'!$D$5:$D$62,MATCH(K$3-$B68,'D Fleet'!$B$5:$B$62,0)),0)*IFERROR(INDEX('D Fleet'!$K$5:$K$36,INT(($B68/K$5))+1)+(($B68/K$5)-INT(($B68/K$5)))*(INDEX('D Fleet'!$K$5:$K$36,INT(($B68/K$5))+2)-INDEX('D Fleet'!$K$5:$K$36,INT(($B68/K$5))+1)),0)</f>
        <v/>
      </c>
      <c r="L68" s="276">
        <f>IFERROR(INDEX('D Fleet'!$D$5:$D$62,MATCH(L$3-$B68,'D Fleet'!$B$5:$B$62,0)),0)*IFERROR(INDEX('D Fleet'!$K$5:$K$36,INT(($B68/L$5))+1)+(($B68/L$5)-INT(($B68/L$5)))*(INDEX('D Fleet'!$K$5:$K$36,INT(($B68/L$5))+2)-INDEX('D Fleet'!$K$5:$K$36,INT(($B68/L$5))+1)),0)</f>
        <v/>
      </c>
      <c r="M68" s="276">
        <f>IFERROR(INDEX('D Fleet'!$D$5:$D$62,MATCH(M$3-$B68,'D Fleet'!$B$5:$B$62,0)),0)*IFERROR(INDEX('D Fleet'!$K$5:$K$36,INT(($B68/M$5))+1)+(($B68/M$5)-INT(($B68/M$5)))*(INDEX('D Fleet'!$K$5:$K$36,INT(($B68/M$5))+2)-INDEX('D Fleet'!$K$5:$K$36,INT(($B68/M$5))+1)),0)</f>
        <v/>
      </c>
      <c r="N68" s="276">
        <f>IFERROR(INDEX('D Fleet'!$D$5:$D$62,MATCH(N$3-$B68,'D Fleet'!$B$5:$B$62,0)),0)*IFERROR(INDEX('D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Fleet'!$D$5:$D$62,MATCH(E$3-$B69,'D Fleet'!$B$5:$B$62,0)),0)*IFERROR(INDEX('D Fleet'!$K$5:$K$36,INT(($B69/E$5))+1)+(($B69/E$5)-INT(($B69/E$5)))*(INDEX('D Fleet'!$K$5:$K$36,INT(($B69/E$5))+2)-INDEX('D Fleet'!$K$5:$K$36,INT(($B69/E$5))+1)),0)</f>
        <v/>
      </c>
      <c r="F69" s="276">
        <f>IFERROR(INDEX('D Fleet'!$D$5:$D$62,MATCH(F$3-$B69,'D Fleet'!$B$5:$B$62,0)),0)*IFERROR(INDEX('D Fleet'!$K$5:$K$36,INT(($B69/F$5))+1)+(($B69/F$5)-INT(($B69/F$5)))*(INDEX('D Fleet'!$K$5:$K$36,INT(($B69/F$5))+2)-INDEX('D Fleet'!$K$5:$K$36,INT(($B69/F$5))+1)),0)</f>
        <v/>
      </c>
      <c r="G69" s="276">
        <f>IFERROR(INDEX('D Fleet'!$D$5:$D$62,MATCH(G$3-$B69,'D Fleet'!$B$5:$B$62,0)),0)*IFERROR(INDEX('D Fleet'!$K$5:$K$36,INT(($B69/G$5))+1)+(($B69/G$5)-INT(($B69/G$5)))*(INDEX('D Fleet'!$K$5:$K$36,INT(($B69/G$5))+2)-INDEX('D Fleet'!$K$5:$K$36,INT(($B69/G$5))+1)),0)</f>
        <v/>
      </c>
      <c r="H69" s="276">
        <f>IFERROR(INDEX('D Fleet'!$D$5:$D$62,MATCH(H$3-$B69,'D Fleet'!$B$5:$B$62,0)),0)*IFERROR(INDEX('D Fleet'!$K$5:$K$36,INT(($B69/H$5))+1)+(($B69/H$5)-INT(($B69/H$5)))*(INDEX('D Fleet'!$K$5:$K$36,INT(($B69/H$5))+2)-INDEX('D Fleet'!$K$5:$K$36,INT(($B69/H$5))+1)),0)</f>
        <v/>
      </c>
      <c r="I69" s="276">
        <f>IFERROR(INDEX('D Fleet'!$D$5:$D$62,MATCH(I$3-$B69,'D Fleet'!$B$5:$B$62,0)),0)*IFERROR(INDEX('D Fleet'!$K$5:$K$36,INT(($B69/I$5))+1)+(($B69/I$5)-INT(($B69/I$5)))*(INDEX('D Fleet'!$K$5:$K$36,INT(($B69/I$5))+2)-INDEX('D Fleet'!$K$5:$K$36,INT(($B69/I$5))+1)),0)</f>
        <v/>
      </c>
      <c r="J69" s="276">
        <f>IFERROR(INDEX('D Fleet'!$D$5:$D$62,MATCH(J$3-$B69,'D Fleet'!$B$5:$B$62,0)),0)*IFERROR(INDEX('D Fleet'!$K$5:$K$36,INT(($B69/J$5))+1)+(($B69/J$5)-INT(($B69/J$5)))*(INDEX('D Fleet'!$K$5:$K$36,INT(($B69/J$5))+2)-INDEX('D Fleet'!$K$5:$K$36,INT(($B69/J$5))+1)),0)</f>
        <v/>
      </c>
      <c r="K69" s="276">
        <f>IFERROR(INDEX('D Fleet'!$D$5:$D$62,MATCH(K$3-$B69,'D Fleet'!$B$5:$B$62,0)),0)*IFERROR(INDEX('D Fleet'!$K$5:$K$36,INT(($B69/K$5))+1)+(($B69/K$5)-INT(($B69/K$5)))*(INDEX('D Fleet'!$K$5:$K$36,INT(($B69/K$5))+2)-INDEX('D Fleet'!$K$5:$K$36,INT(($B69/K$5))+1)),0)</f>
        <v/>
      </c>
      <c r="L69" s="276">
        <f>IFERROR(INDEX('D Fleet'!$D$5:$D$62,MATCH(L$3-$B69,'D Fleet'!$B$5:$B$62,0)),0)*IFERROR(INDEX('D Fleet'!$K$5:$K$36,INT(($B69/L$5))+1)+(($B69/L$5)-INT(($B69/L$5)))*(INDEX('D Fleet'!$K$5:$K$36,INT(($B69/L$5))+2)-INDEX('D Fleet'!$K$5:$K$36,INT(($B69/L$5))+1)),0)</f>
        <v/>
      </c>
      <c r="M69" s="276">
        <f>IFERROR(INDEX('D Fleet'!$D$5:$D$62,MATCH(M$3-$B69,'D Fleet'!$B$5:$B$62,0)),0)*IFERROR(INDEX('D Fleet'!$K$5:$K$36,INT(($B69/M$5))+1)+(($B69/M$5)-INT(($B69/M$5)))*(INDEX('D Fleet'!$K$5:$K$36,INT(($B69/M$5))+2)-INDEX('D Fleet'!$K$5:$K$36,INT(($B69/M$5))+1)),0)</f>
        <v/>
      </c>
      <c r="N69" s="276">
        <f>IFERROR(INDEX('D Fleet'!$D$5:$D$62,MATCH(N$3-$B69,'D Fleet'!$B$5:$B$62,0)),0)*IFERROR(INDEX('D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Fleet'!$D$5:$D$62,MATCH(E$3-$B70,'D Fleet'!$B$5:$B$62,0)),0)*IFERROR(INDEX('D Fleet'!$K$5:$K$36,INT(($B70/E$5))+1)+(($B70/E$5)-INT(($B70/E$5)))*(INDEX('D Fleet'!$K$5:$K$36,INT(($B70/E$5))+2)-INDEX('D Fleet'!$K$5:$K$36,INT(($B70/E$5))+1)),0)</f>
        <v/>
      </c>
      <c r="F70" s="276">
        <f>IFERROR(INDEX('D Fleet'!$D$5:$D$62,MATCH(F$3-$B70,'D Fleet'!$B$5:$B$62,0)),0)*IFERROR(INDEX('D Fleet'!$K$5:$K$36,INT(($B70/F$5))+1)+(($B70/F$5)-INT(($B70/F$5)))*(INDEX('D Fleet'!$K$5:$K$36,INT(($B70/F$5))+2)-INDEX('D Fleet'!$K$5:$K$36,INT(($B70/F$5))+1)),0)</f>
        <v/>
      </c>
      <c r="G70" s="276">
        <f>IFERROR(INDEX('D Fleet'!$D$5:$D$62,MATCH(G$3-$B70,'D Fleet'!$B$5:$B$62,0)),0)*IFERROR(INDEX('D Fleet'!$K$5:$K$36,INT(($B70/G$5))+1)+(($B70/G$5)-INT(($B70/G$5)))*(INDEX('D Fleet'!$K$5:$K$36,INT(($B70/G$5))+2)-INDEX('D Fleet'!$K$5:$K$36,INT(($B70/G$5))+1)),0)</f>
        <v/>
      </c>
      <c r="H70" s="276">
        <f>IFERROR(INDEX('D Fleet'!$D$5:$D$62,MATCH(H$3-$B70,'D Fleet'!$B$5:$B$62,0)),0)*IFERROR(INDEX('D Fleet'!$K$5:$K$36,INT(($B70/H$5))+1)+(($B70/H$5)-INT(($B70/H$5)))*(INDEX('D Fleet'!$K$5:$K$36,INT(($B70/H$5))+2)-INDEX('D Fleet'!$K$5:$K$36,INT(($B70/H$5))+1)),0)</f>
        <v/>
      </c>
      <c r="I70" s="276">
        <f>IFERROR(INDEX('D Fleet'!$D$5:$D$62,MATCH(I$3-$B70,'D Fleet'!$B$5:$B$62,0)),0)*IFERROR(INDEX('D Fleet'!$K$5:$K$36,INT(($B70/I$5))+1)+(($B70/I$5)-INT(($B70/I$5)))*(INDEX('D Fleet'!$K$5:$K$36,INT(($B70/I$5))+2)-INDEX('D Fleet'!$K$5:$K$36,INT(($B70/I$5))+1)),0)</f>
        <v/>
      </c>
      <c r="J70" s="276">
        <f>IFERROR(INDEX('D Fleet'!$D$5:$D$62,MATCH(J$3-$B70,'D Fleet'!$B$5:$B$62,0)),0)*IFERROR(INDEX('D Fleet'!$K$5:$K$36,INT(($B70/J$5))+1)+(($B70/J$5)-INT(($B70/J$5)))*(INDEX('D Fleet'!$K$5:$K$36,INT(($B70/J$5))+2)-INDEX('D Fleet'!$K$5:$K$36,INT(($B70/J$5))+1)),0)</f>
        <v/>
      </c>
      <c r="K70" s="276">
        <f>IFERROR(INDEX('D Fleet'!$D$5:$D$62,MATCH(K$3-$B70,'D Fleet'!$B$5:$B$62,0)),0)*IFERROR(INDEX('D Fleet'!$K$5:$K$36,INT(($B70/K$5))+1)+(($B70/K$5)-INT(($B70/K$5)))*(INDEX('D Fleet'!$K$5:$K$36,INT(($B70/K$5))+2)-INDEX('D Fleet'!$K$5:$K$36,INT(($B70/K$5))+1)),0)</f>
        <v/>
      </c>
      <c r="L70" s="276">
        <f>IFERROR(INDEX('D Fleet'!$D$5:$D$62,MATCH(L$3-$B70,'D Fleet'!$B$5:$B$62,0)),0)*IFERROR(INDEX('D Fleet'!$K$5:$K$36,INT(($B70/L$5))+1)+(($B70/L$5)-INT(($B70/L$5)))*(INDEX('D Fleet'!$K$5:$K$36,INT(($B70/L$5))+2)-INDEX('D Fleet'!$K$5:$K$36,INT(($B70/L$5))+1)),0)</f>
        <v/>
      </c>
      <c r="M70" s="276">
        <f>IFERROR(INDEX('D Fleet'!$D$5:$D$62,MATCH(M$3-$B70,'D Fleet'!$B$5:$B$62,0)),0)*IFERROR(INDEX('D Fleet'!$K$5:$K$36,INT(($B70/M$5))+1)+(($B70/M$5)-INT(($B70/M$5)))*(INDEX('D Fleet'!$K$5:$K$36,INT(($B70/M$5))+2)-INDEX('D Fleet'!$K$5:$K$36,INT(($B70/M$5))+1)),0)</f>
        <v/>
      </c>
      <c r="N70" s="276">
        <f>IFERROR(INDEX('D Fleet'!$D$5:$D$62,MATCH(N$3-$B70,'D Fleet'!$B$5:$B$62,0)),0)*IFERROR(INDEX('D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Fleet'!$D$5:$D$62,MATCH(E$3-$B71,'D Fleet'!$B$5:$B$62,0)),0)*IFERROR(INDEX('D Fleet'!$K$5:$K$36,INT(($B71/E$5))+1)+(($B71/E$5)-INT(($B71/E$5)))*(INDEX('D Fleet'!$K$5:$K$36,INT(($B71/E$5))+2)-INDEX('D Fleet'!$K$5:$K$36,INT(($B71/E$5))+1)),0)</f>
        <v/>
      </c>
      <c r="F71" s="276">
        <f>IFERROR(INDEX('D Fleet'!$D$5:$D$62,MATCH(F$3-$B71,'D Fleet'!$B$5:$B$62,0)),0)*IFERROR(INDEX('D Fleet'!$K$5:$K$36,INT(($B71/F$5))+1)+(($B71/F$5)-INT(($B71/F$5)))*(INDEX('D Fleet'!$K$5:$K$36,INT(($B71/F$5))+2)-INDEX('D Fleet'!$K$5:$K$36,INT(($B71/F$5))+1)),0)</f>
        <v/>
      </c>
      <c r="G71" s="276">
        <f>IFERROR(INDEX('D Fleet'!$D$5:$D$62,MATCH(G$3-$B71,'D Fleet'!$B$5:$B$62,0)),0)*IFERROR(INDEX('D Fleet'!$K$5:$K$36,INT(($B71/G$5))+1)+(($B71/G$5)-INT(($B71/G$5)))*(INDEX('D Fleet'!$K$5:$K$36,INT(($B71/G$5))+2)-INDEX('D Fleet'!$K$5:$K$36,INT(($B71/G$5))+1)),0)</f>
        <v/>
      </c>
      <c r="H71" s="276">
        <f>IFERROR(INDEX('D Fleet'!$D$5:$D$62,MATCH(H$3-$B71,'D Fleet'!$B$5:$B$62,0)),0)*IFERROR(INDEX('D Fleet'!$K$5:$K$36,INT(($B71/H$5))+1)+(($B71/H$5)-INT(($B71/H$5)))*(INDEX('D Fleet'!$K$5:$K$36,INT(($B71/H$5))+2)-INDEX('D Fleet'!$K$5:$K$36,INT(($B71/H$5))+1)),0)</f>
        <v/>
      </c>
      <c r="I71" s="276">
        <f>IFERROR(INDEX('D Fleet'!$D$5:$D$62,MATCH(I$3-$B71,'D Fleet'!$B$5:$B$62,0)),0)*IFERROR(INDEX('D Fleet'!$K$5:$K$36,INT(($B71/I$5))+1)+(($B71/I$5)-INT(($B71/I$5)))*(INDEX('D Fleet'!$K$5:$K$36,INT(($B71/I$5))+2)-INDEX('D Fleet'!$K$5:$K$36,INT(($B71/I$5))+1)),0)</f>
        <v/>
      </c>
      <c r="J71" s="276">
        <f>IFERROR(INDEX('D Fleet'!$D$5:$D$62,MATCH(J$3-$B71,'D Fleet'!$B$5:$B$62,0)),0)*IFERROR(INDEX('D Fleet'!$K$5:$K$36,INT(($B71/J$5))+1)+(($B71/J$5)-INT(($B71/J$5)))*(INDEX('D Fleet'!$K$5:$K$36,INT(($B71/J$5))+2)-INDEX('D Fleet'!$K$5:$K$36,INT(($B71/J$5))+1)),0)</f>
        <v/>
      </c>
      <c r="K71" s="276">
        <f>IFERROR(INDEX('D Fleet'!$D$5:$D$62,MATCH(K$3-$B71,'D Fleet'!$B$5:$B$62,0)),0)*IFERROR(INDEX('D Fleet'!$K$5:$K$36,INT(($B71/K$5))+1)+(($B71/K$5)-INT(($B71/K$5)))*(INDEX('D Fleet'!$K$5:$K$36,INT(($B71/K$5))+2)-INDEX('D Fleet'!$K$5:$K$36,INT(($B71/K$5))+1)),0)</f>
        <v/>
      </c>
      <c r="L71" s="276">
        <f>IFERROR(INDEX('D Fleet'!$D$5:$D$62,MATCH(L$3-$B71,'D Fleet'!$B$5:$B$62,0)),0)*IFERROR(INDEX('D Fleet'!$K$5:$K$36,INT(($B71/L$5))+1)+(($B71/L$5)-INT(($B71/L$5)))*(INDEX('D Fleet'!$K$5:$K$36,INT(($B71/L$5))+2)-INDEX('D Fleet'!$K$5:$K$36,INT(($B71/L$5))+1)),0)</f>
        <v/>
      </c>
      <c r="M71" s="276">
        <f>IFERROR(INDEX('D Fleet'!$D$5:$D$62,MATCH(M$3-$B71,'D Fleet'!$B$5:$B$62,0)),0)*IFERROR(INDEX('D Fleet'!$K$5:$K$36,INT(($B71/M$5))+1)+(($B71/M$5)-INT(($B71/M$5)))*(INDEX('D Fleet'!$K$5:$K$36,INT(($B71/M$5))+2)-INDEX('D Fleet'!$K$5:$K$36,INT(($B71/M$5))+1)),0)</f>
        <v/>
      </c>
      <c r="N71" s="276">
        <f>IFERROR(INDEX('D Fleet'!$D$5:$D$62,MATCH(N$3-$B71,'D Fleet'!$B$5:$B$62,0)),0)*IFERROR(INDEX('D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Fleet'!$D$5:$D$62,MATCH(E$3-$B72,'D Fleet'!$B$5:$B$62,0)),0)*IFERROR(INDEX('D Fleet'!$K$5:$K$36,INT(($B72/E$5))+1)+(($B72/E$5)-INT(($B72/E$5)))*(INDEX('D Fleet'!$K$5:$K$36,INT(($B72/E$5))+2)-INDEX('D Fleet'!$K$5:$K$36,INT(($B72/E$5))+1)),0)</f>
        <v/>
      </c>
      <c r="F72" s="276">
        <f>IFERROR(INDEX('D Fleet'!$D$5:$D$62,MATCH(F$3-$B72,'D Fleet'!$B$5:$B$62,0)),0)*IFERROR(INDEX('D Fleet'!$K$5:$K$36,INT(($B72/F$5))+1)+(($B72/F$5)-INT(($B72/F$5)))*(INDEX('D Fleet'!$K$5:$K$36,INT(($B72/F$5))+2)-INDEX('D Fleet'!$K$5:$K$36,INT(($B72/F$5))+1)),0)</f>
        <v/>
      </c>
      <c r="G72" s="276">
        <f>IFERROR(INDEX('D Fleet'!$D$5:$D$62,MATCH(G$3-$B72,'D Fleet'!$B$5:$B$62,0)),0)*IFERROR(INDEX('D Fleet'!$K$5:$K$36,INT(($B72/G$5))+1)+(($B72/G$5)-INT(($B72/G$5)))*(INDEX('D Fleet'!$K$5:$K$36,INT(($B72/G$5))+2)-INDEX('D Fleet'!$K$5:$K$36,INT(($B72/G$5))+1)),0)</f>
        <v/>
      </c>
      <c r="H72" s="276">
        <f>IFERROR(INDEX('D Fleet'!$D$5:$D$62,MATCH(H$3-$B72,'D Fleet'!$B$5:$B$62,0)),0)*IFERROR(INDEX('D Fleet'!$K$5:$K$36,INT(($B72/H$5))+1)+(($B72/H$5)-INT(($B72/H$5)))*(INDEX('D Fleet'!$K$5:$K$36,INT(($B72/H$5))+2)-INDEX('D Fleet'!$K$5:$K$36,INT(($B72/H$5))+1)),0)</f>
        <v/>
      </c>
      <c r="I72" s="276">
        <f>IFERROR(INDEX('D Fleet'!$D$5:$D$62,MATCH(I$3-$B72,'D Fleet'!$B$5:$B$62,0)),0)*IFERROR(INDEX('D Fleet'!$K$5:$K$36,INT(($B72/I$5))+1)+(($B72/I$5)-INT(($B72/I$5)))*(INDEX('D Fleet'!$K$5:$K$36,INT(($B72/I$5))+2)-INDEX('D Fleet'!$K$5:$K$36,INT(($B72/I$5))+1)),0)</f>
        <v/>
      </c>
      <c r="J72" s="276">
        <f>IFERROR(INDEX('D Fleet'!$D$5:$D$62,MATCH(J$3-$B72,'D Fleet'!$B$5:$B$62,0)),0)*IFERROR(INDEX('D Fleet'!$K$5:$K$36,INT(($B72/J$5))+1)+(($B72/J$5)-INT(($B72/J$5)))*(INDEX('D Fleet'!$K$5:$K$36,INT(($B72/J$5))+2)-INDEX('D Fleet'!$K$5:$K$36,INT(($B72/J$5))+1)),0)</f>
        <v/>
      </c>
      <c r="K72" s="276">
        <f>IFERROR(INDEX('D Fleet'!$D$5:$D$62,MATCH(K$3-$B72,'D Fleet'!$B$5:$B$62,0)),0)*IFERROR(INDEX('D Fleet'!$K$5:$K$36,INT(($B72/K$5))+1)+(($B72/K$5)-INT(($B72/K$5)))*(INDEX('D Fleet'!$K$5:$K$36,INT(($B72/K$5))+2)-INDEX('D Fleet'!$K$5:$K$36,INT(($B72/K$5))+1)),0)</f>
        <v/>
      </c>
      <c r="L72" s="276">
        <f>IFERROR(INDEX('D Fleet'!$D$5:$D$62,MATCH(L$3-$B72,'D Fleet'!$B$5:$B$62,0)),0)*IFERROR(INDEX('D Fleet'!$K$5:$K$36,INT(($B72/L$5))+1)+(($B72/L$5)-INT(($B72/L$5)))*(INDEX('D Fleet'!$K$5:$K$36,INT(($B72/L$5))+2)-INDEX('D Fleet'!$K$5:$K$36,INT(($B72/L$5))+1)),0)</f>
        <v/>
      </c>
      <c r="M72" s="276">
        <f>IFERROR(INDEX('D Fleet'!$D$5:$D$62,MATCH(M$3-$B72,'D Fleet'!$B$5:$B$62,0)),0)*IFERROR(INDEX('D Fleet'!$K$5:$K$36,INT(($B72/M$5))+1)+(($B72/M$5)-INT(($B72/M$5)))*(INDEX('D Fleet'!$K$5:$K$36,INT(($B72/M$5))+2)-INDEX('D Fleet'!$K$5:$K$36,INT(($B72/M$5))+1)),0)</f>
        <v/>
      </c>
      <c r="N72" s="276">
        <f>IFERROR(INDEX('D Fleet'!$D$5:$D$62,MATCH(N$3-$B72,'D Fleet'!$B$5:$B$62,0)),0)*IFERROR(INDEX('D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Fleet'!$D$5:$D$62,MATCH(E$3-$B73,'D Fleet'!$B$5:$B$62,0)),0)*IFERROR(INDEX('D Fleet'!$K$5:$K$36,INT(($B73/E$5))+1)+(($B73/E$5)-INT(($B73/E$5)))*(INDEX('D Fleet'!$K$5:$K$36,INT(($B73/E$5))+2)-INDEX('D Fleet'!$K$5:$K$36,INT(($B73/E$5))+1)),0)</f>
        <v/>
      </c>
      <c r="F73" s="276">
        <f>IFERROR(INDEX('D Fleet'!$D$5:$D$62,MATCH(F$3-$B73,'D Fleet'!$B$5:$B$62,0)),0)*IFERROR(INDEX('D Fleet'!$K$5:$K$36,INT(($B73/F$5))+1)+(($B73/F$5)-INT(($B73/F$5)))*(INDEX('D Fleet'!$K$5:$K$36,INT(($B73/F$5))+2)-INDEX('D Fleet'!$K$5:$K$36,INT(($B73/F$5))+1)),0)</f>
        <v/>
      </c>
      <c r="G73" s="276">
        <f>IFERROR(INDEX('D Fleet'!$D$5:$D$62,MATCH(G$3-$B73,'D Fleet'!$B$5:$B$62,0)),0)*IFERROR(INDEX('D Fleet'!$K$5:$K$36,INT(($B73/G$5))+1)+(($B73/G$5)-INT(($B73/G$5)))*(INDEX('D Fleet'!$K$5:$K$36,INT(($B73/G$5))+2)-INDEX('D Fleet'!$K$5:$K$36,INT(($B73/G$5))+1)),0)</f>
        <v/>
      </c>
      <c r="H73" s="276">
        <f>IFERROR(INDEX('D Fleet'!$D$5:$D$62,MATCH(H$3-$B73,'D Fleet'!$B$5:$B$62,0)),0)*IFERROR(INDEX('D Fleet'!$K$5:$K$36,INT(($B73/H$5))+1)+(($B73/H$5)-INT(($B73/H$5)))*(INDEX('D Fleet'!$K$5:$K$36,INT(($B73/H$5))+2)-INDEX('D Fleet'!$K$5:$K$36,INT(($B73/H$5))+1)),0)</f>
        <v/>
      </c>
      <c r="I73" s="276">
        <f>IFERROR(INDEX('D Fleet'!$D$5:$D$62,MATCH(I$3-$B73,'D Fleet'!$B$5:$B$62,0)),0)*IFERROR(INDEX('D Fleet'!$K$5:$K$36,INT(($B73/I$5))+1)+(($B73/I$5)-INT(($B73/I$5)))*(INDEX('D Fleet'!$K$5:$K$36,INT(($B73/I$5))+2)-INDEX('D Fleet'!$K$5:$K$36,INT(($B73/I$5))+1)),0)</f>
        <v/>
      </c>
      <c r="J73" s="276">
        <f>IFERROR(INDEX('D Fleet'!$D$5:$D$62,MATCH(J$3-$B73,'D Fleet'!$B$5:$B$62,0)),0)*IFERROR(INDEX('D Fleet'!$K$5:$K$36,INT(($B73/J$5))+1)+(($B73/J$5)-INT(($B73/J$5)))*(INDEX('D Fleet'!$K$5:$K$36,INT(($B73/J$5))+2)-INDEX('D Fleet'!$K$5:$K$36,INT(($B73/J$5))+1)),0)</f>
        <v/>
      </c>
      <c r="K73" s="276">
        <f>IFERROR(INDEX('D Fleet'!$D$5:$D$62,MATCH(K$3-$B73,'D Fleet'!$B$5:$B$62,0)),0)*IFERROR(INDEX('D Fleet'!$K$5:$K$36,INT(($B73/K$5))+1)+(($B73/K$5)-INT(($B73/K$5)))*(INDEX('D Fleet'!$K$5:$K$36,INT(($B73/K$5))+2)-INDEX('D Fleet'!$K$5:$K$36,INT(($B73/K$5))+1)),0)</f>
        <v/>
      </c>
      <c r="L73" s="276">
        <f>IFERROR(INDEX('D Fleet'!$D$5:$D$62,MATCH(L$3-$B73,'D Fleet'!$B$5:$B$62,0)),0)*IFERROR(INDEX('D Fleet'!$K$5:$K$36,INT(($B73/L$5))+1)+(($B73/L$5)-INT(($B73/L$5)))*(INDEX('D Fleet'!$K$5:$K$36,INT(($B73/L$5))+2)-INDEX('D Fleet'!$K$5:$K$36,INT(($B73/L$5))+1)),0)</f>
        <v/>
      </c>
      <c r="M73" s="276">
        <f>IFERROR(INDEX('D Fleet'!$D$5:$D$62,MATCH(M$3-$B73,'D Fleet'!$B$5:$B$62,0)),0)*IFERROR(INDEX('D Fleet'!$K$5:$K$36,INT(($B73/M$5))+1)+(($B73/M$5)-INT(($B73/M$5)))*(INDEX('D Fleet'!$K$5:$K$36,INT(($B73/M$5))+2)-INDEX('D Fleet'!$K$5:$K$36,INT(($B73/M$5))+1)),0)</f>
        <v/>
      </c>
      <c r="N73" s="276">
        <f>IFERROR(INDEX('D Fleet'!$D$5:$D$62,MATCH(N$3-$B73,'D Fleet'!$B$5:$B$62,0)),0)*IFERROR(INDEX('D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Fleet'!$D$5:$D$62,MATCH(E$3-$B74,'D Fleet'!$B$5:$B$62,0)),0)*IFERROR(INDEX('D Fleet'!$K$5:$K$36,INT(($B74/E$5))+1)+(($B74/E$5)-INT(($B74/E$5)))*(INDEX('D Fleet'!$K$5:$K$36,INT(($B74/E$5))+2)-INDEX('D Fleet'!$K$5:$K$36,INT(($B74/E$5))+1)),0)</f>
        <v/>
      </c>
      <c r="F74" s="276">
        <f>IFERROR(INDEX('D Fleet'!$D$5:$D$62,MATCH(F$3-$B74,'D Fleet'!$B$5:$B$62,0)),0)*IFERROR(INDEX('D Fleet'!$K$5:$K$36,INT(($B74/F$5))+1)+(($B74/F$5)-INT(($B74/F$5)))*(INDEX('D Fleet'!$K$5:$K$36,INT(($B74/F$5))+2)-INDEX('D Fleet'!$K$5:$K$36,INT(($B74/F$5))+1)),0)</f>
        <v/>
      </c>
      <c r="G74" s="276">
        <f>IFERROR(INDEX('D Fleet'!$D$5:$D$62,MATCH(G$3-$B74,'D Fleet'!$B$5:$B$62,0)),0)*IFERROR(INDEX('D Fleet'!$K$5:$K$36,INT(($B74/G$5))+1)+(($B74/G$5)-INT(($B74/G$5)))*(INDEX('D Fleet'!$K$5:$K$36,INT(($B74/G$5))+2)-INDEX('D Fleet'!$K$5:$K$36,INT(($B74/G$5))+1)),0)</f>
        <v/>
      </c>
      <c r="H74" s="276">
        <f>IFERROR(INDEX('D Fleet'!$D$5:$D$62,MATCH(H$3-$B74,'D Fleet'!$B$5:$B$62,0)),0)*IFERROR(INDEX('D Fleet'!$K$5:$K$36,INT(($B74/H$5))+1)+(($B74/H$5)-INT(($B74/H$5)))*(INDEX('D Fleet'!$K$5:$K$36,INT(($B74/H$5))+2)-INDEX('D Fleet'!$K$5:$K$36,INT(($B74/H$5))+1)),0)</f>
        <v/>
      </c>
      <c r="I74" s="276">
        <f>IFERROR(INDEX('D Fleet'!$D$5:$D$62,MATCH(I$3-$B74,'D Fleet'!$B$5:$B$62,0)),0)*IFERROR(INDEX('D Fleet'!$K$5:$K$36,INT(($B74/I$5))+1)+(($B74/I$5)-INT(($B74/I$5)))*(INDEX('D Fleet'!$K$5:$K$36,INT(($B74/I$5))+2)-INDEX('D Fleet'!$K$5:$K$36,INT(($B74/I$5))+1)),0)</f>
        <v/>
      </c>
      <c r="J74" s="276">
        <f>IFERROR(INDEX('D Fleet'!$D$5:$D$62,MATCH(J$3-$B74,'D Fleet'!$B$5:$B$62,0)),0)*IFERROR(INDEX('D Fleet'!$K$5:$K$36,INT(($B74/J$5))+1)+(($B74/J$5)-INT(($B74/J$5)))*(INDEX('D Fleet'!$K$5:$K$36,INT(($B74/J$5))+2)-INDEX('D Fleet'!$K$5:$K$36,INT(($B74/J$5))+1)),0)</f>
        <v/>
      </c>
      <c r="K74" s="276">
        <f>IFERROR(INDEX('D Fleet'!$D$5:$D$62,MATCH(K$3-$B74,'D Fleet'!$B$5:$B$62,0)),0)*IFERROR(INDEX('D Fleet'!$K$5:$K$36,INT(($B74/K$5))+1)+(($B74/K$5)-INT(($B74/K$5)))*(INDEX('D Fleet'!$K$5:$K$36,INT(($B74/K$5))+2)-INDEX('D Fleet'!$K$5:$K$36,INT(($B74/K$5))+1)),0)</f>
        <v/>
      </c>
      <c r="L74" s="276">
        <f>IFERROR(INDEX('D Fleet'!$D$5:$D$62,MATCH(L$3-$B74,'D Fleet'!$B$5:$B$62,0)),0)*IFERROR(INDEX('D Fleet'!$K$5:$K$36,INT(($B74/L$5))+1)+(($B74/L$5)-INT(($B74/L$5)))*(INDEX('D Fleet'!$K$5:$K$36,INT(($B74/L$5))+2)-INDEX('D Fleet'!$K$5:$K$36,INT(($B74/L$5))+1)),0)</f>
        <v/>
      </c>
      <c r="M74" s="276">
        <f>IFERROR(INDEX('D Fleet'!$D$5:$D$62,MATCH(M$3-$B74,'D Fleet'!$B$5:$B$62,0)),0)*IFERROR(INDEX('D Fleet'!$K$5:$K$36,INT(($B74/M$5))+1)+(($B74/M$5)-INT(($B74/M$5)))*(INDEX('D Fleet'!$K$5:$K$36,INT(($B74/M$5))+2)-INDEX('D Fleet'!$K$5:$K$36,INT(($B74/M$5))+1)),0)</f>
        <v/>
      </c>
      <c r="N74" s="276">
        <f>IFERROR(INDEX('D Fleet'!$D$5:$D$62,MATCH(N$3-$B74,'D Fleet'!$B$5:$B$62,0)),0)*IFERROR(INDEX('D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Fleet'!$D$5:$D$62,MATCH(E$3-$B75,'D Fleet'!$B$5:$B$62,0)),0)*IFERROR(INDEX('D Fleet'!$K$5:$K$36,INT(($B75/E$5))+1)+(($B75/E$5)-INT(($B75/E$5)))*(INDEX('D Fleet'!$K$5:$K$36,INT(($B75/E$5))+2)-INDEX('D Fleet'!$K$5:$K$36,INT(($B75/E$5))+1)),0)</f>
        <v/>
      </c>
      <c r="F75" s="276">
        <f>IFERROR(INDEX('D Fleet'!$D$5:$D$62,MATCH(F$3-$B75,'D Fleet'!$B$5:$B$62,0)),0)*IFERROR(INDEX('D Fleet'!$K$5:$K$36,INT(($B75/F$5))+1)+(($B75/F$5)-INT(($B75/F$5)))*(INDEX('D Fleet'!$K$5:$K$36,INT(($B75/F$5))+2)-INDEX('D Fleet'!$K$5:$K$36,INT(($B75/F$5))+1)),0)</f>
        <v/>
      </c>
      <c r="G75" s="276">
        <f>IFERROR(INDEX('D Fleet'!$D$5:$D$62,MATCH(G$3-$B75,'D Fleet'!$B$5:$B$62,0)),0)*IFERROR(INDEX('D Fleet'!$K$5:$K$36,INT(($B75/G$5))+1)+(($B75/G$5)-INT(($B75/G$5)))*(INDEX('D Fleet'!$K$5:$K$36,INT(($B75/G$5))+2)-INDEX('D Fleet'!$K$5:$K$36,INT(($B75/G$5))+1)),0)</f>
        <v/>
      </c>
      <c r="H75" s="276">
        <f>IFERROR(INDEX('D Fleet'!$D$5:$D$62,MATCH(H$3-$B75,'D Fleet'!$B$5:$B$62,0)),0)*IFERROR(INDEX('D Fleet'!$K$5:$K$36,INT(($B75/H$5))+1)+(($B75/H$5)-INT(($B75/H$5)))*(INDEX('D Fleet'!$K$5:$K$36,INT(($B75/H$5))+2)-INDEX('D Fleet'!$K$5:$K$36,INT(($B75/H$5))+1)),0)</f>
        <v/>
      </c>
      <c r="I75" s="276">
        <f>IFERROR(INDEX('D Fleet'!$D$5:$D$62,MATCH(I$3-$B75,'D Fleet'!$B$5:$B$62,0)),0)*IFERROR(INDEX('D Fleet'!$K$5:$K$36,INT(($B75/I$5))+1)+(($B75/I$5)-INT(($B75/I$5)))*(INDEX('D Fleet'!$K$5:$K$36,INT(($B75/I$5))+2)-INDEX('D Fleet'!$K$5:$K$36,INT(($B75/I$5))+1)),0)</f>
        <v/>
      </c>
      <c r="J75" s="276">
        <f>IFERROR(INDEX('D Fleet'!$D$5:$D$62,MATCH(J$3-$B75,'D Fleet'!$B$5:$B$62,0)),0)*IFERROR(INDEX('D Fleet'!$K$5:$K$36,INT(($B75/J$5))+1)+(($B75/J$5)-INT(($B75/J$5)))*(INDEX('D Fleet'!$K$5:$K$36,INT(($B75/J$5))+2)-INDEX('D Fleet'!$K$5:$K$36,INT(($B75/J$5))+1)),0)</f>
        <v/>
      </c>
      <c r="K75" s="276">
        <f>IFERROR(INDEX('D Fleet'!$D$5:$D$62,MATCH(K$3-$B75,'D Fleet'!$B$5:$B$62,0)),0)*IFERROR(INDEX('D Fleet'!$K$5:$K$36,INT(($B75/K$5))+1)+(($B75/K$5)-INT(($B75/K$5)))*(INDEX('D Fleet'!$K$5:$K$36,INT(($B75/K$5))+2)-INDEX('D Fleet'!$K$5:$K$36,INT(($B75/K$5))+1)),0)</f>
        <v/>
      </c>
      <c r="L75" s="276">
        <f>IFERROR(INDEX('D Fleet'!$D$5:$D$62,MATCH(L$3-$B75,'D Fleet'!$B$5:$B$62,0)),0)*IFERROR(INDEX('D Fleet'!$K$5:$K$36,INT(($B75/L$5))+1)+(($B75/L$5)-INT(($B75/L$5)))*(INDEX('D Fleet'!$K$5:$K$36,INT(($B75/L$5))+2)-INDEX('D Fleet'!$K$5:$K$36,INT(($B75/L$5))+1)),0)</f>
        <v/>
      </c>
      <c r="M75" s="276">
        <f>IFERROR(INDEX('D Fleet'!$D$5:$D$62,MATCH(M$3-$B75,'D Fleet'!$B$5:$B$62,0)),0)*IFERROR(INDEX('D Fleet'!$K$5:$K$36,INT(($B75/M$5))+1)+(($B75/M$5)-INT(($B75/M$5)))*(INDEX('D Fleet'!$K$5:$K$36,INT(($B75/M$5))+2)-INDEX('D Fleet'!$K$5:$K$36,INT(($B75/M$5))+1)),0)</f>
        <v/>
      </c>
      <c r="N75" s="276">
        <f>IFERROR(INDEX('D Fleet'!$D$5:$D$62,MATCH(N$3-$B75,'D Fleet'!$B$5:$B$62,0)),0)*IFERROR(INDEX('D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Fleet'!$D$5:$D$62,MATCH(E$3-$B76,'D Fleet'!$B$5:$B$62,0)),0)*IFERROR(INDEX('D Fleet'!$K$5:$K$36,INT(($B76/E$5))+1)+(($B76/E$5)-INT(($B76/E$5)))*(INDEX('D Fleet'!$K$5:$K$36,INT(($B76/E$5))+2)-INDEX('D Fleet'!$K$5:$K$36,INT(($B76/E$5))+1)),0)</f>
        <v/>
      </c>
      <c r="F76" s="276">
        <f>IFERROR(INDEX('D Fleet'!$D$5:$D$62,MATCH(F$3-$B76,'D Fleet'!$B$5:$B$62,0)),0)*IFERROR(INDEX('D Fleet'!$K$5:$K$36,INT(($B76/F$5))+1)+(($B76/F$5)-INT(($B76/F$5)))*(INDEX('D Fleet'!$K$5:$K$36,INT(($B76/F$5))+2)-INDEX('D Fleet'!$K$5:$K$36,INT(($B76/F$5))+1)),0)</f>
        <v/>
      </c>
      <c r="G76" s="276">
        <f>IFERROR(INDEX('D Fleet'!$D$5:$D$62,MATCH(G$3-$B76,'D Fleet'!$B$5:$B$62,0)),0)*IFERROR(INDEX('D Fleet'!$K$5:$K$36,INT(($B76/G$5))+1)+(($B76/G$5)-INT(($B76/G$5)))*(INDEX('D Fleet'!$K$5:$K$36,INT(($B76/G$5))+2)-INDEX('D Fleet'!$K$5:$K$36,INT(($B76/G$5))+1)),0)</f>
        <v/>
      </c>
      <c r="H76" s="276">
        <f>IFERROR(INDEX('D Fleet'!$D$5:$D$62,MATCH(H$3-$B76,'D Fleet'!$B$5:$B$62,0)),0)*IFERROR(INDEX('D Fleet'!$K$5:$K$36,INT(($B76/H$5))+1)+(($B76/H$5)-INT(($B76/H$5)))*(INDEX('D Fleet'!$K$5:$K$36,INT(($B76/H$5))+2)-INDEX('D Fleet'!$K$5:$K$36,INT(($B76/H$5))+1)),0)</f>
        <v/>
      </c>
      <c r="I76" s="276">
        <f>IFERROR(INDEX('D Fleet'!$D$5:$D$62,MATCH(I$3-$B76,'D Fleet'!$B$5:$B$62,0)),0)*IFERROR(INDEX('D Fleet'!$K$5:$K$36,INT(($B76/I$5))+1)+(($B76/I$5)-INT(($B76/I$5)))*(INDEX('D Fleet'!$K$5:$K$36,INT(($B76/I$5))+2)-INDEX('D Fleet'!$K$5:$K$36,INT(($B76/I$5))+1)),0)</f>
        <v/>
      </c>
      <c r="J76" s="276">
        <f>IFERROR(INDEX('D Fleet'!$D$5:$D$62,MATCH(J$3-$B76,'D Fleet'!$B$5:$B$62,0)),0)*IFERROR(INDEX('D Fleet'!$K$5:$K$36,INT(($B76/J$5))+1)+(($B76/J$5)-INT(($B76/J$5)))*(INDEX('D Fleet'!$K$5:$K$36,INT(($B76/J$5))+2)-INDEX('D Fleet'!$K$5:$K$36,INT(($B76/J$5))+1)),0)</f>
        <v/>
      </c>
      <c r="K76" s="276">
        <f>IFERROR(INDEX('D Fleet'!$D$5:$D$62,MATCH(K$3-$B76,'D Fleet'!$B$5:$B$62,0)),0)*IFERROR(INDEX('D Fleet'!$K$5:$K$36,INT(($B76/K$5))+1)+(($B76/K$5)-INT(($B76/K$5)))*(INDEX('D Fleet'!$K$5:$K$36,INT(($B76/K$5))+2)-INDEX('D Fleet'!$K$5:$K$36,INT(($B76/K$5))+1)),0)</f>
        <v/>
      </c>
      <c r="L76" s="276">
        <f>IFERROR(INDEX('D Fleet'!$D$5:$D$62,MATCH(L$3-$B76,'D Fleet'!$B$5:$B$62,0)),0)*IFERROR(INDEX('D Fleet'!$K$5:$K$36,INT(($B76/L$5))+1)+(($B76/L$5)-INT(($B76/L$5)))*(INDEX('D Fleet'!$K$5:$K$36,INT(($B76/L$5))+2)-INDEX('D Fleet'!$K$5:$K$36,INT(($B76/L$5))+1)),0)</f>
        <v/>
      </c>
      <c r="M76" s="276">
        <f>IFERROR(INDEX('D Fleet'!$D$5:$D$62,MATCH(M$3-$B76,'D Fleet'!$B$5:$B$62,0)),0)*IFERROR(INDEX('D Fleet'!$K$5:$K$36,INT(($B76/M$5))+1)+(($B76/M$5)-INT(($B76/M$5)))*(INDEX('D Fleet'!$K$5:$K$36,INT(($B76/M$5))+2)-INDEX('D Fleet'!$K$5:$K$36,INT(($B76/M$5))+1)),0)</f>
        <v/>
      </c>
      <c r="N76" s="276">
        <f>IFERROR(INDEX('D Fleet'!$D$5:$D$62,MATCH(N$3-$B76,'D Fleet'!$B$5:$B$62,0)),0)*IFERROR(INDEX('D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Fleet'!$D$5:$D$62,MATCH(E$3-$B77,'D Fleet'!$B$5:$B$62,0)),0)*IFERROR(INDEX('D Fleet'!$K$5:$K$36,INT(($B77/E$5))+1)+(($B77/E$5)-INT(($B77/E$5)))*(INDEX('D Fleet'!$K$5:$K$36,INT(($B77/E$5))+2)-INDEX('D Fleet'!$K$5:$K$36,INT(($B77/E$5))+1)),0)</f>
        <v/>
      </c>
      <c r="F77" s="276">
        <f>IFERROR(INDEX('D Fleet'!$D$5:$D$62,MATCH(F$3-$B77,'D Fleet'!$B$5:$B$62,0)),0)*IFERROR(INDEX('D Fleet'!$K$5:$K$36,INT(($B77/F$5))+1)+(($B77/F$5)-INT(($B77/F$5)))*(INDEX('D Fleet'!$K$5:$K$36,INT(($B77/F$5))+2)-INDEX('D Fleet'!$K$5:$K$36,INT(($B77/F$5))+1)),0)</f>
        <v/>
      </c>
      <c r="G77" s="276">
        <f>IFERROR(INDEX('D Fleet'!$D$5:$D$62,MATCH(G$3-$B77,'D Fleet'!$B$5:$B$62,0)),0)*IFERROR(INDEX('D Fleet'!$K$5:$K$36,INT(($B77/G$5))+1)+(($B77/G$5)-INT(($B77/G$5)))*(INDEX('D Fleet'!$K$5:$K$36,INT(($B77/G$5))+2)-INDEX('D Fleet'!$K$5:$K$36,INT(($B77/G$5))+1)),0)</f>
        <v/>
      </c>
      <c r="H77" s="276">
        <f>IFERROR(INDEX('D Fleet'!$D$5:$D$62,MATCH(H$3-$B77,'D Fleet'!$B$5:$B$62,0)),0)*IFERROR(INDEX('D Fleet'!$K$5:$K$36,INT(($B77/H$5))+1)+(($B77/H$5)-INT(($B77/H$5)))*(INDEX('D Fleet'!$K$5:$K$36,INT(($B77/H$5))+2)-INDEX('D Fleet'!$K$5:$K$36,INT(($B77/H$5))+1)),0)</f>
        <v/>
      </c>
      <c r="I77" s="276">
        <f>IFERROR(INDEX('D Fleet'!$D$5:$D$62,MATCH(I$3-$B77,'D Fleet'!$B$5:$B$62,0)),0)*IFERROR(INDEX('D Fleet'!$K$5:$K$36,INT(($B77/I$5))+1)+(($B77/I$5)-INT(($B77/I$5)))*(INDEX('D Fleet'!$K$5:$K$36,INT(($B77/I$5))+2)-INDEX('D Fleet'!$K$5:$K$36,INT(($B77/I$5))+1)),0)</f>
        <v/>
      </c>
      <c r="J77" s="276">
        <f>IFERROR(INDEX('D Fleet'!$D$5:$D$62,MATCH(J$3-$B77,'D Fleet'!$B$5:$B$62,0)),0)*IFERROR(INDEX('D Fleet'!$K$5:$K$36,INT(($B77/J$5))+1)+(($B77/J$5)-INT(($B77/J$5)))*(INDEX('D Fleet'!$K$5:$K$36,INT(($B77/J$5))+2)-INDEX('D Fleet'!$K$5:$K$36,INT(($B77/J$5))+1)),0)</f>
        <v/>
      </c>
      <c r="K77" s="276">
        <f>IFERROR(INDEX('D Fleet'!$D$5:$D$62,MATCH(K$3-$B77,'D Fleet'!$B$5:$B$62,0)),0)*IFERROR(INDEX('D Fleet'!$K$5:$K$36,INT(($B77/K$5))+1)+(($B77/K$5)-INT(($B77/K$5)))*(INDEX('D Fleet'!$K$5:$K$36,INT(($B77/K$5))+2)-INDEX('D Fleet'!$K$5:$K$36,INT(($B77/K$5))+1)),0)</f>
        <v/>
      </c>
      <c r="L77" s="276">
        <f>IFERROR(INDEX('D Fleet'!$D$5:$D$62,MATCH(L$3-$B77,'D Fleet'!$B$5:$B$62,0)),0)*IFERROR(INDEX('D Fleet'!$K$5:$K$36,INT(($B77/L$5))+1)+(($B77/L$5)-INT(($B77/L$5)))*(INDEX('D Fleet'!$K$5:$K$36,INT(($B77/L$5))+2)-INDEX('D Fleet'!$K$5:$K$36,INT(($B77/L$5))+1)),0)</f>
        <v/>
      </c>
      <c r="M77" s="276">
        <f>IFERROR(INDEX('D Fleet'!$D$5:$D$62,MATCH(M$3-$B77,'D Fleet'!$B$5:$B$62,0)),0)*IFERROR(INDEX('D Fleet'!$K$5:$K$36,INT(($B77/M$5))+1)+(($B77/M$5)-INT(($B77/M$5)))*(INDEX('D Fleet'!$K$5:$K$36,INT(($B77/M$5))+2)-INDEX('D Fleet'!$K$5:$K$36,INT(($B77/M$5))+1)),0)</f>
        <v/>
      </c>
      <c r="N77" s="276">
        <f>IFERROR(INDEX('D Fleet'!$D$5:$D$62,MATCH(N$3-$B77,'D Fleet'!$B$5:$B$62,0)),0)*IFERROR(INDEX('D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Fleet'!$D$5:$D$62,MATCH(E$3-$B78,'D Fleet'!$B$5:$B$62,0)),0)*IFERROR(INDEX('D Fleet'!$K$5:$K$36,INT(($B78/E$5))+1)+(($B78/E$5)-INT(($B78/E$5)))*(INDEX('D Fleet'!$K$5:$K$36,INT(($B78/E$5))+2)-INDEX('D Fleet'!$K$5:$K$36,INT(($B78/E$5))+1)),0)</f>
        <v/>
      </c>
      <c r="F78" s="276">
        <f>IFERROR(INDEX('D Fleet'!$D$5:$D$62,MATCH(F$3-$B78,'D Fleet'!$B$5:$B$62,0)),0)*IFERROR(INDEX('D Fleet'!$K$5:$K$36,INT(($B78/F$5))+1)+(($B78/F$5)-INT(($B78/F$5)))*(INDEX('D Fleet'!$K$5:$K$36,INT(($B78/F$5))+2)-INDEX('D Fleet'!$K$5:$K$36,INT(($B78/F$5))+1)),0)</f>
        <v/>
      </c>
      <c r="G78" s="276">
        <f>IFERROR(INDEX('D Fleet'!$D$5:$D$62,MATCH(G$3-$B78,'D Fleet'!$B$5:$B$62,0)),0)*IFERROR(INDEX('D Fleet'!$K$5:$K$36,INT(($B78/G$5))+1)+(($B78/G$5)-INT(($B78/G$5)))*(INDEX('D Fleet'!$K$5:$K$36,INT(($B78/G$5))+2)-INDEX('D Fleet'!$K$5:$K$36,INT(($B78/G$5))+1)),0)</f>
        <v/>
      </c>
      <c r="H78" s="276">
        <f>IFERROR(INDEX('D Fleet'!$D$5:$D$62,MATCH(H$3-$B78,'D Fleet'!$B$5:$B$62,0)),0)*IFERROR(INDEX('D Fleet'!$K$5:$K$36,INT(($B78/H$5))+1)+(($B78/H$5)-INT(($B78/H$5)))*(INDEX('D Fleet'!$K$5:$K$36,INT(($B78/H$5))+2)-INDEX('D Fleet'!$K$5:$K$36,INT(($B78/H$5))+1)),0)</f>
        <v/>
      </c>
      <c r="I78" s="276">
        <f>IFERROR(INDEX('D Fleet'!$D$5:$D$62,MATCH(I$3-$B78,'D Fleet'!$B$5:$B$62,0)),0)*IFERROR(INDEX('D Fleet'!$K$5:$K$36,INT(($B78/I$5))+1)+(($B78/I$5)-INT(($B78/I$5)))*(INDEX('D Fleet'!$K$5:$K$36,INT(($B78/I$5))+2)-INDEX('D Fleet'!$K$5:$K$36,INT(($B78/I$5))+1)),0)</f>
        <v/>
      </c>
      <c r="J78" s="276">
        <f>IFERROR(INDEX('D Fleet'!$D$5:$D$62,MATCH(J$3-$B78,'D Fleet'!$B$5:$B$62,0)),0)*IFERROR(INDEX('D Fleet'!$K$5:$K$36,INT(($B78/J$5))+1)+(($B78/J$5)-INT(($B78/J$5)))*(INDEX('D Fleet'!$K$5:$K$36,INT(($B78/J$5))+2)-INDEX('D Fleet'!$K$5:$K$36,INT(($B78/J$5))+1)),0)</f>
        <v/>
      </c>
      <c r="K78" s="276">
        <f>IFERROR(INDEX('D Fleet'!$D$5:$D$62,MATCH(K$3-$B78,'D Fleet'!$B$5:$B$62,0)),0)*IFERROR(INDEX('D Fleet'!$K$5:$K$36,INT(($B78/K$5))+1)+(($B78/K$5)-INT(($B78/K$5)))*(INDEX('D Fleet'!$K$5:$K$36,INT(($B78/K$5))+2)-INDEX('D Fleet'!$K$5:$K$36,INT(($B78/K$5))+1)),0)</f>
        <v/>
      </c>
      <c r="L78" s="276">
        <f>IFERROR(INDEX('D Fleet'!$D$5:$D$62,MATCH(L$3-$B78,'D Fleet'!$B$5:$B$62,0)),0)*IFERROR(INDEX('D Fleet'!$K$5:$K$36,INT(($B78/L$5))+1)+(($B78/L$5)-INT(($B78/L$5)))*(INDEX('D Fleet'!$K$5:$K$36,INT(($B78/L$5))+2)-INDEX('D Fleet'!$K$5:$K$36,INT(($B78/L$5))+1)),0)</f>
        <v/>
      </c>
      <c r="M78" s="276">
        <f>IFERROR(INDEX('D Fleet'!$D$5:$D$62,MATCH(M$3-$B78,'D Fleet'!$B$5:$B$62,0)),0)*IFERROR(INDEX('D Fleet'!$K$5:$K$36,INT(($B78/M$5))+1)+(($B78/M$5)-INT(($B78/M$5)))*(INDEX('D Fleet'!$K$5:$K$36,INT(($B78/M$5))+2)-INDEX('D Fleet'!$K$5:$K$36,INT(($B78/M$5))+1)),0)</f>
        <v/>
      </c>
      <c r="N78" s="276">
        <f>IFERROR(INDEX('D Fleet'!$D$5:$D$62,MATCH(N$3-$B78,'D Fleet'!$B$5:$B$62,0)),0)*IFERROR(INDEX('D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Fleet'!$D$5:$D$62,MATCH(E$3-$B79,'D Fleet'!$B$5:$B$62,0)),0)*IFERROR(INDEX('D Fleet'!$K$5:$K$36,INT(($B79/E$5))+1)+(($B79/E$5)-INT(($B79/E$5)))*(INDEX('D Fleet'!$K$5:$K$36,INT(($B79/E$5))+2)-INDEX('D Fleet'!$K$5:$K$36,INT(($B79/E$5))+1)),0)</f>
        <v/>
      </c>
      <c r="F79" s="276">
        <f>IFERROR(INDEX('D Fleet'!$D$5:$D$62,MATCH(F$3-$B79,'D Fleet'!$B$5:$B$62,0)),0)*IFERROR(INDEX('D Fleet'!$K$5:$K$36,INT(($B79/F$5))+1)+(($B79/F$5)-INT(($B79/F$5)))*(INDEX('D Fleet'!$K$5:$K$36,INT(($B79/F$5))+2)-INDEX('D Fleet'!$K$5:$K$36,INT(($B79/F$5))+1)),0)</f>
        <v/>
      </c>
      <c r="G79" s="276">
        <f>IFERROR(INDEX('D Fleet'!$D$5:$D$62,MATCH(G$3-$B79,'D Fleet'!$B$5:$B$62,0)),0)*IFERROR(INDEX('D Fleet'!$K$5:$K$36,INT(($B79/G$5))+1)+(($B79/G$5)-INT(($B79/G$5)))*(INDEX('D Fleet'!$K$5:$K$36,INT(($B79/G$5))+2)-INDEX('D Fleet'!$K$5:$K$36,INT(($B79/G$5))+1)),0)</f>
        <v/>
      </c>
      <c r="H79" s="276">
        <f>IFERROR(INDEX('D Fleet'!$D$5:$D$62,MATCH(H$3-$B79,'D Fleet'!$B$5:$B$62,0)),0)*IFERROR(INDEX('D Fleet'!$K$5:$K$36,INT(($B79/H$5))+1)+(($B79/H$5)-INT(($B79/H$5)))*(INDEX('D Fleet'!$K$5:$K$36,INT(($B79/H$5))+2)-INDEX('D Fleet'!$K$5:$K$36,INT(($B79/H$5))+1)),0)</f>
        <v/>
      </c>
      <c r="I79" s="276">
        <f>IFERROR(INDEX('D Fleet'!$D$5:$D$62,MATCH(I$3-$B79,'D Fleet'!$B$5:$B$62,0)),0)*IFERROR(INDEX('D Fleet'!$K$5:$K$36,INT(($B79/I$5))+1)+(($B79/I$5)-INT(($B79/I$5)))*(INDEX('D Fleet'!$K$5:$K$36,INT(($B79/I$5))+2)-INDEX('D Fleet'!$K$5:$K$36,INT(($B79/I$5))+1)),0)</f>
        <v/>
      </c>
      <c r="J79" s="276">
        <f>IFERROR(INDEX('D Fleet'!$D$5:$D$62,MATCH(J$3-$B79,'D Fleet'!$B$5:$B$62,0)),0)*IFERROR(INDEX('D Fleet'!$K$5:$K$36,INT(($B79/J$5))+1)+(($B79/J$5)-INT(($B79/J$5)))*(INDEX('D Fleet'!$K$5:$K$36,INT(($B79/J$5))+2)-INDEX('D Fleet'!$K$5:$K$36,INT(($B79/J$5))+1)),0)</f>
        <v/>
      </c>
      <c r="K79" s="276">
        <f>IFERROR(INDEX('D Fleet'!$D$5:$D$62,MATCH(K$3-$B79,'D Fleet'!$B$5:$B$62,0)),0)*IFERROR(INDEX('D Fleet'!$K$5:$K$36,INT(($B79/K$5))+1)+(($B79/K$5)-INT(($B79/K$5)))*(INDEX('D Fleet'!$K$5:$K$36,INT(($B79/K$5))+2)-INDEX('D Fleet'!$K$5:$K$36,INT(($B79/K$5))+1)),0)</f>
        <v/>
      </c>
      <c r="L79" s="276">
        <f>IFERROR(INDEX('D Fleet'!$D$5:$D$62,MATCH(L$3-$B79,'D Fleet'!$B$5:$B$62,0)),0)*IFERROR(INDEX('D Fleet'!$K$5:$K$36,INT(($B79/L$5))+1)+(($B79/L$5)-INT(($B79/L$5)))*(INDEX('D Fleet'!$K$5:$K$36,INT(($B79/L$5))+2)-INDEX('D Fleet'!$K$5:$K$36,INT(($B79/L$5))+1)),0)</f>
        <v/>
      </c>
      <c r="M79" s="276">
        <f>IFERROR(INDEX('D Fleet'!$D$5:$D$62,MATCH(M$3-$B79,'D Fleet'!$B$5:$B$62,0)),0)*IFERROR(INDEX('D Fleet'!$K$5:$K$36,INT(($B79/M$5))+1)+(($B79/M$5)-INT(($B79/M$5)))*(INDEX('D Fleet'!$K$5:$K$36,INT(($B79/M$5))+2)-INDEX('D Fleet'!$K$5:$K$36,INT(($B79/M$5))+1)),0)</f>
        <v/>
      </c>
      <c r="N79" s="276">
        <f>IFERROR(INDEX('D Fleet'!$D$5:$D$62,MATCH(N$3-$B79,'D Fleet'!$B$5:$B$62,0)),0)*IFERROR(INDEX('D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Fleet'!$D$5:$D$62,MATCH(E$3-$B80,'D Fleet'!$B$5:$B$62,0)),0)*IFERROR(INDEX('D Fleet'!$K$5:$K$36,INT(($B80/E$5))+1)+(($B80/E$5)-INT(($B80/E$5)))*(INDEX('D Fleet'!$K$5:$K$36,INT(($B80/E$5))+2)-INDEX('D Fleet'!$K$5:$K$36,INT(($B80/E$5))+1)),0)</f>
        <v/>
      </c>
      <c r="F80" s="276">
        <f>IFERROR(INDEX('D Fleet'!$D$5:$D$62,MATCH(F$3-$B80,'D Fleet'!$B$5:$B$62,0)),0)*IFERROR(INDEX('D Fleet'!$K$5:$K$36,INT(($B80/F$5))+1)+(($B80/F$5)-INT(($B80/F$5)))*(INDEX('D Fleet'!$K$5:$K$36,INT(($B80/F$5))+2)-INDEX('D Fleet'!$K$5:$K$36,INT(($B80/F$5))+1)),0)</f>
        <v/>
      </c>
      <c r="G80" s="276">
        <f>IFERROR(INDEX('D Fleet'!$D$5:$D$62,MATCH(G$3-$B80,'D Fleet'!$B$5:$B$62,0)),0)*IFERROR(INDEX('D Fleet'!$K$5:$K$36,INT(($B80/G$5))+1)+(($B80/G$5)-INT(($B80/G$5)))*(INDEX('D Fleet'!$K$5:$K$36,INT(($B80/G$5))+2)-INDEX('D Fleet'!$K$5:$K$36,INT(($B80/G$5))+1)),0)</f>
        <v/>
      </c>
      <c r="H80" s="276">
        <f>IFERROR(INDEX('D Fleet'!$D$5:$D$62,MATCH(H$3-$B80,'D Fleet'!$B$5:$B$62,0)),0)*IFERROR(INDEX('D Fleet'!$K$5:$K$36,INT(($B80/H$5))+1)+(($B80/H$5)-INT(($B80/H$5)))*(INDEX('D Fleet'!$K$5:$K$36,INT(($B80/H$5))+2)-INDEX('D Fleet'!$K$5:$K$36,INT(($B80/H$5))+1)),0)</f>
        <v/>
      </c>
      <c r="I80" s="276">
        <f>IFERROR(INDEX('D Fleet'!$D$5:$D$62,MATCH(I$3-$B80,'D Fleet'!$B$5:$B$62,0)),0)*IFERROR(INDEX('D Fleet'!$K$5:$K$36,INT(($B80/I$5))+1)+(($B80/I$5)-INT(($B80/I$5)))*(INDEX('D Fleet'!$K$5:$K$36,INT(($B80/I$5))+2)-INDEX('D Fleet'!$K$5:$K$36,INT(($B80/I$5))+1)),0)</f>
        <v/>
      </c>
      <c r="J80" s="276">
        <f>IFERROR(INDEX('D Fleet'!$D$5:$D$62,MATCH(J$3-$B80,'D Fleet'!$B$5:$B$62,0)),0)*IFERROR(INDEX('D Fleet'!$K$5:$K$36,INT(($B80/J$5))+1)+(($B80/J$5)-INT(($B80/J$5)))*(INDEX('D Fleet'!$K$5:$K$36,INT(($B80/J$5))+2)-INDEX('D Fleet'!$K$5:$K$36,INT(($B80/J$5))+1)),0)</f>
        <v/>
      </c>
      <c r="K80" s="276">
        <f>IFERROR(INDEX('D Fleet'!$D$5:$D$62,MATCH(K$3-$B80,'D Fleet'!$B$5:$B$62,0)),0)*IFERROR(INDEX('D Fleet'!$K$5:$K$36,INT(($B80/K$5))+1)+(($B80/K$5)-INT(($B80/K$5)))*(INDEX('D Fleet'!$K$5:$K$36,INT(($B80/K$5))+2)-INDEX('D Fleet'!$K$5:$K$36,INT(($B80/K$5))+1)),0)</f>
        <v/>
      </c>
      <c r="L80" s="276">
        <f>IFERROR(INDEX('D Fleet'!$D$5:$D$62,MATCH(L$3-$B80,'D Fleet'!$B$5:$B$62,0)),0)*IFERROR(INDEX('D Fleet'!$K$5:$K$36,INT(($B80/L$5))+1)+(($B80/L$5)-INT(($B80/L$5)))*(INDEX('D Fleet'!$K$5:$K$36,INT(($B80/L$5))+2)-INDEX('D Fleet'!$K$5:$K$36,INT(($B80/L$5))+1)),0)</f>
        <v/>
      </c>
      <c r="M80" s="276">
        <f>IFERROR(INDEX('D Fleet'!$D$5:$D$62,MATCH(M$3-$B80,'D Fleet'!$B$5:$B$62,0)),0)*IFERROR(INDEX('D Fleet'!$K$5:$K$36,INT(($B80/M$5))+1)+(($B80/M$5)-INT(($B80/M$5)))*(INDEX('D Fleet'!$K$5:$K$36,INT(($B80/M$5))+2)-INDEX('D Fleet'!$K$5:$K$36,INT(($B80/M$5))+1)),0)</f>
        <v/>
      </c>
      <c r="N80" s="276">
        <f>IFERROR(INDEX('D Fleet'!$D$5:$D$62,MATCH(N$3-$B80,'D Fleet'!$B$5:$B$62,0)),0)*IFERROR(INDEX('D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Fleet'!$D$5:$D$62,MATCH(E$3-$B81,'D Fleet'!$B$5:$B$62,0)),0)*IFERROR(INDEX('D Fleet'!$K$5:$K$36,INT(($B81/E$5))+1)+(($B81/E$5)-INT(($B81/E$5)))*(INDEX('D Fleet'!$K$5:$K$36,INT(($B81/E$5))+2)-INDEX('D Fleet'!$K$5:$K$36,INT(($B81/E$5))+1)),0)</f>
        <v/>
      </c>
      <c r="F81" s="276">
        <f>IFERROR(INDEX('D Fleet'!$D$5:$D$62,MATCH(F$3-$B81,'D Fleet'!$B$5:$B$62,0)),0)*IFERROR(INDEX('D Fleet'!$K$5:$K$36,INT(($B81/F$5))+1)+(($B81/F$5)-INT(($B81/F$5)))*(INDEX('D Fleet'!$K$5:$K$36,INT(($B81/F$5))+2)-INDEX('D Fleet'!$K$5:$K$36,INT(($B81/F$5))+1)),0)</f>
        <v/>
      </c>
      <c r="G81" s="276">
        <f>IFERROR(INDEX('D Fleet'!$D$5:$D$62,MATCH(G$3-$B81,'D Fleet'!$B$5:$B$62,0)),0)*IFERROR(INDEX('D Fleet'!$K$5:$K$36,INT(($B81/G$5))+1)+(($B81/G$5)-INT(($B81/G$5)))*(INDEX('D Fleet'!$K$5:$K$36,INT(($B81/G$5))+2)-INDEX('D Fleet'!$K$5:$K$36,INT(($B81/G$5))+1)),0)</f>
        <v/>
      </c>
      <c r="H81" s="276">
        <f>IFERROR(INDEX('D Fleet'!$D$5:$D$62,MATCH(H$3-$B81,'D Fleet'!$B$5:$B$62,0)),0)*IFERROR(INDEX('D Fleet'!$K$5:$K$36,INT(($B81/H$5))+1)+(($B81/H$5)-INT(($B81/H$5)))*(INDEX('D Fleet'!$K$5:$K$36,INT(($B81/H$5))+2)-INDEX('D Fleet'!$K$5:$K$36,INT(($B81/H$5))+1)),0)</f>
        <v/>
      </c>
      <c r="I81" s="276">
        <f>IFERROR(INDEX('D Fleet'!$D$5:$D$62,MATCH(I$3-$B81,'D Fleet'!$B$5:$B$62,0)),0)*IFERROR(INDEX('D Fleet'!$K$5:$K$36,INT(($B81/I$5))+1)+(($B81/I$5)-INT(($B81/I$5)))*(INDEX('D Fleet'!$K$5:$K$36,INT(($B81/I$5))+2)-INDEX('D Fleet'!$K$5:$K$36,INT(($B81/I$5))+1)),0)</f>
        <v/>
      </c>
      <c r="J81" s="276">
        <f>IFERROR(INDEX('D Fleet'!$D$5:$D$62,MATCH(J$3-$B81,'D Fleet'!$B$5:$B$62,0)),0)*IFERROR(INDEX('D Fleet'!$K$5:$K$36,INT(($B81/J$5))+1)+(($B81/J$5)-INT(($B81/J$5)))*(INDEX('D Fleet'!$K$5:$K$36,INT(($B81/J$5))+2)-INDEX('D Fleet'!$K$5:$K$36,INT(($B81/J$5))+1)),0)</f>
        <v/>
      </c>
      <c r="K81" s="276">
        <f>IFERROR(INDEX('D Fleet'!$D$5:$D$62,MATCH(K$3-$B81,'D Fleet'!$B$5:$B$62,0)),0)*IFERROR(INDEX('D Fleet'!$K$5:$K$36,INT(($B81/K$5))+1)+(($B81/K$5)-INT(($B81/K$5)))*(INDEX('D Fleet'!$K$5:$K$36,INT(($B81/K$5))+2)-INDEX('D Fleet'!$K$5:$K$36,INT(($B81/K$5))+1)),0)</f>
        <v/>
      </c>
      <c r="L81" s="276">
        <f>IFERROR(INDEX('D Fleet'!$D$5:$D$62,MATCH(L$3-$B81,'D Fleet'!$B$5:$B$62,0)),0)*IFERROR(INDEX('D Fleet'!$K$5:$K$36,INT(($B81/L$5))+1)+(($B81/L$5)-INT(($B81/L$5)))*(INDEX('D Fleet'!$K$5:$K$36,INT(($B81/L$5))+2)-INDEX('D Fleet'!$K$5:$K$36,INT(($B81/L$5))+1)),0)</f>
        <v/>
      </c>
      <c r="M81" s="276">
        <f>IFERROR(INDEX('D Fleet'!$D$5:$D$62,MATCH(M$3-$B81,'D Fleet'!$B$5:$B$62,0)),0)*IFERROR(INDEX('D Fleet'!$K$5:$K$36,INT(($B81/M$5))+1)+(($B81/M$5)-INT(($B81/M$5)))*(INDEX('D Fleet'!$K$5:$K$36,INT(($B81/M$5))+2)-INDEX('D Fleet'!$K$5:$K$36,INT(($B81/M$5))+1)),0)</f>
        <v/>
      </c>
      <c r="N81" s="276">
        <f>IFERROR(INDEX('D Fleet'!$D$5:$D$62,MATCH(N$3-$B81,'D Fleet'!$B$5:$B$62,0)),0)*IFERROR(INDEX('D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Fleet'!$D$5:$D$62,MATCH(E$3-$B82,'D Fleet'!$B$5:$B$62,0)),0)*IFERROR(INDEX('D Fleet'!$K$5:$K$36,INT(($B82/E$5))+1)+(($B82/E$5)-INT(($B82/E$5)))*(INDEX('D Fleet'!$K$5:$K$36,INT(($B82/E$5))+2)-INDEX('D Fleet'!$K$5:$K$36,INT(($B82/E$5))+1)),0)</f>
        <v/>
      </c>
      <c r="F82" s="276">
        <f>IFERROR(INDEX('D Fleet'!$D$5:$D$62,MATCH(F$3-$B82,'D Fleet'!$B$5:$B$62,0)),0)*IFERROR(INDEX('D Fleet'!$K$5:$K$36,INT(($B82/F$5))+1)+(($B82/F$5)-INT(($B82/F$5)))*(INDEX('D Fleet'!$K$5:$K$36,INT(($B82/F$5))+2)-INDEX('D Fleet'!$K$5:$K$36,INT(($B82/F$5))+1)),0)</f>
        <v/>
      </c>
      <c r="G82" s="276">
        <f>IFERROR(INDEX('D Fleet'!$D$5:$D$62,MATCH(G$3-$B82,'D Fleet'!$B$5:$B$62,0)),0)*IFERROR(INDEX('D Fleet'!$K$5:$K$36,INT(($B82/G$5))+1)+(($B82/G$5)-INT(($B82/G$5)))*(INDEX('D Fleet'!$K$5:$K$36,INT(($B82/G$5))+2)-INDEX('D Fleet'!$K$5:$K$36,INT(($B82/G$5))+1)),0)</f>
        <v/>
      </c>
      <c r="H82" s="276">
        <f>IFERROR(INDEX('D Fleet'!$D$5:$D$62,MATCH(H$3-$B82,'D Fleet'!$B$5:$B$62,0)),0)*IFERROR(INDEX('D Fleet'!$K$5:$K$36,INT(($B82/H$5))+1)+(($B82/H$5)-INT(($B82/H$5)))*(INDEX('D Fleet'!$K$5:$K$36,INT(($B82/H$5))+2)-INDEX('D Fleet'!$K$5:$K$36,INT(($B82/H$5))+1)),0)</f>
        <v/>
      </c>
      <c r="I82" s="276">
        <f>IFERROR(INDEX('D Fleet'!$D$5:$D$62,MATCH(I$3-$B82,'D Fleet'!$B$5:$B$62,0)),0)*IFERROR(INDEX('D Fleet'!$K$5:$K$36,INT(($B82/I$5))+1)+(($B82/I$5)-INT(($B82/I$5)))*(INDEX('D Fleet'!$K$5:$K$36,INT(($B82/I$5))+2)-INDEX('D Fleet'!$K$5:$K$36,INT(($B82/I$5))+1)),0)</f>
        <v/>
      </c>
      <c r="J82" s="276">
        <f>IFERROR(INDEX('D Fleet'!$D$5:$D$62,MATCH(J$3-$B82,'D Fleet'!$B$5:$B$62,0)),0)*IFERROR(INDEX('D Fleet'!$K$5:$K$36,INT(($B82/J$5))+1)+(($B82/J$5)-INT(($B82/J$5)))*(INDEX('D Fleet'!$K$5:$K$36,INT(($B82/J$5))+2)-INDEX('D Fleet'!$K$5:$K$36,INT(($B82/J$5))+1)),0)</f>
        <v/>
      </c>
      <c r="K82" s="276">
        <f>IFERROR(INDEX('D Fleet'!$D$5:$D$62,MATCH(K$3-$B82,'D Fleet'!$B$5:$B$62,0)),0)*IFERROR(INDEX('D Fleet'!$K$5:$K$36,INT(($B82/K$5))+1)+(($B82/K$5)-INT(($B82/K$5)))*(INDEX('D Fleet'!$K$5:$K$36,INT(($B82/K$5))+2)-INDEX('D Fleet'!$K$5:$K$36,INT(($B82/K$5))+1)),0)</f>
        <v/>
      </c>
      <c r="L82" s="276">
        <f>IFERROR(INDEX('D Fleet'!$D$5:$D$62,MATCH(L$3-$B82,'D Fleet'!$B$5:$B$62,0)),0)*IFERROR(INDEX('D Fleet'!$K$5:$K$36,INT(($B82/L$5))+1)+(($B82/L$5)-INT(($B82/L$5)))*(INDEX('D Fleet'!$K$5:$K$36,INT(($B82/L$5))+2)-INDEX('D Fleet'!$K$5:$K$36,INT(($B82/L$5))+1)),0)</f>
        <v/>
      </c>
      <c r="M82" s="276">
        <f>IFERROR(INDEX('D Fleet'!$D$5:$D$62,MATCH(M$3-$B82,'D Fleet'!$B$5:$B$62,0)),0)*IFERROR(INDEX('D Fleet'!$K$5:$K$36,INT(($B82/M$5))+1)+(($B82/M$5)-INT(($B82/M$5)))*(INDEX('D Fleet'!$K$5:$K$36,INT(($B82/M$5))+2)-INDEX('D Fleet'!$K$5:$K$36,INT(($B82/M$5))+1)),0)</f>
        <v/>
      </c>
      <c r="N82" s="276">
        <f>IFERROR(INDEX('D Fleet'!$D$5:$D$62,MATCH(N$3-$B82,'D Fleet'!$B$5:$B$62,0)),0)*IFERROR(INDEX('D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Fleet'!$D$5:$D$62,MATCH(E$3-$B83,'D Fleet'!$B$5:$B$62,0)),0)*IFERROR(INDEX('D Fleet'!$K$5:$K$36,INT(($B83/E$5))+1)+(($B83/E$5)-INT(($B83/E$5)))*(INDEX('D Fleet'!$K$5:$K$36,INT(($B83/E$5))+2)-INDEX('D Fleet'!$K$5:$K$36,INT(($B83/E$5))+1)),0)</f>
        <v/>
      </c>
      <c r="F83" s="276">
        <f>IFERROR(INDEX('D Fleet'!$D$5:$D$62,MATCH(F$3-$B83,'D Fleet'!$B$5:$B$62,0)),0)*IFERROR(INDEX('D Fleet'!$K$5:$K$36,INT(($B83/F$5))+1)+(($B83/F$5)-INT(($B83/F$5)))*(INDEX('D Fleet'!$K$5:$K$36,INT(($B83/F$5))+2)-INDEX('D Fleet'!$K$5:$K$36,INT(($B83/F$5))+1)),0)</f>
        <v/>
      </c>
      <c r="G83" s="276">
        <f>IFERROR(INDEX('D Fleet'!$D$5:$D$62,MATCH(G$3-$B83,'D Fleet'!$B$5:$B$62,0)),0)*IFERROR(INDEX('D Fleet'!$K$5:$K$36,INT(($B83/G$5))+1)+(($B83/G$5)-INT(($B83/G$5)))*(INDEX('D Fleet'!$K$5:$K$36,INT(($B83/G$5))+2)-INDEX('D Fleet'!$K$5:$K$36,INT(($B83/G$5))+1)),0)</f>
        <v/>
      </c>
      <c r="H83" s="276">
        <f>IFERROR(INDEX('D Fleet'!$D$5:$D$62,MATCH(H$3-$B83,'D Fleet'!$B$5:$B$62,0)),0)*IFERROR(INDEX('D Fleet'!$K$5:$K$36,INT(($B83/H$5))+1)+(($B83/H$5)-INT(($B83/H$5)))*(INDEX('D Fleet'!$K$5:$K$36,INT(($B83/H$5))+2)-INDEX('D Fleet'!$K$5:$K$36,INT(($B83/H$5))+1)),0)</f>
        <v/>
      </c>
      <c r="I83" s="276">
        <f>IFERROR(INDEX('D Fleet'!$D$5:$D$62,MATCH(I$3-$B83,'D Fleet'!$B$5:$B$62,0)),0)*IFERROR(INDEX('D Fleet'!$K$5:$K$36,INT(($B83/I$5))+1)+(($B83/I$5)-INT(($B83/I$5)))*(INDEX('D Fleet'!$K$5:$K$36,INT(($B83/I$5))+2)-INDEX('D Fleet'!$K$5:$K$36,INT(($B83/I$5))+1)),0)</f>
        <v/>
      </c>
      <c r="J83" s="276">
        <f>IFERROR(INDEX('D Fleet'!$D$5:$D$62,MATCH(J$3-$B83,'D Fleet'!$B$5:$B$62,0)),0)*IFERROR(INDEX('D Fleet'!$K$5:$K$36,INT(($B83/J$5))+1)+(($B83/J$5)-INT(($B83/J$5)))*(INDEX('D Fleet'!$K$5:$K$36,INT(($B83/J$5))+2)-INDEX('D Fleet'!$K$5:$K$36,INT(($B83/J$5))+1)),0)</f>
        <v/>
      </c>
      <c r="K83" s="276">
        <f>IFERROR(INDEX('D Fleet'!$D$5:$D$62,MATCH(K$3-$B83,'D Fleet'!$B$5:$B$62,0)),0)*IFERROR(INDEX('D Fleet'!$K$5:$K$36,INT(($B83/K$5))+1)+(($B83/K$5)-INT(($B83/K$5)))*(INDEX('D Fleet'!$K$5:$K$36,INT(($B83/K$5))+2)-INDEX('D Fleet'!$K$5:$K$36,INT(($B83/K$5))+1)),0)</f>
        <v/>
      </c>
      <c r="L83" s="276">
        <f>IFERROR(INDEX('D Fleet'!$D$5:$D$62,MATCH(L$3-$B83,'D Fleet'!$B$5:$B$62,0)),0)*IFERROR(INDEX('D Fleet'!$K$5:$K$36,INT(($B83/L$5))+1)+(($B83/L$5)-INT(($B83/L$5)))*(INDEX('D Fleet'!$K$5:$K$36,INT(($B83/L$5))+2)-INDEX('D Fleet'!$K$5:$K$36,INT(($B83/L$5))+1)),0)</f>
        <v/>
      </c>
      <c r="M83" s="276">
        <f>IFERROR(INDEX('D Fleet'!$D$5:$D$62,MATCH(M$3-$B83,'D Fleet'!$B$5:$B$62,0)),0)*IFERROR(INDEX('D Fleet'!$K$5:$K$36,INT(($B83/M$5))+1)+(($B83/M$5)-INT(($B83/M$5)))*(INDEX('D Fleet'!$K$5:$K$36,INT(($B83/M$5))+2)-INDEX('D Fleet'!$K$5:$K$36,INT(($B83/M$5))+1)),0)</f>
        <v/>
      </c>
      <c r="N83" s="276">
        <f>IFERROR(INDEX('D Fleet'!$D$5:$D$62,MATCH(N$3-$B83,'D Fleet'!$B$5:$B$62,0)),0)*IFERROR(INDEX('D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Fleet'!$D$5:$D$62,MATCH(E$3-$B84,'D Fleet'!$B$5:$B$62,0)),0)*IFERROR(INDEX('D Fleet'!$K$5:$K$36,INT(($B84/E$5))+1)+(($B84/E$5)-INT(($B84/E$5)))*(INDEX('D Fleet'!$K$5:$K$36,INT(($B84/E$5))+2)-INDEX('D Fleet'!$K$5:$K$36,INT(($B84/E$5))+1)),0)</f>
        <v/>
      </c>
      <c r="F84" s="276">
        <f>IFERROR(INDEX('D Fleet'!$D$5:$D$62,MATCH(F$3-$B84,'D Fleet'!$B$5:$B$62,0)),0)*IFERROR(INDEX('D Fleet'!$K$5:$K$36,INT(($B84/F$5))+1)+(($B84/F$5)-INT(($B84/F$5)))*(INDEX('D Fleet'!$K$5:$K$36,INT(($B84/F$5))+2)-INDEX('D Fleet'!$K$5:$K$36,INT(($B84/F$5))+1)),0)</f>
        <v/>
      </c>
      <c r="G84" s="276">
        <f>IFERROR(INDEX('D Fleet'!$D$5:$D$62,MATCH(G$3-$B84,'D Fleet'!$B$5:$B$62,0)),0)*IFERROR(INDEX('D Fleet'!$K$5:$K$36,INT(($B84/G$5))+1)+(($B84/G$5)-INT(($B84/G$5)))*(INDEX('D Fleet'!$K$5:$K$36,INT(($B84/G$5))+2)-INDEX('D Fleet'!$K$5:$K$36,INT(($B84/G$5))+1)),0)</f>
        <v/>
      </c>
      <c r="H84" s="276">
        <f>IFERROR(INDEX('D Fleet'!$D$5:$D$62,MATCH(H$3-$B84,'D Fleet'!$B$5:$B$62,0)),0)*IFERROR(INDEX('D Fleet'!$K$5:$K$36,INT(($B84/H$5))+1)+(($B84/H$5)-INT(($B84/H$5)))*(INDEX('D Fleet'!$K$5:$K$36,INT(($B84/H$5))+2)-INDEX('D Fleet'!$K$5:$K$36,INT(($B84/H$5))+1)),0)</f>
        <v/>
      </c>
      <c r="I84" s="276">
        <f>IFERROR(INDEX('D Fleet'!$D$5:$D$62,MATCH(I$3-$B84,'D Fleet'!$B$5:$B$62,0)),0)*IFERROR(INDEX('D Fleet'!$K$5:$K$36,INT(($B84/I$5))+1)+(($B84/I$5)-INT(($B84/I$5)))*(INDEX('D Fleet'!$K$5:$K$36,INT(($B84/I$5))+2)-INDEX('D Fleet'!$K$5:$K$36,INT(($B84/I$5))+1)),0)</f>
        <v/>
      </c>
      <c r="J84" s="276">
        <f>IFERROR(INDEX('D Fleet'!$D$5:$D$62,MATCH(J$3-$B84,'D Fleet'!$B$5:$B$62,0)),0)*IFERROR(INDEX('D Fleet'!$K$5:$K$36,INT(($B84/J$5))+1)+(($B84/J$5)-INT(($B84/J$5)))*(INDEX('D Fleet'!$K$5:$K$36,INT(($B84/J$5))+2)-INDEX('D Fleet'!$K$5:$K$36,INT(($B84/J$5))+1)),0)</f>
        <v/>
      </c>
      <c r="K84" s="276">
        <f>IFERROR(INDEX('D Fleet'!$D$5:$D$62,MATCH(K$3-$B84,'D Fleet'!$B$5:$B$62,0)),0)*IFERROR(INDEX('D Fleet'!$K$5:$K$36,INT(($B84/K$5))+1)+(($B84/K$5)-INT(($B84/K$5)))*(INDEX('D Fleet'!$K$5:$K$36,INT(($B84/K$5))+2)-INDEX('D Fleet'!$K$5:$K$36,INT(($B84/K$5))+1)),0)</f>
        <v/>
      </c>
      <c r="L84" s="276">
        <f>IFERROR(INDEX('D Fleet'!$D$5:$D$62,MATCH(L$3-$B84,'D Fleet'!$B$5:$B$62,0)),0)*IFERROR(INDEX('D Fleet'!$K$5:$K$36,INT(($B84/L$5))+1)+(($B84/L$5)-INT(($B84/L$5)))*(INDEX('D Fleet'!$K$5:$K$36,INT(($B84/L$5))+2)-INDEX('D Fleet'!$K$5:$K$36,INT(($B84/L$5))+1)),0)</f>
        <v/>
      </c>
      <c r="M84" s="276">
        <f>IFERROR(INDEX('D Fleet'!$D$5:$D$62,MATCH(M$3-$B84,'D Fleet'!$B$5:$B$62,0)),0)*IFERROR(INDEX('D Fleet'!$K$5:$K$36,INT(($B84/M$5))+1)+(($B84/M$5)-INT(($B84/M$5)))*(INDEX('D Fleet'!$K$5:$K$36,INT(($B84/M$5))+2)-INDEX('D Fleet'!$K$5:$K$36,INT(($B84/M$5))+1)),0)</f>
        <v/>
      </c>
      <c r="N84" s="276">
        <f>IFERROR(INDEX('D Fleet'!$D$5:$D$62,MATCH(N$3-$B84,'D Fleet'!$B$5:$B$62,0)),0)*IFERROR(INDEX('D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Fleet'!$D$5:$D$62,MATCH(E$3-$B85,'D Fleet'!$B$5:$B$62,0)),0)*IFERROR(INDEX('D Fleet'!$K$5:$K$36,INT(($B85/E$5))+1)+(($B85/E$5)-INT(($B85/E$5)))*(INDEX('D Fleet'!$K$5:$K$36,INT(($B85/E$5))+2)-INDEX('D Fleet'!$K$5:$K$36,INT(($B85/E$5))+1)),0)</f>
        <v/>
      </c>
      <c r="F85" s="276">
        <f>IFERROR(INDEX('D Fleet'!$D$5:$D$62,MATCH(F$3-$B85,'D Fleet'!$B$5:$B$62,0)),0)*IFERROR(INDEX('D Fleet'!$K$5:$K$36,INT(($B85/F$5))+1)+(($B85/F$5)-INT(($B85/F$5)))*(INDEX('D Fleet'!$K$5:$K$36,INT(($B85/F$5))+2)-INDEX('D Fleet'!$K$5:$K$36,INT(($B85/F$5))+1)),0)</f>
        <v/>
      </c>
      <c r="G85" s="276">
        <f>IFERROR(INDEX('D Fleet'!$D$5:$D$62,MATCH(G$3-$B85,'D Fleet'!$B$5:$B$62,0)),0)*IFERROR(INDEX('D Fleet'!$K$5:$K$36,INT(($B85/G$5))+1)+(($B85/G$5)-INT(($B85/G$5)))*(INDEX('D Fleet'!$K$5:$K$36,INT(($B85/G$5))+2)-INDEX('D Fleet'!$K$5:$K$36,INT(($B85/G$5))+1)),0)</f>
        <v/>
      </c>
      <c r="H85" s="276">
        <f>IFERROR(INDEX('D Fleet'!$D$5:$D$62,MATCH(H$3-$B85,'D Fleet'!$B$5:$B$62,0)),0)*IFERROR(INDEX('D Fleet'!$K$5:$K$36,INT(($B85/H$5))+1)+(($B85/H$5)-INT(($B85/H$5)))*(INDEX('D Fleet'!$K$5:$K$36,INT(($B85/H$5))+2)-INDEX('D Fleet'!$K$5:$K$36,INT(($B85/H$5))+1)),0)</f>
        <v/>
      </c>
      <c r="I85" s="276">
        <f>IFERROR(INDEX('D Fleet'!$D$5:$D$62,MATCH(I$3-$B85,'D Fleet'!$B$5:$B$62,0)),0)*IFERROR(INDEX('D Fleet'!$K$5:$K$36,INT(($B85/I$5))+1)+(($B85/I$5)-INT(($B85/I$5)))*(INDEX('D Fleet'!$K$5:$K$36,INT(($B85/I$5))+2)-INDEX('D Fleet'!$K$5:$K$36,INT(($B85/I$5))+1)),0)</f>
        <v/>
      </c>
      <c r="J85" s="276">
        <f>IFERROR(INDEX('D Fleet'!$D$5:$D$62,MATCH(J$3-$B85,'D Fleet'!$B$5:$B$62,0)),0)*IFERROR(INDEX('D Fleet'!$K$5:$K$36,INT(($B85/J$5))+1)+(($B85/J$5)-INT(($B85/J$5)))*(INDEX('D Fleet'!$K$5:$K$36,INT(($B85/J$5))+2)-INDEX('D Fleet'!$K$5:$K$36,INT(($B85/J$5))+1)),0)</f>
        <v/>
      </c>
      <c r="K85" s="276">
        <f>IFERROR(INDEX('D Fleet'!$D$5:$D$62,MATCH(K$3-$B85,'D Fleet'!$B$5:$B$62,0)),0)*IFERROR(INDEX('D Fleet'!$K$5:$K$36,INT(($B85/K$5))+1)+(($B85/K$5)-INT(($B85/K$5)))*(INDEX('D Fleet'!$K$5:$K$36,INT(($B85/K$5))+2)-INDEX('D Fleet'!$K$5:$K$36,INT(($B85/K$5))+1)),0)</f>
        <v/>
      </c>
      <c r="L85" s="276">
        <f>IFERROR(INDEX('D Fleet'!$D$5:$D$62,MATCH(L$3-$B85,'D Fleet'!$B$5:$B$62,0)),0)*IFERROR(INDEX('D Fleet'!$K$5:$K$36,INT(($B85/L$5))+1)+(($B85/L$5)-INT(($B85/L$5)))*(INDEX('D Fleet'!$K$5:$K$36,INT(($B85/L$5))+2)-INDEX('D Fleet'!$K$5:$K$36,INT(($B85/L$5))+1)),0)</f>
        <v/>
      </c>
      <c r="M85" s="276">
        <f>IFERROR(INDEX('D Fleet'!$D$5:$D$62,MATCH(M$3-$B85,'D Fleet'!$B$5:$B$62,0)),0)*IFERROR(INDEX('D Fleet'!$K$5:$K$36,INT(($B85/M$5))+1)+(($B85/M$5)-INT(($B85/M$5)))*(INDEX('D Fleet'!$K$5:$K$36,INT(($B85/M$5))+2)-INDEX('D Fleet'!$K$5:$K$36,INT(($B85/M$5))+1)),0)</f>
        <v/>
      </c>
      <c r="N85" s="276">
        <f>IFERROR(INDEX('D Fleet'!$D$5:$D$62,MATCH(N$3-$B85,'D Fleet'!$B$5:$B$62,0)),0)*IFERROR(INDEX('D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Fleet'!$D$5:$D$62,MATCH(E$3-$B86,'D Fleet'!$B$5:$B$62,0)),0)*IFERROR(INDEX('D Fleet'!$K$5:$K$36,INT(($B86/E$5))+1)+(($B86/E$5)-INT(($B86/E$5)))*(INDEX('D Fleet'!$K$5:$K$36,INT(($B86/E$5))+2)-INDEX('D Fleet'!$K$5:$K$36,INT(($B86/E$5))+1)),0)</f>
        <v/>
      </c>
      <c r="F86" s="276">
        <f>IFERROR(INDEX('D Fleet'!$D$5:$D$62,MATCH(F$3-$B86,'D Fleet'!$B$5:$B$62,0)),0)*IFERROR(INDEX('D Fleet'!$K$5:$K$36,INT(($B86/F$5))+1)+(($B86/F$5)-INT(($B86/F$5)))*(INDEX('D Fleet'!$K$5:$K$36,INT(($B86/F$5))+2)-INDEX('D Fleet'!$K$5:$K$36,INT(($B86/F$5))+1)),0)</f>
        <v/>
      </c>
      <c r="G86" s="276">
        <f>IFERROR(INDEX('D Fleet'!$D$5:$D$62,MATCH(G$3-$B86,'D Fleet'!$B$5:$B$62,0)),0)*IFERROR(INDEX('D Fleet'!$K$5:$K$36,INT(($B86/G$5))+1)+(($B86/G$5)-INT(($B86/G$5)))*(INDEX('D Fleet'!$K$5:$K$36,INT(($B86/G$5))+2)-INDEX('D Fleet'!$K$5:$K$36,INT(($B86/G$5))+1)),0)</f>
        <v/>
      </c>
      <c r="H86" s="276">
        <f>IFERROR(INDEX('D Fleet'!$D$5:$D$62,MATCH(H$3-$B86,'D Fleet'!$B$5:$B$62,0)),0)*IFERROR(INDEX('D Fleet'!$K$5:$K$36,INT(($B86/H$5))+1)+(($B86/H$5)-INT(($B86/H$5)))*(INDEX('D Fleet'!$K$5:$K$36,INT(($B86/H$5))+2)-INDEX('D Fleet'!$K$5:$K$36,INT(($B86/H$5))+1)),0)</f>
        <v/>
      </c>
      <c r="I86" s="276">
        <f>IFERROR(INDEX('D Fleet'!$D$5:$D$62,MATCH(I$3-$B86,'D Fleet'!$B$5:$B$62,0)),0)*IFERROR(INDEX('D Fleet'!$K$5:$K$36,INT(($B86/I$5))+1)+(($B86/I$5)-INT(($B86/I$5)))*(INDEX('D Fleet'!$K$5:$K$36,INT(($B86/I$5))+2)-INDEX('D Fleet'!$K$5:$K$36,INT(($B86/I$5))+1)),0)</f>
        <v/>
      </c>
      <c r="J86" s="276">
        <f>IFERROR(INDEX('D Fleet'!$D$5:$D$62,MATCH(J$3-$B86,'D Fleet'!$B$5:$B$62,0)),0)*IFERROR(INDEX('D Fleet'!$K$5:$K$36,INT(($B86/J$5))+1)+(($B86/J$5)-INT(($B86/J$5)))*(INDEX('D Fleet'!$K$5:$K$36,INT(($B86/J$5))+2)-INDEX('D Fleet'!$K$5:$K$36,INT(($B86/J$5))+1)),0)</f>
        <v/>
      </c>
      <c r="K86" s="276">
        <f>IFERROR(INDEX('D Fleet'!$D$5:$D$62,MATCH(K$3-$B86,'D Fleet'!$B$5:$B$62,0)),0)*IFERROR(INDEX('D Fleet'!$K$5:$K$36,INT(($B86/K$5))+1)+(($B86/K$5)-INT(($B86/K$5)))*(INDEX('D Fleet'!$K$5:$K$36,INT(($B86/K$5))+2)-INDEX('D Fleet'!$K$5:$K$36,INT(($B86/K$5))+1)),0)</f>
        <v/>
      </c>
      <c r="L86" s="276">
        <f>IFERROR(INDEX('D Fleet'!$D$5:$D$62,MATCH(L$3-$B86,'D Fleet'!$B$5:$B$62,0)),0)*IFERROR(INDEX('D Fleet'!$K$5:$K$36,INT(($B86/L$5))+1)+(($B86/L$5)-INT(($B86/L$5)))*(INDEX('D Fleet'!$K$5:$K$36,INT(($B86/L$5))+2)-INDEX('D Fleet'!$K$5:$K$36,INT(($B86/L$5))+1)),0)</f>
        <v/>
      </c>
      <c r="M86" s="276">
        <f>IFERROR(INDEX('D Fleet'!$D$5:$D$62,MATCH(M$3-$B86,'D Fleet'!$B$5:$B$62,0)),0)*IFERROR(INDEX('D Fleet'!$K$5:$K$36,INT(($B86/M$5))+1)+(($B86/M$5)-INT(($B86/M$5)))*(INDEX('D Fleet'!$K$5:$K$36,INT(($B86/M$5))+2)-INDEX('D Fleet'!$K$5:$K$36,INT(($B86/M$5))+1)),0)</f>
        <v/>
      </c>
      <c r="N86" s="276">
        <f>IFERROR(INDEX('D Fleet'!$D$5:$D$62,MATCH(N$3-$B86,'D Fleet'!$B$5:$B$62,0)),0)*IFERROR(INDEX('D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Fleet'!$D$5:$D$62,MATCH(E$3-$B87,'D Fleet'!$B$5:$B$62,0)),0)*IFERROR(INDEX('D Fleet'!$K$5:$K$36,INT(($B87/E$5))+1)+(($B87/E$5)-INT(($B87/E$5)))*(INDEX('D Fleet'!$K$5:$K$36,INT(($B87/E$5))+2)-INDEX('D Fleet'!$K$5:$K$36,INT(($B87/E$5))+1)),0)</f>
        <v/>
      </c>
      <c r="F87" s="276">
        <f>IFERROR(INDEX('D Fleet'!$D$5:$D$62,MATCH(F$3-$B87,'D Fleet'!$B$5:$B$62,0)),0)*IFERROR(INDEX('D Fleet'!$K$5:$K$36,INT(($B87/F$5))+1)+(($B87/F$5)-INT(($B87/F$5)))*(INDEX('D Fleet'!$K$5:$K$36,INT(($B87/F$5))+2)-INDEX('D Fleet'!$K$5:$K$36,INT(($B87/F$5))+1)),0)</f>
        <v/>
      </c>
      <c r="G87" s="276">
        <f>IFERROR(INDEX('D Fleet'!$D$5:$D$62,MATCH(G$3-$B87,'D Fleet'!$B$5:$B$62,0)),0)*IFERROR(INDEX('D Fleet'!$K$5:$K$36,INT(($B87/G$5))+1)+(($B87/G$5)-INT(($B87/G$5)))*(INDEX('D Fleet'!$K$5:$K$36,INT(($B87/G$5))+2)-INDEX('D Fleet'!$K$5:$K$36,INT(($B87/G$5))+1)),0)</f>
        <v/>
      </c>
      <c r="H87" s="276">
        <f>IFERROR(INDEX('D Fleet'!$D$5:$D$62,MATCH(H$3-$B87,'D Fleet'!$B$5:$B$62,0)),0)*IFERROR(INDEX('D Fleet'!$K$5:$K$36,INT(($B87/H$5))+1)+(($B87/H$5)-INT(($B87/H$5)))*(INDEX('D Fleet'!$K$5:$K$36,INT(($B87/H$5))+2)-INDEX('D Fleet'!$K$5:$K$36,INT(($B87/H$5))+1)),0)</f>
        <v/>
      </c>
      <c r="I87" s="276">
        <f>IFERROR(INDEX('D Fleet'!$D$5:$D$62,MATCH(I$3-$B87,'D Fleet'!$B$5:$B$62,0)),0)*IFERROR(INDEX('D Fleet'!$K$5:$K$36,INT(($B87/I$5))+1)+(($B87/I$5)-INT(($B87/I$5)))*(INDEX('D Fleet'!$K$5:$K$36,INT(($B87/I$5))+2)-INDEX('D Fleet'!$K$5:$K$36,INT(($B87/I$5))+1)),0)</f>
        <v/>
      </c>
      <c r="J87" s="276">
        <f>IFERROR(INDEX('D Fleet'!$D$5:$D$62,MATCH(J$3-$B87,'D Fleet'!$B$5:$B$62,0)),0)*IFERROR(INDEX('D Fleet'!$K$5:$K$36,INT(($B87/J$5))+1)+(($B87/J$5)-INT(($B87/J$5)))*(INDEX('D Fleet'!$K$5:$K$36,INT(($B87/J$5))+2)-INDEX('D Fleet'!$K$5:$K$36,INT(($B87/J$5))+1)),0)</f>
        <v/>
      </c>
      <c r="K87" s="276">
        <f>IFERROR(INDEX('D Fleet'!$D$5:$D$62,MATCH(K$3-$B87,'D Fleet'!$B$5:$B$62,0)),0)*IFERROR(INDEX('D Fleet'!$K$5:$K$36,INT(($B87/K$5))+1)+(($B87/K$5)-INT(($B87/K$5)))*(INDEX('D Fleet'!$K$5:$K$36,INT(($B87/K$5))+2)-INDEX('D Fleet'!$K$5:$K$36,INT(($B87/K$5))+1)),0)</f>
        <v/>
      </c>
      <c r="L87" s="276">
        <f>IFERROR(INDEX('D Fleet'!$D$5:$D$62,MATCH(L$3-$B87,'D Fleet'!$B$5:$B$62,0)),0)*IFERROR(INDEX('D Fleet'!$K$5:$K$36,INT(($B87/L$5))+1)+(($B87/L$5)-INT(($B87/L$5)))*(INDEX('D Fleet'!$K$5:$K$36,INT(($B87/L$5))+2)-INDEX('D Fleet'!$K$5:$K$36,INT(($B87/L$5))+1)),0)</f>
        <v/>
      </c>
      <c r="M87" s="276">
        <f>IFERROR(INDEX('D Fleet'!$D$5:$D$62,MATCH(M$3-$B87,'D Fleet'!$B$5:$B$62,0)),0)*IFERROR(INDEX('D Fleet'!$K$5:$K$36,INT(($B87/M$5))+1)+(($B87/M$5)-INT(($B87/M$5)))*(INDEX('D Fleet'!$K$5:$K$36,INT(($B87/M$5))+2)-INDEX('D Fleet'!$K$5:$K$36,INT(($B87/M$5))+1)),0)</f>
        <v/>
      </c>
      <c r="N87" s="276">
        <f>IFERROR(INDEX('D Fleet'!$D$5:$D$62,MATCH(N$3-$B87,'D Fleet'!$B$5:$B$62,0)),0)*IFERROR(INDEX('D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Fleet'!$D$5:$D$62,MATCH(E$3-$B88,'D Fleet'!$B$5:$B$62,0)),0)*IFERROR(INDEX('D Fleet'!$K$5:$K$36,INT(($B88/E$5))+1)+(($B88/E$5)-INT(($B88/E$5)))*(INDEX('D Fleet'!$K$5:$K$36,INT(($B88/E$5))+2)-INDEX('D Fleet'!$K$5:$K$36,INT(($B88/E$5))+1)),0)</f>
        <v/>
      </c>
      <c r="F88" s="276">
        <f>IFERROR(INDEX('D Fleet'!$D$5:$D$62,MATCH(F$3-$B88,'D Fleet'!$B$5:$B$62,0)),0)*IFERROR(INDEX('D Fleet'!$K$5:$K$36,INT(($B88/F$5))+1)+(($B88/F$5)-INT(($B88/F$5)))*(INDEX('D Fleet'!$K$5:$K$36,INT(($B88/F$5))+2)-INDEX('D Fleet'!$K$5:$K$36,INT(($B88/F$5))+1)),0)</f>
        <v/>
      </c>
      <c r="G88" s="276">
        <f>IFERROR(INDEX('D Fleet'!$D$5:$D$62,MATCH(G$3-$B88,'D Fleet'!$B$5:$B$62,0)),0)*IFERROR(INDEX('D Fleet'!$K$5:$K$36,INT(($B88/G$5))+1)+(($B88/G$5)-INT(($B88/G$5)))*(INDEX('D Fleet'!$K$5:$K$36,INT(($B88/G$5))+2)-INDEX('D Fleet'!$K$5:$K$36,INT(($B88/G$5))+1)),0)</f>
        <v/>
      </c>
      <c r="H88" s="276">
        <f>IFERROR(INDEX('D Fleet'!$D$5:$D$62,MATCH(H$3-$B88,'D Fleet'!$B$5:$B$62,0)),0)*IFERROR(INDEX('D Fleet'!$K$5:$K$36,INT(($B88/H$5))+1)+(($B88/H$5)-INT(($B88/H$5)))*(INDEX('D Fleet'!$K$5:$K$36,INT(($B88/H$5))+2)-INDEX('D Fleet'!$K$5:$K$36,INT(($B88/H$5))+1)),0)</f>
        <v/>
      </c>
      <c r="I88" s="276">
        <f>IFERROR(INDEX('D Fleet'!$D$5:$D$62,MATCH(I$3-$B88,'D Fleet'!$B$5:$B$62,0)),0)*IFERROR(INDEX('D Fleet'!$K$5:$K$36,INT(($B88/I$5))+1)+(($B88/I$5)-INT(($B88/I$5)))*(INDEX('D Fleet'!$K$5:$K$36,INT(($B88/I$5))+2)-INDEX('D Fleet'!$K$5:$K$36,INT(($B88/I$5))+1)),0)</f>
        <v/>
      </c>
      <c r="J88" s="276">
        <f>IFERROR(INDEX('D Fleet'!$D$5:$D$62,MATCH(J$3-$B88,'D Fleet'!$B$5:$B$62,0)),0)*IFERROR(INDEX('D Fleet'!$K$5:$K$36,INT(($B88/J$5))+1)+(($B88/J$5)-INT(($B88/J$5)))*(INDEX('D Fleet'!$K$5:$K$36,INT(($B88/J$5))+2)-INDEX('D Fleet'!$K$5:$K$36,INT(($B88/J$5))+1)),0)</f>
        <v/>
      </c>
      <c r="K88" s="276">
        <f>IFERROR(INDEX('D Fleet'!$D$5:$D$62,MATCH(K$3-$B88,'D Fleet'!$B$5:$B$62,0)),0)*IFERROR(INDEX('D Fleet'!$K$5:$K$36,INT(($B88/K$5))+1)+(($B88/K$5)-INT(($B88/K$5)))*(INDEX('D Fleet'!$K$5:$K$36,INT(($B88/K$5))+2)-INDEX('D Fleet'!$K$5:$K$36,INT(($B88/K$5))+1)),0)</f>
        <v/>
      </c>
      <c r="L88" s="276">
        <f>IFERROR(INDEX('D Fleet'!$D$5:$D$62,MATCH(L$3-$B88,'D Fleet'!$B$5:$B$62,0)),0)*IFERROR(INDEX('D Fleet'!$K$5:$K$36,INT(($B88/L$5))+1)+(($B88/L$5)-INT(($B88/L$5)))*(INDEX('D Fleet'!$K$5:$K$36,INT(($B88/L$5))+2)-INDEX('D Fleet'!$K$5:$K$36,INT(($B88/L$5))+1)),0)</f>
        <v/>
      </c>
      <c r="M88" s="276">
        <f>IFERROR(INDEX('D Fleet'!$D$5:$D$62,MATCH(M$3-$B88,'D Fleet'!$B$5:$B$62,0)),0)*IFERROR(INDEX('D Fleet'!$K$5:$K$36,INT(($B88/M$5))+1)+(($B88/M$5)-INT(($B88/M$5)))*(INDEX('D Fleet'!$K$5:$K$36,INT(($B88/M$5))+2)-INDEX('D Fleet'!$K$5:$K$36,INT(($B88/M$5))+1)),0)</f>
        <v/>
      </c>
      <c r="N88" s="276">
        <f>IFERROR(INDEX('D Fleet'!$D$5:$D$62,MATCH(N$3-$B88,'D Fleet'!$B$5:$B$62,0)),0)*IFERROR(INDEX('D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Fleet'!$D$5:$D$62,MATCH(E$3-$B89,'D Fleet'!$B$5:$B$62,0)),0)*IFERROR(INDEX('D Fleet'!$K$5:$K$36,INT(($B89/E$5))+1)+(($B89/E$5)-INT(($B89/E$5)))*(INDEX('D Fleet'!$K$5:$K$36,INT(($B89/E$5))+2)-INDEX('D Fleet'!$K$5:$K$36,INT(($B89/E$5))+1)),0)</f>
        <v/>
      </c>
      <c r="F89" s="276">
        <f>IFERROR(INDEX('D Fleet'!$D$5:$D$62,MATCH(F$3-$B89,'D Fleet'!$B$5:$B$62,0)),0)*IFERROR(INDEX('D Fleet'!$K$5:$K$36,INT(($B89/F$5))+1)+(($B89/F$5)-INT(($B89/F$5)))*(INDEX('D Fleet'!$K$5:$K$36,INT(($B89/F$5))+2)-INDEX('D Fleet'!$K$5:$K$36,INT(($B89/F$5))+1)),0)</f>
        <v/>
      </c>
      <c r="G89" s="276">
        <f>IFERROR(INDEX('D Fleet'!$D$5:$D$62,MATCH(G$3-$B89,'D Fleet'!$B$5:$B$62,0)),0)*IFERROR(INDEX('D Fleet'!$K$5:$K$36,INT(($B89/G$5))+1)+(($B89/G$5)-INT(($B89/G$5)))*(INDEX('D Fleet'!$K$5:$K$36,INT(($B89/G$5))+2)-INDEX('D Fleet'!$K$5:$K$36,INT(($B89/G$5))+1)),0)</f>
        <v/>
      </c>
      <c r="H89" s="276">
        <f>IFERROR(INDEX('D Fleet'!$D$5:$D$62,MATCH(H$3-$B89,'D Fleet'!$B$5:$B$62,0)),0)*IFERROR(INDEX('D Fleet'!$K$5:$K$36,INT(($B89/H$5))+1)+(($B89/H$5)-INT(($B89/H$5)))*(INDEX('D Fleet'!$K$5:$K$36,INT(($B89/H$5))+2)-INDEX('D Fleet'!$K$5:$K$36,INT(($B89/H$5))+1)),0)</f>
        <v/>
      </c>
      <c r="I89" s="276">
        <f>IFERROR(INDEX('D Fleet'!$D$5:$D$62,MATCH(I$3-$B89,'D Fleet'!$B$5:$B$62,0)),0)*IFERROR(INDEX('D Fleet'!$K$5:$K$36,INT(($B89/I$5))+1)+(($B89/I$5)-INT(($B89/I$5)))*(INDEX('D Fleet'!$K$5:$K$36,INT(($B89/I$5))+2)-INDEX('D Fleet'!$K$5:$K$36,INT(($B89/I$5))+1)),0)</f>
        <v/>
      </c>
      <c r="J89" s="276">
        <f>IFERROR(INDEX('D Fleet'!$D$5:$D$62,MATCH(J$3-$B89,'D Fleet'!$B$5:$B$62,0)),0)*IFERROR(INDEX('D Fleet'!$K$5:$K$36,INT(($B89/J$5))+1)+(($B89/J$5)-INT(($B89/J$5)))*(INDEX('D Fleet'!$K$5:$K$36,INT(($B89/J$5))+2)-INDEX('D Fleet'!$K$5:$K$36,INT(($B89/J$5))+1)),0)</f>
        <v/>
      </c>
      <c r="K89" s="276">
        <f>IFERROR(INDEX('D Fleet'!$D$5:$D$62,MATCH(K$3-$B89,'D Fleet'!$B$5:$B$62,0)),0)*IFERROR(INDEX('D Fleet'!$K$5:$K$36,INT(($B89/K$5))+1)+(($B89/K$5)-INT(($B89/K$5)))*(INDEX('D Fleet'!$K$5:$K$36,INT(($B89/K$5))+2)-INDEX('D Fleet'!$K$5:$K$36,INT(($B89/K$5))+1)),0)</f>
        <v/>
      </c>
      <c r="L89" s="276">
        <f>IFERROR(INDEX('D Fleet'!$D$5:$D$62,MATCH(L$3-$B89,'D Fleet'!$B$5:$B$62,0)),0)*IFERROR(INDEX('D Fleet'!$K$5:$K$36,INT(($B89/L$5))+1)+(($B89/L$5)-INT(($B89/L$5)))*(INDEX('D Fleet'!$K$5:$K$36,INT(($B89/L$5))+2)-INDEX('D Fleet'!$K$5:$K$36,INT(($B89/L$5))+1)),0)</f>
        <v/>
      </c>
      <c r="M89" s="276">
        <f>IFERROR(INDEX('D Fleet'!$D$5:$D$62,MATCH(M$3-$B89,'D Fleet'!$B$5:$B$62,0)),0)*IFERROR(INDEX('D Fleet'!$K$5:$K$36,INT(($B89/M$5))+1)+(($B89/M$5)-INT(($B89/M$5)))*(INDEX('D Fleet'!$K$5:$K$36,INT(($B89/M$5))+2)-INDEX('D Fleet'!$K$5:$K$36,INT(($B89/M$5))+1)),0)</f>
        <v/>
      </c>
      <c r="N89" s="276">
        <f>IFERROR(INDEX('D Fleet'!$D$5:$D$62,MATCH(N$3-$B89,'D Fleet'!$B$5:$B$62,0)),0)*IFERROR(INDEX('D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Fleet'!$D$5:$D$62,MATCH(E$3-$B90,'D Fleet'!$B$5:$B$62,0)),0)*IFERROR(INDEX('D Fleet'!$K$5:$K$36,INT(($B90/E$5))+1)+(($B90/E$5)-INT(($B90/E$5)))*(INDEX('D Fleet'!$K$5:$K$36,INT(($B90/E$5))+2)-INDEX('D Fleet'!$K$5:$K$36,INT(($B90/E$5))+1)),0)</f>
        <v/>
      </c>
      <c r="F90" s="276">
        <f>IFERROR(INDEX('D Fleet'!$D$5:$D$62,MATCH(F$3-$B90,'D Fleet'!$B$5:$B$62,0)),0)*IFERROR(INDEX('D Fleet'!$K$5:$K$36,INT(($B90/F$5))+1)+(($B90/F$5)-INT(($B90/F$5)))*(INDEX('D Fleet'!$K$5:$K$36,INT(($B90/F$5))+2)-INDEX('D Fleet'!$K$5:$K$36,INT(($B90/F$5))+1)),0)</f>
        <v/>
      </c>
      <c r="G90" s="276">
        <f>IFERROR(INDEX('D Fleet'!$D$5:$D$62,MATCH(G$3-$B90,'D Fleet'!$B$5:$B$62,0)),0)*IFERROR(INDEX('D Fleet'!$K$5:$K$36,INT(($B90/G$5))+1)+(($B90/G$5)-INT(($B90/G$5)))*(INDEX('D Fleet'!$K$5:$K$36,INT(($B90/G$5))+2)-INDEX('D Fleet'!$K$5:$K$36,INT(($B90/G$5))+1)),0)</f>
        <v/>
      </c>
      <c r="H90" s="276">
        <f>IFERROR(INDEX('D Fleet'!$D$5:$D$62,MATCH(H$3-$B90,'D Fleet'!$B$5:$B$62,0)),0)*IFERROR(INDEX('D Fleet'!$K$5:$K$36,INT(($B90/H$5))+1)+(($B90/H$5)-INT(($B90/H$5)))*(INDEX('D Fleet'!$K$5:$K$36,INT(($B90/H$5))+2)-INDEX('D Fleet'!$K$5:$K$36,INT(($B90/H$5))+1)),0)</f>
        <v/>
      </c>
      <c r="I90" s="276">
        <f>IFERROR(INDEX('D Fleet'!$D$5:$D$62,MATCH(I$3-$B90,'D Fleet'!$B$5:$B$62,0)),0)*IFERROR(INDEX('D Fleet'!$K$5:$K$36,INT(($B90/I$5))+1)+(($B90/I$5)-INT(($B90/I$5)))*(INDEX('D Fleet'!$K$5:$K$36,INT(($B90/I$5))+2)-INDEX('D Fleet'!$K$5:$K$36,INT(($B90/I$5))+1)),0)</f>
        <v/>
      </c>
      <c r="J90" s="276">
        <f>IFERROR(INDEX('D Fleet'!$D$5:$D$62,MATCH(J$3-$B90,'D Fleet'!$B$5:$B$62,0)),0)*IFERROR(INDEX('D Fleet'!$K$5:$K$36,INT(($B90/J$5))+1)+(($B90/J$5)-INT(($B90/J$5)))*(INDEX('D Fleet'!$K$5:$K$36,INT(($B90/J$5))+2)-INDEX('D Fleet'!$K$5:$K$36,INT(($B90/J$5))+1)),0)</f>
        <v/>
      </c>
      <c r="K90" s="276">
        <f>IFERROR(INDEX('D Fleet'!$D$5:$D$62,MATCH(K$3-$B90,'D Fleet'!$B$5:$B$62,0)),0)*IFERROR(INDEX('D Fleet'!$K$5:$K$36,INT(($B90/K$5))+1)+(($B90/K$5)-INT(($B90/K$5)))*(INDEX('D Fleet'!$K$5:$K$36,INT(($B90/K$5))+2)-INDEX('D Fleet'!$K$5:$K$36,INT(($B90/K$5))+1)),0)</f>
        <v/>
      </c>
      <c r="L90" s="276">
        <f>IFERROR(INDEX('D Fleet'!$D$5:$D$62,MATCH(L$3-$B90,'D Fleet'!$B$5:$B$62,0)),0)*IFERROR(INDEX('D Fleet'!$K$5:$K$36,INT(($B90/L$5))+1)+(($B90/L$5)-INT(($B90/L$5)))*(INDEX('D Fleet'!$K$5:$K$36,INT(($B90/L$5))+2)-INDEX('D Fleet'!$K$5:$K$36,INT(($B90/L$5))+1)),0)</f>
        <v/>
      </c>
      <c r="M90" s="276">
        <f>IFERROR(INDEX('D Fleet'!$D$5:$D$62,MATCH(M$3-$B90,'D Fleet'!$B$5:$B$62,0)),0)*IFERROR(INDEX('D Fleet'!$K$5:$K$36,INT(($B90/M$5))+1)+(($B90/M$5)-INT(($B90/M$5)))*(INDEX('D Fleet'!$K$5:$K$36,INT(($B90/M$5))+2)-INDEX('D Fleet'!$K$5:$K$36,INT(($B90/M$5))+1)),0)</f>
        <v/>
      </c>
      <c r="N90" s="276">
        <f>IFERROR(INDEX('D Fleet'!$D$5:$D$62,MATCH(N$3-$B90,'D Fleet'!$B$5:$B$62,0)),0)*IFERROR(INDEX('D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Fleet'!$D$5:$D$62,MATCH(E$3-$B91,'D Fleet'!$B$5:$B$62,0)),0)*IFERROR(INDEX('D Fleet'!$K$5:$K$36,INT(($B91/E$5))+1)+(($B91/E$5)-INT(($B91/E$5)))*(INDEX('D Fleet'!$K$5:$K$36,INT(($B91/E$5))+2)-INDEX('D Fleet'!$K$5:$K$36,INT(($B91/E$5))+1)),0)</f>
        <v/>
      </c>
      <c r="F91" s="276">
        <f>IFERROR(INDEX('D Fleet'!$D$5:$D$62,MATCH(F$3-$B91,'D Fleet'!$B$5:$B$62,0)),0)*IFERROR(INDEX('D Fleet'!$K$5:$K$36,INT(($B91/F$5))+1)+(($B91/F$5)-INT(($B91/F$5)))*(INDEX('D Fleet'!$K$5:$K$36,INT(($B91/F$5))+2)-INDEX('D Fleet'!$K$5:$K$36,INT(($B91/F$5))+1)),0)</f>
        <v/>
      </c>
      <c r="G91" s="276">
        <f>IFERROR(INDEX('D Fleet'!$D$5:$D$62,MATCH(G$3-$B91,'D Fleet'!$B$5:$B$62,0)),0)*IFERROR(INDEX('D Fleet'!$K$5:$K$36,INT(($B91/G$5))+1)+(($B91/G$5)-INT(($B91/G$5)))*(INDEX('D Fleet'!$K$5:$K$36,INT(($B91/G$5))+2)-INDEX('D Fleet'!$K$5:$K$36,INT(($B91/G$5))+1)),0)</f>
        <v/>
      </c>
      <c r="H91" s="276">
        <f>IFERROR(INDEX('D Fleet'!$D$5:$D$62,MATCH(H$3-$B91,'D Fleet'!$B$5:$B$62,0)),0)*IFERROR(INDEX('D Fleet'!$K$5:$K$36,INT(($B91/H$5))+1)+(($B91/H$5)-INT(($B91/H$5)))*(INDEX('D Fleet'!$K$5:$K$36,INT(($B91/H$5))+2)-INDEX('D Fleet'!$K$5:$K$36,INT(($B91/H$5))+1)),0)</f>
        <v/>
      </c>
      <c r="I91" s="276">
        <f>IFERROR(INDEX('D Fleet'!$D$5:$D$62,MATCH(I$3-$B91,'D Fleet'!$B$5:$B$62,0)),0)*IFERROR(INDEX('D Fleet'!$K$5:$K$36,INT(($B91/I$5))+1)+(($B91/I$5)-INT(($B91/I$5)))*(INDEX('D Fleet'!$K$5:$K$36,INT(($B91/I$5))+2)-INDEX('D Fleet'!$K$5:$K$36,INT(($B91/I$5))+1)),0)</f>
        <v/>
      </c>
      <c r="J91" s="276">
        <f>IFERROR(INDEX('D Fleet'!$D$5:$D$62,MATCH(J$3-$B91,'D Fleet'!$B$5:$B$62,0)),0)*IFERROR(INDEX('D Fleet'!$K$5:$K$36,INT(($B91/J$5))+1)+(($B91/J$5)-INT(($B91/J$5)))*(INDEX('D Fleet'!$K$5:$K$36,INT(($B91/J$5))+2)-INDEX('D Fleet'!$K$5:$K$36,INT(($B91/J$5))+1)),0)</f>
        <v/>
      </c>
      <c r="K91" s="276">
        <f>IFERROR(INDEX('D Fleet'!$D$5:$D$62,MATCH(K$3-$B91,'D Fleet'!$B$5:$B$62,0)),0)*IFERROR(INDEX('D Fleet'!$K$5:$K$36,INT(($B91/K$5))+1)+(($B91/K$5)-INT(($B91/K$5)))*(INDEX('D Fleet'!$K$5:$K$36,INT(($B91/K$5))+2)-INDEX('D Fleet'!$K$5:$K$36,INT(($B91/K$5))+1)),0)</f>
        <v/>
      </c>
      <c r="L91" s="276">
        <f>IFERROR(INDEX('D Fleet'!$D$5:$D$62,MATCH(L$3-$B91,'D Fleet'!$B$5:$B$62,0)),0)*IFERROR(INDEX('D Fleet'!$K$5:$K$36,INT(($B91/L$5))+1)+(($B91/L$5)-INT(($B91/L$5)))*(INDEX('D Fleet'!$K$5:$K$36,INT(($B91/L$5))+2)-INDEX('D Fleet'!$K$5:$K$36,INT(($B91/L$5))+1)),0)</f>
        <v/>
      </c>
      <c r="M91" s="276">
        <f>IFERROR(INDEX('D Fleet'!$D$5:$D$62,MATCH(M$3-$B91,'D Fleet'!$B$5:$B$62,0)),0)*IFERROR(INDEX('D Fleet'!$K$5:$K$36,INT(($B91/M$5))+1)+(($B91/M$5)-INT(($B91/M$5)))*(INDEX('D Fleet'!$K$5:$K$36,INT(($B91/M$5))+2)-INDEX('D Fleet'!$K$5:$K$36,INT(($B91/M$5))+1)),0)</f>
        <v/>
      </c>
      <c r="N91" s="276">
        <f>IFERROR(INDEX('D Fleet'!$D$5:$D$62,MATCH(N$3-$B91,'D Fleet'!$B$5:$B$62,0)),0)*IFERROR(INDEX('D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Fleet'!$D$5:$D$62,MATCH(E$3-$B92,'D Fleet'!$B$5:$B$62,0)),0)*IFERROR(INDEX('D Fleet'!$K$5:$K$36,INT(($B92/E$5))+1)+(($B92/E$5)-INT(($B92/E$5)))*(INDEX('D Fleet'!$K$5:$K$36,INT(($B92/E$5))+2)-INDEX('D Fleet'!$K$5:$K$36,INT(($B92/E$5))+1)),0)</f>
        <v/>
      </c>
      <c r="F92" s="276">
        <f>IFERROR(INDEX('D Fleet'!$D$5:$D$62,MATCH(F$3-$B92,'D Fleet'!$B$5:$B$62,0)),0)*IFERROR(INDEX('D Fleet'!$K$5:$K$36,INT(($B92/F$5))+1)+(($B92/F$5)-INT(($B92/F$5)))*(INDEX('D Fleet'!$K$5:$K$36,INT(($B92/F$5))+2)-INDEX('D Fleet'!$K$5:$K$36,INT(($B92/F$5))+1)),0)</f>
        <v/>
      </c>
      <c r="G92" s="276">
        <f>IFERROR(INDEX('D Fleet'!$D$5:$D$62,MATCH(G$3-$B92,'D Fleet'!$B$5:$B$62,0)),0)*IFERROR(INDEX('D Fleet'!$K$5:$K$36,INT(($B92/G$5))+1)+(($B92/G$5)-INT(($B92/G$5)))*(INDEX('D Fleet'!$K$5:$K$36,INT(($B92/G$5))+2)-INDEX('D Fleet'!$K$5:$K$36,INT(($B92/G$5))+1)),0)</f>
        <v/>
      </c>
      <c r="H92" s="276">
        <f>IFERROR(INDEX('D Fleet'!$D$5:$D$62,MATCH(H$3-$B92,'D Fleet'!$B$5:$B$62,0)),0)*IFERROR(INDEX('D Fleet'!$K$5:$K$36,INT(($B92/H$5))+1)+(($B92/H$5)-INT(($B92/H$5)))*(INDEX('D Fleet'!$K$5:$K$36,INT(($B92/H$5))+2)-INDEX('D Fleet'!$K$5:$K$36,INT(($B92/H$5))+1)),0)</f>
        <v/>
      </c>
      <c r="I92" s="276">
        <f>IFERROR(INDEX('D Fleet'!$D$5:$D$62,MATCH(I$3-$B92,'D Fleet'!$B$5:$B$62,0)),0)*IFERROR(INDEX('D Fleet'!$K$5:$K$36,INT(($B92/I$5))+1)+(($B92/I$5)-INT(($B92/I$5)))*(INDEX('D Fleet'!$K$5:$K$36,INT(($B92/I$5))+2)-INDEX('D Fleet'!$K$5:$K$36,INT(($B92/I$5))+1)),0)</f>
        <v/>
      </c>
      <c r="J92" s="276">
        <f>IFERROR(INDEX('D Fleet'!$D$5:$D$62,MATCH(J$3-$B92,'D Fleet'!$B$5:$B$62,0)),0)*IFERROR(INDEX('D Fleet'!$K$5:$K$36,INT(($B92/J$5))+1)+(($B92/J$5)-INT(($B92/J$5)))*(INDEX('D Fleet'!$K$5:$K$36,INT(($B92/J$5))+2)-INDEX('D Fleet'!$K$5:$K$36,INT(($B92/J$5))+1)),0)</f>
        <v/>
      </c>
      <c r="K92" s="276">
        <f>IFERROR(INDEX('D Fleet'!$D$5:$D$62,MATCH(K$3-$B92,'D Fleet'!$B$5:$B$62,0)),0)*IFERROR(INDEX('D Fleet'!$K$5:$K$36,INT(($B92/K$5))+1)+(($B92/K$5)-INT(($B92/K$5)))*(INDEX('D Fleet'!$K$5:$K$36,INT(($B92/K$5))+2)-INDEX('D Fleet'!$K$5:$K$36,INT(($B92/K$5))+1)),0)</f>
        <v/>
      </c>
      <c r="L92" s="276">
        <f>IFERROR(INDEX('D Fleet'!$D$5:$D$62,MATCH(L$3-$B92,'D Fleet'!$B$5:$B$62,0)),0)*IFERROR(INDEX('D Fleet'!$K$5:$K$36,INT(($B92/L$5))+1)+(($B92/L$5)-INT(($B92/L$5)))*(INDEX('D Fleet'!$K$5:$K$36,INT(($B92/L$5))+2)-INDEX('D Fleet'!$K$5:$K$36,INT(($B92/L$5))+1)),0)</f>
        <v/>
      </c>
      <c r="M92" s="276">
        <f>IFERROR(INDEX('D Fleet'!$D$5:$D$62,MATCH(M$3-$B92,'D Fleet'!$B$5:$B$62,0)),0)*IFERROR(INDEX('D Fleet'!$K$5:$K$36,INT(($B92/M$5))+1)+(($B92/M$5)-INT(($B92/M$5)))*(INDEX('D Fleet'!$K$5:$K$36,INT(($B92/M$5))+2)-INDEX('D Fleet'!$K$5:$K$36,INT(($B92/M$5))+1)),0)</f>
        <v/>
      </c>
      <c r="N92" s="276">
        <f>IFERROR(INDEX('D Fleet'!$D$5:$D$62,MATCH(N$3-$B92,'D Fleet'!$B$5:$B$62,0)),0)*IFERROR(INDEX('D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Fleet'!$D$5:$D$62,MATCH(E$3-$B93,'D Fleet'!$B$5:$B$62,0)),0)*IFERROR(INDEX('D Fleet'!$K$5:$K$36,INT(($B93/E$5))+1)+(($B93/E$5)-INT(($B93/E$5)))*(INDEX('D Fleet'!$K$5:$K$36,INT(($B93/E$5))+2)-INDEX('D Fleet'!$K$5:$K$36,INT(($B93/E$5))+1)),0)</f>
        <v/>
      </c>
      <c r="F93" s="276">
        <f>IFERROR(INDEX('D Fleet'!$D$5:$D$62,MATCH(F$3-$B93,'D Fleet'!$B$5:$B$62,0)),0)*IFERROR(INDEX('D Fleet'!$K$5:$K$36,INT(($B93/F$5))+1)+(($B93/F$5)-INT(($B93/F$5)))*(INDEX('D Fleet'!$K$5:$K$36,INT(($B93/F$5))+2)-INDEX('D Fleet'!$K$5:$K$36,INT(($B93/F$5))+1)),0)</f>
        <v/>
      </c>
      <c r="G93" s="276">
        <f>IFERROR(INDEX('D Fleet'!$D$5:$D$62,MATCH(G$3-$B93,'D Fleet'!$B$5:$B$62,0)),0)*IFERROR(INDEX('D Fleet'!$K$5:$K$36,INT(($B93/G$5))+1)+(($B93/G$5)-INT(($B93/G$5)))*(INDEX('D Fleet'!$K$5:$K$36,INT(($B93/G$5))+2)-INDEX('D Fleet'!$K$5:$K$36,INT(($B93/G$5))+1)),0)</f>
        <v/>
      </c>
      <c r="H93" s="276">
        <f>IFERROR(INDEX('D Fleet'!$D$5:$D$62,MATCH(H$3-$B93,'D Fleet'!$B$5:$B$62,0)),0)*IFERROR(INDEX('D Fleet'!$K$5:$K$36,INT(($B93/H$5))+1)+(($B93/H$5)-INT(($B93/H$5)))*(INDEX('D Fleet'!$K$5:$K$36,INT(($B93/H$5))+2)-INDEX('D Fleet'!$K$5:$K$36,INT(($B93/H$5))+1)),0)</f>
        <v/>
      </c>
      <c r="I93" s="276">
        <f>IFERROR(INDEX('D Fleet'!$D$5:$D$62,MATCH(I$3-$B93,'D Fleet'!$B$5:$B$62,0)),0)*IFERROR(INDEX('D Fleet'!$K$5:$K$36,INT(($B93/I$5))+1)+(($B93/I$5)-INT(($B93/I$5)))*(INDEX('D Fleet'!$K$5:$K$36,INT(($B93/I$5))+2)-INDEX('D Fleet'!$K$5:$K$36,INT(($B93/I$5))+1)),0)</f>
        <v/>
      </c>
      <c r="J93" s="276">
        <f>IFERROR(INDEX('D Fleet'!$D$5:$D$62,MATCH(J$3-$B93,'D Fleet'!$B$5:$B$62,0)),0)*IFERROR(INDEX('D Fleet'!$K$5:$K$36,INT(($B93/J$5))+1)+(($B93/J$5)-INT(($B93/J$5)))*(INDEX('D Fleet'!$K$5:$K$36,INT(($B93/J$5))+2)-INDEX('D Fleet'!$K$5:$K$36,INT(($B93/J$5))+1)),0)</f>
        <v/>
      </c>
      <c r="K93" s="276">
        <f>IFERROR(INDEX('D Fleet'!$D$5:$D$62,MATCH(K$3-$B93,'D Fleet'!$B$5:$B$62,0)),0)*IFERROR(INDEX('D Fleet'!$K$5:$K$36,INT(($B93/K$5))+1)+(($B93/K$5)-INT(($B93/K$5)))*(INDEX('D Fleet'!$K$5:$K$36,INT(($B93/K$5))+2)-INDEX('D Fleet'!$K$5:$K$36,INT(($B93/K$5))+1)),0)</f>
        <v/>
      </c>
      <c r="L93" s="276">
        <f>IFERROR(INDEX('D Fleet'!$D$5:$D$62,MATCH(L$3-$B93,'D Fleet'!$B$5:$B$62,0)),0)*IFERROR(INDEX('D Fleet'!$K$5:$K$36,INT(($B93/L$5))+1)+(($B93/L$5)-INT(($B93/L$5)))*(INDEX('D Fleet'!$K$5:$K$36,INT(($B93/L$5))+2)-INDEX('D Fleet'!$K$5:$K$36,INT(($B93/L$5))+1)),0)</f>
        <v/>
      </c>
      <c r="M93" s="276">
        <f>IFERROR(INDEX('D Fleet'!$D$5:$D$62,MATCH(M$3-$B93,'D Fleet'!$B$5:$B$62,0)),0)*IFERROR(INDEX('D Fleet'!$K$5:$K$36,INT(($B93/M$5))+1)+(($B93/M$5)-INT(($B93/M$5)))*(INDEX('D Fleet'!$K$5:$K$36,INT(($B93/M$5))+2)-INDEX('D Fleet'!$K$5:$K$36,INT(($B93/M$5))+1)),0)</f>
        <v/>
      </c>
      <c r="N93" s="276">
        <f>IFERROR(INDEX('D Fleet'!$D$5:$D$62,MATCH(N$3-$B93,'D Fleet'!$B$5:$B$62,0)),0)*IFERROR(INDEX('D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Fleet'!$D$5:$D$62,MATCH(E$3-$B94,'D Fleet'!$B$5:$B$62,0)),0)*IFERROR(INDEX('D Fleet'!$K$5:$K$36,INT(($B94/E$5))+1)+(($B94/E$5)-INT(($B94/E$5)))*(INDEX('D Fleet'!$K$5:$K$36,INT(($B94/E$5))+2)-INDEX('D Fleet'!$K$5:$K$36,INT(($B94/E$5))+1)),0)</f>
        <v/>
      </c>
      <c r="F94" s="276">
        <f>IFERROR(INDEX('D Fleet'!$D$5:$D$62,MATCH(F$3-$B94,'D Fleet'!$B$5:$B$62,0)),0)*IFERROR(INDEX('D Fleet'!$K$5:$K$36,INT(($B94/F$5))+1)+(($B94/F$5)-INT(($B94/F$5)))*(INDEX('D Fleet'!$K$5:$K$36,INT(($B94/F$5))+2)-INDEX('D Fleet'!$K$5:$K$36,INT(($B94/F$5))+1)),0)</f>
        <v/>
      </c>
      <c r="G94" s="276">
        <f>IFERROR(INDEX('D Fleet'!$D$5:$D$62,MATCH(G$3-$B94,'D Fleet'!$B$5:$B$62,0)),0)*IFERROR(INDEX('D Fleet'!$K$5:$K$36,INT(($B94/G$5))+1)+(($B94/G$5)-INT(($B94/G$5)))*(INDEX('D Fleet'!$K$5:$K$36,INT(($B94/G$5))+2)-INDEX('D Fleet'!$K$5:$K$36,INT(($B94/G$5))+1)),0)</f>
        <v/>
      </c>
      <c r="H94" s="276">
        <f>IFERROR(INDEX('D Fleet'!$D$5:$D$62,MATCH(H$3-$B94,'D Fleet'!$B$5:$B$62,0)),0)*IFERROR(INDEX('D Fleet'!$K$5:$K$36,INT(($B94/H$5))+1)+(($B94/H$5)-INT(($B94/H$5)))*(INDEX('D Fleet'!$K$5:$K$36,INT(($B94/H$5))+2)-INDEX('D Fleet'!$K$5:$K$36,INT(($B94/H$5))+1)),0)</f>
        <v/>
      </c>
      <c r="I94" s="276">
        <f>IFERROR(INDEX('D Fleet'!$D$5:$D$62,MATCH(I$3-$B94,'D Fleet'!$B$5:$B$62,0)),0)*IFERROR(INDEX('D Fleet'!$K$5:$K$36,INT(($B94/I$5))+1)+(($B94/I$5)-INT(($B94/I$5)))*(INDEX('D Fleet'!$K$5:$K$36,INT(($B94/I$5))+2)-INDEX('D Fleet'!$K$5:$K$36,INT(($B94/I$5))+1)),0)</f>
        <v/>
      </c>
      <c r="J94" s="276">
        <f>IFERROR(INDEX('D Fleet'!$D$5:$D$62,MATCH(J$3-$B94,'D Fleet'!$B$5:$B$62,0)),0)*IFERROR(INDEX('D Fleet'!$K$5:$K$36,INT(($B94/J$5))+1)+(($B94/J$5)-INT(($B94/J$5)))*(INDEX('D Fleet'!$K$5:$K$36,INT(($B94/J$5))+2)-INDEX('D Fleet'!$K$5:$K$36,INT(($B94/J$5))+1)),0)</f>
        <v/>
      </c>
      <c r="K94" s="276">
        <f>IFERROR(INDEX('D Fleet'!$D$5:$D$62,MATCH(K$3-$B94,'D Fleet'!$B$5:$B$62,0)),0)*IFERROR(INDEX('D Fleet'!$K$5:$K$36,INT(($B94/K$5))+1)+(($B94/K$5)-INT(($B94/K$5)))*(INDEX('D Fleet'!$K$5:$K$36,INT(($B94/K$5))+2)-INDEX('D Fleet'!$K$5:$K$36,INT(($B94/K$5))+1)),0)</f>
        <v/>
      </c>
      <c r="L94" s="276">
        <f>IFERROR(INDEX('D Fleet'!$D$5:$D$62,MATCH(L$3-$B94,'D Fleet'!$B$5:$B$62,0)),0)*IFERROR(INDEX('D Fleet'!$K$5:$K$36,INT(($B94/L$5))+1)+(($B94/L$5)-INT(($B94/L$5)))*(INDEX('D Fleet'!$K$5:$K$36,INT(($B94/L$5))+2)-INDEX('D Fleet'!$K$5:$K$36,INT(($B94/L$5))+1)),0)</f>
        <v/>
      </c>
      <c r="M94" s="276">
        <f>IFERROR(INDEX('D Fleet'!$D$5:$D$62,MATCH(M$3-$B94,'D Fleet'!$B$5:$B$62,0)),0)*IFERROR(INDEX('D Fleet'!$K$5:$K$36,INT(($B94/M$5))+1)+(($B94/M$5)-INT(($B94/M$5)))*(INDEX('D Fleet'!$K$5:$K$36,INT(($B94/M$5))+2)-INDEX('D Fleet'!$K$5:$K$36,INT(($B94/M$5))+1)),0)</f>
        <v/>
      </c>
      <c r="N94" s="276">
        <f>IFERROR(INDEX('D Fleet'!$D$5:$D$62,MATCH(N$3-$B94,'D Fleet'!$B$5:$B$62,0)),0)*IFERROR(INDEX('D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Fleet'!$D$5:$D$62,MATCH(E$3-$B95,'D Fleet'!$B$5:$B$62,0)),0)*IFERROR(INDEX('D Fleet'!$K$5:$K$36,INT(($B95/E$5))+1)+(($B95/E$5)-INT(($B95/E$5)))*(INDEX('D Fleet'!$K$5:$K$36,INT(($B95/E$5))+2)-INDEX('D Fleet'!$K$5:$K$36,INT(($B95/E$5))+1)),0)</f>
        <v/>
      </c>
      <c r="F95" s="276">
        <f>IFERROR(INDEX('D Fleet'!$D$5:$D$62,MATCH(F$3-$B95,'D Fleet'!$B$5:$B$62,0)),0)*IFERROR(INDEX('D Fleet'!$K$5:$K$36,INT(($B95/F$5))+1)+(($B95/F$5)-INT(($B95/F$5)))*(INDEX('D Fleet'!$K$5:$K$36,INT(($B95/F$5))+2)-INDEX('D Fleet'!$K$5:$K$36,INT(($B95/F$5))+1)),0)</f>
        <v/>
      </c>
      <c r="G95" s="276">
        <f>IFERROR(INDEX('D Fleet'!$D$5:$D$62,MATCH(G$3-$B95,'D Fleet'!$B$5:$B$62,0)),0)*IFERROR(INDEX('D Fleet'!$K$5:$K$36,INT(($B95/G$5))+1)+(($B95/G$5)-INT(($B95/G$5)))*(INDEX('D Fleet'!$K$5:$K$36,INT(($B95/G$5))+2)-INDEX('D Fleet'!$K$5:$K$36,INT(($B95/G$5))+1)),0)</f>
        <v/>
      </c>
      <c r="H95" s="276">
        <f>IFERROR(INDEX('D Fleet'!$D$5:$D$62,MATCH(H$3-$B95,'D Fleet'!$B$5:$B$62,0)),0)*IFERROR(INDEX('D Fleet'!$K$5:$K$36,INT(($B95/H$5))+1)+(($B95/H$5)-INT(($B95/H$5)))*(INDEX('D Fleet'!$K$5:$K$36,INT(($B95/H$5))+2)-INDEX('D Fleet'!$K$5:$K$36,INT(($B95/H$5))+1)),0)</f>
        <v/>
      </c>
      <c r="I95" s="276">
        <f>IFERROR(INDEX('D Fleet'!$D$5:$D$62,MATCH(I$3-$B95,'D Fleet'!$B$5:$B$62,0)),0)*IFERROR(INDEX('D Fleet'!$K$5:$K$36,INT(($B95/I$5))+1)+(($B95/I$5)-INT(($B95/I$5)))*(INDEX('D Fleet'!$K$5:$K$36,INT(($B95/I$5))+2)-INDEX('D Fleet'!$K$5:$K$36,INT(($B95/I$5))+1)),0)</f>
        <v/>
      </c>
      <c r="J95" s="276">
        <f>IFERROR(INDEX('D Fleet'!$D$5:$D$62,MATCH(J$3-$B95,'D Fleet'!$B$5:$B$62,0)),0)*IFERROR(INDEX('D Fleet'!$K$5:$K$36,INT(($B95/J$5))+1)+(($B95/J$5)-INT(($B95/J$5)))*(INDEX('D Fleet'!$K$5:$K$36,INT(($B95/J$5))+2)-INDEX('D Fleet'!$K$5:$K$36,INT(($B95/J$5))+1)),0)</f>
        <v/>
      </c>
      <c r="K95" s="276">
        <f>IFERROR(INDEX('D Fleet'!$D$5:$D$62,MATCH(K$3-$B95,'D Fleet'!$B$5:$B$62,0)),0)*IFERROR(INDEX('D Fleet'!$K$5:$K$36,INT(($B95/K$5))+1)+(($B95/K$5)-INT(($B95/K$5)))*(INDEX('D Fleet'!$K$5:$K$36,INT(($B95/K$5))+2)-INDEX('D Fleet'!$K$5:$K$36,INT(($B95/K$5))+1)),0)</f>
        <v/>
      </c>
      <c r="L95" s="276">
        <f>IFERROR(INDEX('D Fleet'!$D$5:$D$62,MATCH(L$3-$B95,'D Fleet'!$B$5:$B$62,0)),0)*IFERROR(INDEX('D Fleet'!$K$5:$K$36,INT(($B95/L$5))+1)+(($B95/L$5)-INT(($B95/L$5)))*(INDEX('D Fleet'!$K$5:$K$36,INT(($B95/L$5))+2)-INDEX('D Fleet'!$K$5:$K$36,INT(($B95/L$5))+1)),0)</f>
        <v/>
      </c>
      <c r="M95" s="276">
        <f>IFERROR(INDEX('D Fleet'!$D$5:$D$62,MATCH(M$3-$B95,'D Fleet'!$B$5:$B$62,0)),0)*IFERROR(INDEX('D Fleet'!$K$5:$K$36,INT(($B95/M$5))+1)+(($B95/M$5)-INT(($B95/M$5)))*(INDEX('D Fleet'!$K$5:$K$36,INT(($B95/M$5))+2)-INDEX('D Fleet'!$K$5:$K$36,INT(($B95/M$5))+1)),0)</f>
        <v/>
      </c>
      <c r="N95" s="276">
        <f>IFERROR(INDEX('D Fleet'!$D$5:$D$62,MATCH(N$3-$B95,'D Fleet'!$B$5:$B$62,0)),0)*IFERROR(INDEX('D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Fleet'!$D$5:$D$62,MATCH(E$3-$B96,'D Fleet'!$B$5:$B$62,0)),0)*IFERROR(INDEX('D Fleet'!$K$5:$K$36,INT(($B96/E$5))+1)+(($B96/E$5)-INT(($B96/E$5)))*(INDEX('D Fleet'!$K$5:$K$36,INT(($B96/E$5))+2)-INDEX('D Fleet'!$K$5:$K$36,INT(($B96/E$5))+1)),0)</f>
        <v/>
      </c>
      <c r="F96" s="276">
        <f>IFERROR(INDEX('D Fleet'!$D$5:$D$62,MATCH(F$3-$B96,'D Fleet'!$B$5:$B$62,0)),0)*IFERROR(INDEX('D Fleet'!$K$5:$K$36,INT(($B96/F$5))+1)+(($B96/F$5)-INT(($B96/F$5)))*(INDEX('D Fleet'!$K$5:$K$36,INT(($B96/F$5))+2)-INDEX('D Fleet'!$K$5:$K$36,INT(($B96/F$5))+1)),0)</f>
        <v/>
      </c>
      <c r="G96" s="276">
        <f>IFERROR(INDEX('D Fleet'!$D$5:$D$62,MATCH(G$3-$B96,'D Fleet'!$B$5:$B$62,0)),0)*IFERROR(INDEX('D Fleet'!$K$5:$K$36,INT(($B96/G$5))+1)+(($B96/G$5)-INT(($B96/G$5)))*(INDEX('D Fleet'!$K$5:$K$36,INT(($B96/G$5))+2)-INDEX('D Fleet'!$K$5:$K$36,INT(($B96/G$5))+1)),0)</f>
        <v/>
      </c>
      <c r="H96" s="276">
        <f>IFERROR(INDEX('D Fleet'!$D$5:$D$62,MATCH(H$3-$B96,'D Fleet'!$B$5:$B$62,0)),0)*IFERROR(INDEX('D Fleet'!$K$5:$K$36,INT(($B96/H$5))+1)+(($B96/H$5)-INT(($B96/H$5)))*(INDEX('D Fleet'!$K$5:$K$36,INT(($B96/H$5))+2)-INDEX('D Fleet'!$K$5:$K$36,INT(($B96/H$5))+1)),0)</f>
        <v/>
      </c>
      <c r="I96" s="276">
        <f>IFERROR(INDEX('D Fleet'!$D$5:$D$62,MATCH(I$3-$B96,'D Fleet'!$B$5:$B$62,0)),0)*IFERROR(INDEX('D Fleet'!$K$5:$K$36,INT(($B96/I$5))+1)+(($B96/I$5)-INT(($B96/I$5)))*(INDEX('D Fleet'!$K$5:$K$36,INT(($B96/I$5))+2)-INDEX('D Fleet'!$K$5:$K$36,INT(($B96/I$5))+1)),0)</f>
        <v/>
      </c>
      <c r="J96" s="276">
        <f>IFERROR(INDEX('D Fleet'!$D$5:$D$62,MATCH(J$3-$B96,'D Fleet'!$B$5:$B$62,0)),0)*IFERROR(INDEX('D Fleet'!$K$5:$K$36,INT(($B96/J$5))+1)+(($B96/J$5)-INT(($B96/J$5)))*(INDEX('D Fleet'!$K$5:$K$36,INT(($B96/J$5))+2)-INDEX('D Fleet'!$K$5:$K$36,INT(($B96/J$5))+1)),0)</f>
        <v/>
      </c>
      <c r="K96" s="276">
        <f>IFERROR(INDEX('D Fleet'!$D$5:$D$62,MATCH(K$3-$B96,'D Fleet'!$B$5:$B$62,0)),0)*IFERROR(INDEX('D Fleet'!$K$5:$K$36,INT(($B96/K$5))+1)+(($B96/K$5)-INT(($B96/K$5)))*(INDEX('D Fleet'!$K$5:$K$36,INT(($B96/K$5))+2)-INDEX('D Fleet'!$K$5:$K$36,INT(($B96/K$5))+1)),0)</f>
        <v/>
      </c>
      <c r="L96" s="276">
        <f>IFERROR(INDEX('D Fleet'!$D$5:$D$62,MATCH(L$3-$B96,'D Fleet'!$B$5:$B$62,0)),0)*IFERROR(INDEX('D Fleet'!$K$5:$K$36,INT(($B96/L$5))+1)+(($B96/L$5)-INT(($B96/L$5)))*(INDEX('D Fleet'!$K$5:$K$36,INT(($B96/L$5))+2)-INDEX('D Fleet'!$K$5:$K$36,INT(($B96/L$5))+1)),0)</f>
        <v/>
      </c>
      <c r="M96" s="276">
        <f>IFERROR(INDEX('D Fleet'!$D$5:$D$62,MATCH(M$3-$B96,'D Fleet'!$B$5:$B$62,0)),0)*IFERROR(INDEX('D Fleet'!$K$5:$K$36,INT(($B96/M$5))+1)+(($B96/M$5)-INT(($B96/M$5)))*(INDEX('D Fleet'!$K$5:$K$36,INT(($B96/M$5))+2)-INDEX('D Fleet'!$K$5:$K$36,INT(($B96/M$5))+1)),0)</f>
        <v/>
      </c>
      <c r="N96" s="276">
        <f>IFERROR(INDEX('D Fleet'!$D$5:$D$62,MATCH(N$3-$B96,'D Fleet'!$B$5:$B$62,0)),0)*IFERROR(INDEX('D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Fleet'!$D$5:$D$62,MATCH(E$3-$B97,'D Fleet'!$B$5:$B$62,0)),0)*IFERROR(INDEX('D Fleet'!$K$5:$K$36,INT(($B97/E$5))+1)+(($B97/E$5)-INT(($B97/E$5)))*(INDEX('D Fleet'!$K$5:$K$36,INT(($B97/E$5))+2)-INDEX('D Fleet'!$K$5:$K$36,INT(($B97/E$5))+1)),0)</f>
        <v/>
      </c>
      <c r="F97" s="276">
        <f>IFERROR(INDEX('D Fleet'!$D$5:$D$62,MATCH(F$3-$B97,'D Fleet'!$B$5:$B$62,0)),0)*IFERROR(INDEX('D Fleet'!$K$5:$K$36,INT(($B97/F$5))+1)+(($B97/F$5)-INT(($B97/F$5)))*(INDEX('D Fleet'!$K$5:$K$36,INT(($B97/F$5))+2)-INDEX('D Fleet'!$K$5:$K$36,INT(($B97/F$5))+1)),0)</f>
        <v/>
      </c>
      <c r="G97" s="276">
        <f>IFERROR(INDEX('D Fleet'!$D$5:$D$62,MATCH(G$3-$B97,'D Fleet'!$B$5:$B$62,0)),0)*IFERROR(INDEX('D Fleet'!$K$5:$K$36,INT(($B97/G$5))+1)+(($B97/G$5)-INT(($B97/G$5)))*(INDEX('D Fleet'!$K$5:$K$36,INT(($B97/G$5))+2)-INDEX('D Fleet'!$K$5:$K$36,INT(($B97/G$5))+1)),0)</f>
        <v/>
      </c>
      <c r="H97" s="276">
        <f>IFERROR(INDEX('D Fleet'!$D$5:$D$62,MATCH(H$3-$B97,'D Fleet'!$B$5:$B$62,0)),0)*IFERROR(INDEX('D Fleet'!$K$5:$K$36,INT(($B97/H$5))+1)+(($B97/H$5)-INT(($B97/H$5)))*(INDEX('D Fleet'!$K$5:$K$36,INT(($B97/H$5))+2)-INDEX('D Fleet'!$K$5:$K$36,INT(($B97/H$5))+1)),0)</f>
        <v/>
      </c>
      <c r="I97" s="276">
        <f>IFERROR(INDEX('D Fleet'!$D$5:$D$62,MATCH(I$3-$B97,'D Fleet'!$B$5:$B$62,0)),0)*IFERROR(INDEX('D Fleet'!$K$5:$K$36,INT(($B97/I$5))+1)+(($B97/I$5)-INT(($B97/I$5)))*(INDEX('D Fleet'!$K$5:$K$36,INT(($B97/I$5))+2)-INDEX('D Fleet'!$K$5:$K$36,INT(($B97/I$5))+1)),0)</f>
        <v/>
      </c>
      <c r="J97" s="276">
        <f>IFERROR(INDEX('D Fleet'!$D$5:$D$62,MATCH(J$3-$B97,'D Fleet'!$B$5:$B$62,0)),0)*IFERROR(INDEX('D Fleet'!$K$5:$K$36,INT(($B97/J$5))+1)+(($B97/J$5)-INT(($B97/J$5)))*(INDEX('D Fleet'!$K$5:$K$36,INT(($B97/J$5))+2)-INDEX('D Fleet'!$K$5:$K$36,INT(($B97/J$5))+1)),0)</f>
        <v/>
      </c>
      <c r="K97" s="276">
        <f>IFERROR(INDEX('D Fleet'!$D$5:$D$62,MATCH(K$3-$B97,'D Fleet'!$B$5:$B$62,0)),0)*IFERROR(INDEX('D Fleet'!$K$5:$K$36,INT(($B97/K$5))+1)+(($B97/K$5)-INT(($B97/K$5)))*(INDEX('D Fleet'!$K$5:$K$36,INT(($B97/K$5))+2)-INDEX('D Fleet'!$K$5:$K$36,INT(($B97/K$5))+1)),0)</f>
        <v/>
      </c>
      <c r="L97" s="276">
        <f>IFERROR(INDEX('D Fleet'!$D$5:$D$62,MATCH(L$3-$B97,'D Fleet'!$B$5:$B$62,0)),0)*IFERROR(INDEX('D Fleet'!$K$5:$K$36,INT(($B97/L$5))+1)+(($B97/L$5)-INT(($B97/L$5)))*(INDEX('D Fleet'!$K$5:$K$36,INT(($B97/L$5))+2)-INDEX('D Fleet'!$K$5:$K$36,INT(($B97/L$5))+1)),0)</f>
        <v/>
      </c>
      <c r="M97" s="276">
        <f>IFERROR(INDEX('D Fleet'!$D$5:$D$62,MATCH(M$3-$B97,'D Fleet'!$B$5:$B$62,0)),0)*IFERROR(INDEX('D Fleet'!$K$5:$K$36,INT(($B97/M$5))+1)+(($B97/M$5)-INT(($B97/M$5)))*(INDEX('D Fleet'!$K$5:$K$36,INT(($B97/M$5))+2)-INDEX('D Fleet'!$K$5:$K$36,INT(($B97/M$5))+1)),0)</f>
        <v/>
      </c>
      <c r="N97" s="276">
        <f>IFERROR(INDEX('D Fleet'!$D$5:$D$62,MATCH(N$3-$B97,'D Fleet'!$B$5:$B$62,0)),0)*IFERROR(INDEX('D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Fleet'!$D$5:$D$62,MATCH(E$3-$B98,'D Fleet'!$B$5:$B$62,0)),0)*IFERROR(INDEX('D Fleet'!$K$5:$K$36,INT(($B98/E$5))+1)+(($B98/E$5)-INT(($B98/E$5)))*(INDEX('D Fleet'!$K$5:$K$36,INT(($B98/E$5))+2)-INDEX('D Fleet'!$K$5:$K$36,INT(($B98/E$5))+1)),0)</f>
        <v/>
      </c>
      <c r="F98" s="276">
        <f>IFERROR(INDEX('D Fleet'!$D$5:$D$62,MATCH(F$3-$B98,'D Fleet'!$B$5:$B$62,0)),0)*IFERROR(INDEX('D Fleet'!$K$5:$K$36,INT(($B98/F$5))+1)+(($B98/F$5)-INT(($B98/F$5)))*(INDEX('D Fleet'!$K$5:$K$36,INT(($B98/F$5))+2)-INDEX('D Fleet'!$K$5:$K$36,INT(($B98/F$5))+1)),0)</f>
        <v/>
      </c>
      <c r="G98" s="276">
        <f>IFERROR(INDEX('D Fleet'!$D$5:$D$62,MATCH(G$3-$B98,'D Fleet'!$B$5:$B$62,0)),0)*IFERROR(INDEX('D Fleet'!$K$5:$K$36,INT(($B98/G$5))+1)+(($B98/G$5)-INT(($B98/G$5)))*(INDEX('D Fleet'!$K$5:$K$36,INT(($B98/G$5))+2)-INDEX('D Fleet'!$K$5:$K$36,INT(($B98/G$5))+1)),0)</f>
        <v/>
      </c>
      <c r="H98" s="276">
        <f>IFERROR(INDEX('D Fleet'!$D$5:$D$62,MATCH(H$3-$B98,'D Fleet'!$B$5:$B$62,0)),0)*IFERROR(INDEX('D Fleet'!$K$5:$K$36,INT(($B98/H$5))+1)+(($B98/H$5)-INT(($B98/H$5)))*(INDEX('D Fleet'!$K$5:$K$36,INT(($B98/H$5))+2)-INDEX('D Fleet'!$K$5:$K$36,INT(($B98/H$5))+1)),0)</f>
        <v/>
      </c>
      <c r="I98" s="276">
        <f>IFERROR(INDEX('D Fleet'!$D$5:$D$62,MATCH(I$3-$B98,'D Fleet'!$B$5:$B$62,0)),0)*IFERROR(INDEX('D Fleet'!$K$5:$K$36,INT(($B98/I$5))+1)+(($B98/I$5)-INT(($B98/I$5)))*(INDEX('D Fleet'!$K$5:$K$36,INT(($B98/I$5))+2)-INDEX('D Fleet'!$K$5:$K$36,INT(($B98/I$5))+1)),0)</f>
        <v/>
      </c>
      <c r="J98" s="276">
        <f>IFERROR(INDEX('D Fleet'!$D$5:$D$62,MATCH(J$3-$B98,'D Fleet'!$B$5:$B$62,0)),0)*IFERROR(INDEX('D Fleet'!$K$5:$K$36,INT(($B98/J$5))+1)+(($B98/J$5)-INT(($B98/J$5)))*(INDEX('D Fleet'!$K$5:$K$36,INT(($B98/J$5))+2)-INDEX('D Fleet'!$K$5:$K$36,INT(($B98/J$5))+1)),0)</f>
        <v/>
      </c>
      <c r="K98" s="276">
        <f>IFERROR(INDEX('D Fleet'!$D$5:$D$62,MATCH(K$3-$B98,'D Fleet'!$B$5:$B$62,0)),0)*IFERROR(INDEX('D Fleet'!$K$5:$K$36,INT(($B98/K$5))+1)+(($B98/K$5)-INT(($B98/K$5)))*(INDEX('D Fleet'!$K$5:$K$36,INT(($B98/K$5))+2)-INDEX('D Fleet'!$K$5:$K$36,INT(($B98/K$5))+1)),0)</f>
        <v/>
      </c>
      <c r="L98" s="276">
        <f>IFERROR(INDEX('D Fleet'!$D$5:$D$62,MATCH(L$3-$B98,'D Fleet'!$B$5:$B$62,0)),0)*IFERROR(INDEX('D Fleet'!$K$5:$K$36,INT(($B98/L$5))+1)+(($B98/L$5)-INT(($B98/L$5)))*(INDEX('D Fleet'!$K$5:$K$36,INT(($B98/L$5))+2)-INDEX('D Fleet'!$K$5:$K$36,INT(($B98/L$5))+1)),0)</f>
        <v/>
      </c>
      <c r="M98" s="276">
        <f>IFERROR(INDEX('D Fleet'!$D$5:$D$62,MATCH(M$3-$B98,'D Fleet'!$B$5:$B$62,0)),0)*IFERROR(INDEX('D Fleet'!$K$5:$K$36,INT(($B98/M$5))+1)+(($B98/M$5)-INT(($B98/M$5)))*(INDEX('D Fleet'!$K$5:$K$36,INT(($B98/M$5))+2)-INDEX('D Fleet'!$K$5:$K$36,INT(($B98/M$5))+1)),0)</f>
        <v/>
      </c>
      <c r="N98" s="276">
        <f>IFERROR(INDEX('D Fleet'!$D$5:$D$62,MATCH(N$3-$B98,'D Fleet'!$B$5:$B$62,0)),0)*IFERROR(INDEX('D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Fleet'!$E$5:$E$62,MATCH(E$3-$B99,'D Fleet'!$B$5:$B$62,0)),0)*IFERROR(INDEX('D Fleet'!$K$5:$K$36,INT(($B99/E$5))+1)+(($B99/E$5)-INT(($B99/E$5)))*(INDEX('D Fleet'!$K$5:$K$36,INT(($B99/E$5))+2)-INDEX('D Fleet'!$K$5:$K$36,INT(($B99/E$5))+1)),0)</f>
        <v/>
      </c>
      <c r="F99" s="276">
        <f>IFERROR(INDEX('D Fleet'!$E$5:$E$62,MATCH(F$3-$B99,'D Fleet'!$B$5:$B$62,0)),0)*IFERROR(INDEX('D Fleet'!$K$5:$K$36,INT(($B99/F$5))+1)+(($B99/F$5)-INT(($B99/F$5)))*(INDEX('D Fleet'!$K$5:$K$36,INT(($B99/F$5))+2)-INDEX('D Fleet'!$K$5:$K$36,INT(($B99/F$5))+1)),0)</f>
        <v/>
      </c>
      <c r="G99" s="276">
        <f>IFERROR(INDEX('D Fleet'!$E$5:$E$62,MATCH(G$3-$B99,'D Fleet'!$B$5:$B$62,0)),0)*IFERROR(INDEX('D Fleet'!$K$5:$K$36,INT(($B99/G$5))+1)+(($B99/G$5)-INT(($B99/G$5)))*(INDEX('D Fleet'!$K$5:$K$36,INT(($B99/G$5))+2)-INDEX('D Fleet'!$K$5:$K$36,INT(($B99/G$5))+1)),0)</f>
        <v/>
      </c>
      <c r="H99" s="276">
        <f>IFERROR(INDEX('D Fleet'!$E$5:$E$62,MATCH(H$3-$B99,'D Fleet'!$B$5:$B$62,0)),0)*IFERROR(INDEX('D Fleet'!$K$5:$K$36,INT(($B99/H$5))+1)+(($B99/H$5)-INT(($B99/H$5)))*(INDEX('D Fleet'!$K$5:$K$36,INT(($B99/H$5))+2)-INDEX('D Fleet'!$K$5:$K$36,INT(($B99/H$5))+1)),0)</f>
        <v/>
      </c>
      <c r="I99" s="276">
        <f>IFERROR(INDEX('D Fleet'!$E$5:$E$62,MATCH(I$3-$B99,'D Fleet'!$B$5:$B$62,0)),0)*IFERROR(INDEX('D Fleet'!$K$5:$K$36,INT(($B99/I$5))+1)+(($B99/I$5)-INT(($B99/I$5)))*(INDEX('D Fleet'!$K$5:$K$36,INT(($B99/I$5))+2)-INDEX('D Fleet'!$K$5:$K$36,INT(($B99/I$5))+1)),0)</f>
        <v/>
      </c>
      <c r="J99" s="276">
        <f>IFERROR(INDEX('D Fleet'!$E$5:$E$62,MATCH(J$3-$B99,'D Fleet'!$B$5:$B$62,0)),0)*IFERROR(INDEX('D Fleet'!$K$5:$K$36,INT(($B99/J$5))+1)+(($B99/J$5)-INT(($B99/J$5)))*(INDEX('D Fleet'!$K$5:$K$36,INT(($B99/J$5))+2)-INDEX('D Fleet'!$K$5:$K$36,INT(($B99/J$5))+1)),0)</f>
        <v/>
      </c>
      <c r="K99" s="276">
        <f>IFERROR(INDEX('D Fleet'!$E$5:$E$62,MATCH(K$3-$B99,'D Fleet'!$B$5:$B$62,0)),0)*IFERROR(INDEX('D Fleet'!$K$5:$K$36,INT(($B99/K$5))+1)+(($B99/K$5)-INT(($B99/K$5)))*(INDEX('D Fleet'!$K$5:$K$36,INT(($B99/K$5))+2)-INDEX('D Fleet'!$K$5:$K$36,INT(($B99/K$5))+1)),0)</f>
        <v/>
      </c>
      <c r="L99" s="276">
        <f>IFERROR(INDEX('D Fleet'!$E$5:$E$62,MATCH(L$3-$B99,'D Fleet'!$B$5:$B$62,0)),0)*IFERROR(INDEX('D Fleet'!$K$5:$K$36,INT(($B99/L$5))+1)+(($B99/L$5)-INT(($B99/L$5)))*(INDEX('D Fleet'!$K$5:$K$36,INT(($B99/L$5))+2)-INDEX('D Fleet'!$K$5:$K$36,INT(($B99/L$5))+1)),0)</f>
        <v/>
      </c>
      <c r="M99" s="276">
        <f>IFERROR(INDEX('D Fleet'!$E$5:$E$62,MATCH(M$3-$B99,'D Fleet'!$B$5:$B$62,0)),0)*IFERROR(INDEX('D Fleet'!$K$5:$K$36,INT(($B99/M$5))+1)+(($B99/M$5)-INT(($B99/M$5)))*(INDEX('D Fleet'!$K$5:$K$36,INT(($B99/M$5))+2)-INDEX('D Fleet'!$K$5:$K$36,INT(($B99/M$5))+1)),0)</f>
        <v/>
      </c>
      <c r="N99" s="276">
        <f>IFERROR(INDEX('D Fleet'!$E$5:$E$62,MATCH(N$3-$B99,'D Fleet'!$B$5:$B$62,0)),0)*IFERROR(INDEX('D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Fleet'!$E$5:$E$62,MATCH(E$3-$B100,'D Fleet'!$B$5:$B$62,0)),0)*IFERROR(INDEX('D Fleet'!$K$5:$K$36,INT(($B100/E$5))+1)+(($B100/E$5)-INT(($B100/E$5)))*(INDEX('D Fleet'!$K$5:$K$36,INT(($B100/E$5))+2)-INDEX('D Fleet'!$K$5:$K$36,INT(($B100/E$5))+1)),0)</f>
        <v/>
      </c>
      <c r="F100" s="276">
        <f>IFERROR(INDEX('D Fleet'!$E$5:$E$62,MATCH(F$3-$B100,'D Fleet'!$B$5:$B$62,0)),0)*IFERROR(INDEX('D Fleet'!$K$5:$K$36,INT(($B100/F$5))+1)+(($B100/F$5)-INT(($B100/F$5)))*(INDEX('D Fleet'!$K$5:$K$36,INT(($B100/F$5))+2)-INDEX('D Fleet'!$K$5:$K$36,INT(($B100/F$5))+1)),0)</f>
        <v/>
      </c>
      <c r="G100" s="276">
        <f>IFERROR(INDEX('D Fleet'!$E$5:$E$62,MATCH(G$3-$B100,'D Fleet'!$B$5:$B$62,0)),0)*IFERROR(INDEX('D Fleet'!$K$5:$K$36,INT(($B100/G$5))+1)+(($B100/G$5)-INT(($B100/G$5)))*(INDEX('D Fleet'!$K$5:$K$36,INT(($B100/G$5))+2)-INDEX('D Fleet'!$K$5:$K$36,INT(($B100/G$5))+1)),0)</f>
        <v/>
      </c>
      <c r="H100" s="276">
        <f>IFERROR(INDEX('D Fleet'!$E$5:$E$62,MATCH(H$3-$B100,'D Fleet'!$B$5:$B$62,0)),0)*IFERROR(INDEX('D Fleet'!$K$5:$K$36,INT(($B100/H$5))+1)+(($B100/H$5)-INT(($B100/H$5)))*(INDEX('D Fleet'!$K$5:$K$36,INT(($B100/H$5))+2)-INDEX('D Fleet'!$K$5:$K$36,INT(($B100/H$5))+1)),0)</f>
        <v/>
      </c>
      <c r="I100" s="276">
        <f>IFERROR(INDEX('D Fleet'!$E$5:$E$62,MATCH(I$3-$B100,'D Fleet'!$B$5:$B$62,0)),0)*IFERROR(INDEX('D Fleet'!$K$5:$K$36,INT(($B100/I$5))+1)+(($B100/I$5)-INT(($B100/I$5)))*(INDEX('D Fleet'!$K$5:$K$36,INT(($B100/I$5))+2)-INDEX('D Fleet'!$K$5:$K$36,INT(($B100/I$5))+1)),0)</f>
        <v/>
      </c>
      <c r="J100" s="276">
        <f>IFERROR(INDEX('D Fleet'!$E$5:$E$62,MATCH(J$3-$B100,'D Fleet'!$B$5:$B$62,0)),0)*IFERROR(INDEX('D Fleet'!$K$5:$K$36,INT(($B100/J$5))+1)+(($B100/J$5)-INT(($B100/J$5)))*(INDEX('D Fleet'!$K$5:$K$36,INT(($B100/J$5))+2)-INDEX('D Fleet'!$K$5:$K$36,INT(($B100/J$5))+1)),0)</f>
        <v/>
      </c>
      <c r="K100" s="276">
        <f>IFERROR(INDEX('D Fleet'!$E$5:$E$62,MATCH(K$3-$B100,'D Fleet'!$B$5:$B$62,0)),0)*IFERROR(INDEX('D Fleet'!$K$5:$K$36,INT(($B100/K$5))+1)+(($B100/K$5)-INT(($B100/K$5)))*(INDEX('D Fleet'!$K$5:$K$36,INT(($B100/K$5))+2)-INDEX('D Fleet'!$K$5:$K$36,INT(($B100/K$5))+1)),0)</f>
        <v/>
      </c>
      <c r="L100" s="276">
        <f>IFERROR(INDEX('D Fleet'!$E$5:$E$62,MATCH(L$3-$B100,'D Fleet'!$B$5:$B$62,0)),0)*IFERROR(INDEX('D Fleet'!$K$5:$K$36,INT(($B100/L$5))+1)+(($B100/L$5)-INT(($B100/L$5)))*(INDEX('D Fleet'!$K$5:$K$36,INT(($B100/L$5))+2)-INDEX('D Fleet'!$K$5:$K$36,INT(($B100/L$5))+1)),0)</f>
        <v/>
      </c>
      <c r="M100" s="276">
        <f>IFERROR(INDEX('D Fleet'!$E$5:$E$62,MATCH(M$3-$B100,'D Fleet'!$B$5:$B$62,0)),0)*IFERROR(INDEX('D Fleet'!$K$5:$K$36,INT(($B100/M$5))+1)+(($B100/M$5)-INT(($B100/M$5)))*(INDEX('D Fleet'!$K$5:$K$36,INT(($B100/M$5))+2)-INDEX('D Fleet'!$K$5:$K$36,INT(($B100/M$5))+1)),0)</f>
        <v/>
      </c>
      <c r="N100" s="276">
        <f>IFERROR(INDEX('D Fleet'!$E$5:$E$62,MATCH(N$3-$B100,'D Fleet'!$B$5:$B$62,0)),0)*IFERROR(INDEX('D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Fleet'!$E$5:$E$62,MATCH(E$3-$B101,'D Fleet'!$B$5:$B$62,0)),0)*IFERROR(INDEX('D Fleet'!$K$5:$K$36,INT(($B101/E$5))+1)+(($B101/E$5)-INT(($B101/E$5)))*(INDEX('D Fleet'!$K$5:$K$36,INT(($B101/E$5))+2)-INDEX('D Fleet'!$K$5:$K$36,INT(($B101/E$5))+1)),0)</f>
        <v/>
      </c>
      <c r="F101" s="276">
        <f>IFERROR(INDEX('D Fleet'!$E$5:$E$62,MATCH(F$3-$B101,'D Fleet'!$B$5:$B$62,0)),0)*IFERROR(INDEX('D Fleet'!$K$5:$K$36,INT(($B101/F$5))+1)+(($B101/F$5)-INT(($B101/F$5)))*(INDEX('D Fleet'!$K$5:$K$36,INT(($B101/F$5))+2)-INDEX('D Fleet'!$K$5:$K$36,INT(($B101/F$5))+1)),0)</f>
        <v/>
      </c>
      <c r="G101" s="276">
        <f>IFERROR(INDEX('D Fleet'!$E$5:$E$62,MATCH(G$3-$B101,'D Fleet'!$B$5:$B$62,0)),0)*IFERROR(INDEX('D Fleet'!$K$5:$K$36,INT(($B101/G$5))+1)+(($B101/G$5)-INT(($B101/G$5)))*(INDEX('D Fleet'!$K$5:$K$36,INT(($B101/G$5))+2)-INDEX('D Fleet'!$K$5:$K$36,INT(($B101/G$5))+1)),0)</f>
        <v/>
      </c>
      <c r="H101" s="276">
        <f>IFERROR(INDEX('D Fleet'!$E$5:$E$62,MATCH(H$3-$B101,'D Fleet'!$B$5:$B$62,0)),0)*IFERROR(INDEX('D Fleet'!$K$5:$K$36,INT(($B101/H$5))+1)+(($B101/H$5)-INT(($B101/H$5)))*(INDEX('D Fleet'!$K$5:$K$36,INT(($B101/H$5))+2)-INDEX('D Fleet'!$K$5:$K$36,INT(($B101/H$5))+1)),0)</f>
        <v/>
      </c>
      <c r="I101" s="276">
        <f>IFERROR(INDEX('D Fleet'!$E$5:$E$62,MATCH(I$3-$B101,'D Fleet'!$B$5:$B$62,0)),0)*IFERROR(INDEX('D Fleet'!$K$5:$K$36,INT(($B101/I$5))+1)+(($B101/I$5)-INT(($B101/I$5)))*(INDEX('D Fleet'!$K$5:$K$36,INT(($B101/I$5))+2)-INDEX('D Fleet'!$K$5:$K$36,INT(($B101/I$5))+1)),0)</f>
        <v/>
      </c>
      <c r="J101" s="276">
        <f>IFERROR(INDEX('D Fleet'!$E$5:$E$62,MATCH(J$3-$B101,'D Fleet'!$B$5:$B$62,0)),0)*IFERROR(INDEX('D Fleet'!$K$5:$K$36,INT(($B101/J$5))+1)+(($B101/J$5)-INT(($B101/J$5)))*(INDEX('D Fleet'!$K$5:$K$36,INT(($B101/J$5))+2)-INDEX('D Fleet'!$K$5:$K$36,INT(($B101/J$5))+1)),0)</f>
        <v/>
      </c>
      <c r="K101" s="276">
        <f>IFERROR(INDEX('D Fleet'!$E$5:$E$62,MATCH(K$3-$B101,'D Fleet'!$B$5:$B$62,0)),0)*IFERROR(INDEX('D Fleet'!$K$5:$K$36,INT(($B101/K$5))+1)+(($B101/K$5)-INT(($B101/K$5)))*(INDEX('D Fleet'!$K$5:$K$36,INT(($B101/K$5))+2)-INDEX('D Fleet'!$K$5:$K$36,INT(($B101/K$5))+1)),0)</f>
        <v/>
      </c>
      <c r="L101" s="276">
        <f>IFERROR(INDEX('D Fleet'!$E$5:$E$62,MATCH(L$3-$B101,'D Fleet'!$B$5:$B$62,0)),0)*IFERROR(INDEX('D Fleet'!$K$5:$K$36,INT(($B101/L$5))+1)+(($B101/L$5)-INT(($B101/L$5)))*(INDEX('D Fleet'!$K$5:$K$36,INT(($B101/L$5))+2)-INDEX('D Fleet'!$K$5:$K$36,INT(($B101/L$5))+1)),0)</f>
        <v/>
      </c>
      <c r="M101" s="276">
        <f>IFERROR(INDEX('D Fleet'!$E$5:$E$62,MATCH(M$3-$B101,'D Fleet'!$B$5:$B$62,0)),0)*IFERROR(INDEX('D Fleet'!$K$5:$K$36,INT(($B101/M$5))+1)+(($B101/M$5)-INT(($B101/M$5)))*(INDEX('D Fleet'!$K$5:$K$36,INT(($B101/M$5))+2)-INDEX('D Fleet'!$K$5:$K$36,INT(($B101/M$5))+1)),0)</f>
        <v/>
      </c>
      <c r="N101" s="276">
        <f>IFERROR(INDEX('D Fleet'!$E$5:$E$62,MATCH(N$3-$B101,'D Fleet'!$B$5:$B$62,0)),0)*IFERROR(INDEX('D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Fleet'!$E$5:$E$62,MATCH(E$3-$B102,'D Fleet'!$B$5:$B$62,0)),0)*IFERROR(INDEX('D Fleet'!$K$5:$K$36,INT(($B102/E$5))+1)+(($B102/E$5)-INT(($B102/E$5)))*(INDEX('D Fleet'!$K$5:$K$36,INT(($B102/E$5))+2)-INDEX('D Fleet'!$K$5:$K$36,INT(($B102/E$5))+1)),0)</f>
        <v/>
      </c>
      <c r="F102" s="276">
        <f>IFERROR(INDEX('D Fleet'!$E$5:$E$62,MATCH(F$3-$B102,'D Fleet'!$B$5:$B$62,0)),0)*IFERROR(INDEX('D Fleet'!$K$5:$K$36,INT(($B102/F$5))+1)+(($B102/F$5)-INT(($B102/F$5)))*(INDEX('D Fleet'!$K$5:$K$36,INT(($B102/F$5))+2)-INDEX('D Fleet'!$K$5:$K$36,INT(($B102/F$5))+1)),0)</f>
        <v/>
      </c>
      <c r="G102" s="276">
        <f>IFERROR(INDEX('D Fleet'!$E$5:$E$62,MATCH(G$3-$B102,'D Fleet'!$B$5:$B$62,0)),0)*IFERROR(INDEX('D Fleet'!$K$5:$K$36,INT(($B102/G$5))+1)+(($B102/G$5)-INT(($B102/G$5)))*(INDEX('D Fleet'!$K$5:$K$36,INT(($B102/G$5))+2)-INDEX('D Fleet'!$K$5:$K$36,INT(($B102/G$5))+1)),0)</f>
        <v/>
      </c>
      <c r="H102" s="276">
        <f>IFERROR(INDEX('D Fleet'!$E$5:$E$62,MATCH(H$3-$B102,'D Fleet'!$B$5:$B$62,0)),0)*IFERROR(INDEX('D Fleet'!$K$5:$K$36,INT(($B102/H$5))+1)+(($B102/H$5)-INT(($B102/H$5)))*(INDEX('D Fleet'!$K$5:$K$36,INT(($B102/H$5))+2)-INDEX('D Fleet'!$K$5:$K$36,INT(($B102/H$5))+1)),0)</f>
        <v/>
      </c>
      <c r="I102" s="276">
        <f>IFERROR(INDEX('D Fleet'!$E$5:$E$62,MATCH(I$3-$B102,'D Fleet'!$B$5:$B$62,0)),0)*IFERROR(INDEX('D Fleet'!$K$5:$K$36,INT(($B102/I$5))+1)+(($B102/I$5)-INT(($B102/I$5)))*(INDEX('D Fleet'!$K$5:$K$36,INT(($B102/I$5))+2)-INDEX('D Fleet'!$K$5:$K$36,INT(($B102/I$5))+1)),0)</f>
        <v/>
      </c>
      <c r="J102" s="276">
        <f>IFERROR(INDEX('D Fleet'!$E$5:$E$62,MATCH(J$3-$B102,'D Fleet'!$B$5:$B$62,0)),0)*IFERROR(INDEX('D Fleet'!$K$5:$K$36,INT(($B102/J$5))+1)+(($B102/J$5)-INT(($B102/J$5)))*(INDEX('D Fleet'!$K$5:$K$36,INT(($B102/J$5))+2)-INDEX('D Fleet'!$K$5:$K$36,INT(($B102/J$5))+1)),0)</f>
        <v/>
      </c>
      <c r="K102" s="276">
        <f>IFERROR(INDEX('D Fleet'!$E$5:$E$62,MATCH(K$3-$B102,'D Fleet'!$B$5:$B$62,0)),0)*IFERROR(INDEX('D Fleet'!$K$5:$K$36,INT(($B102/K$5))+1)+(($B102/K$5)-INT(($B102/K$5)))*(INDEX('D Fleet'!$K$5:$K$36,INT(($B102/K$5))+2)-INDEX('D Fleet'!$K$5:$K$36,INT(($B102/K$5))+1)),0)</f>
        <v/>
      </c>
      <c r="L102" s="276">
        <f>IFERROR(INDEX('D Fleet'!$E$5:$E$62,MATCH(L$3-$B102,'D Fleet'!$B$5:$B$62,0)),0)*IFERROR(INDEX('D Fleet'!$K$5:$K$36,INT(($B102/L$5))+1)+(($B102/L$5)-INT(($B102/L$5)))*(INDEX('D Fleet'!$K$5:$K$36,INT(($B102/L$5))+2)-INDEX('D Fleet'!$K$5:$K$36,INT(($B102/L$5))+1)),0)</f>
        <v/>
      </c>
      <c r="M102" s="276">
        <f>IFERROR(INDEX('D Fleet'!$E$5:$E$62,MATCH(M$3-$B102,'D Fleet'!$B$5:$B$62,0)),0)*IFERROR(INDEX('D Fleet'!$K$5:$K$36,INT(($B102/M$5))+1)+(($B102/M$5)-INT(($B102/M$5)))*(INDEX('D Fleet'!$K$5:$K$36,INT(($B102/M$5))+2)-INDEX('D Fleet'!$K$5:$K$36,INT(($B102/M$5))+1)),0)</f>
        <v/>
      </c>
      <c r="N102" s="276">
        <f>IFERROR(INDEX('D Fleet'!$E$5:$E$62,MATCH(N$3-$B102,'D Fleet'!$B$5:$B$62,0)),0)*IFERROR(INDEX('D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Fleet'!$E$5:$E$62,MATCH(E$3-$B103,'D Fleet'!$B$5:$B$62,0)),0)*IFERROR(INDEX('D Fleet'!$K$5:$K$36,INT(($B103/E$5))+1)+(($B103/E$5)-INT(($B103/E$5)))*(INDEX('D Fleet'!$K$5:$K$36,INT(($B103/E$5))+2)-INDEX('D Fleet'!$K$5:$K$36,INT(($B103/E$5))+1)),0)</f>
        <v/>
      </c>
      <c r="F103" s="276">
        <f>IFERROR(INDEX('D Fleet'!$E$5:$E$62,MATCH(F$3-$B103,'D Fleet'!$B$5:$B$62,0)),0)*IFERROR(INDEX('D Fleet'!$K$5:$K$36,INT(($B103/F$5))+1)+(($B103/F$5)-INT(($B103/F$5)))*(INDEX('D Fleet'!$K$5:$K$36,INT(($B103/F$5))+2)-INDEX('D Fleet'!$K$5:$K$36,INT(($B103/F$5))+1)),0)</f>
        <v/>
      </c>
      <c r="G103" s="276">
        <f>IFERROR(INDEX('D Fleet'!$E$5:$E$62,MATCH(G$3-$B103,'D Fleet'!$B$5:$B$62,0)),0)*IFERROR(INDEX('D Fleet'!$K$5:$K$36,INT(($B103/G$5))+1)+(($B103/G$5)-INT(($B103/G$5)))*(INDEX('D Fleet'!$K$5:$K$36,INT(($B103/G$5))+2)-INDEX('D Fleet'!$K$5:$K$36,INT(($B103/G$5))+1)),0)</f>
        <v/>
      </c>
      <c r="H103" s="276">
        <f>IFERROR(INDEX('D Fleet'!$E$5:$E$62,MATCH(H$3-$B103,'D Fleet'!$B$5:$B$62,0)),0)*IFERROR(INDEX('D Fleet'!$K$5:$K$36,INT(($B103/H$5))+1)+(($B103/H$5)-INT(($B103/H$5)))*(INDEX('D Fleet'!$K$5:$K$36,INT(($B103/H$5))+2)-INDEX('D Fleet'!$K$5:$K$36,INT(($B103/H$5))+1)),0)</f>
        <v/>
      </c>
      <c r="I103" s="276">
        <f>IFERROR(INDEX('D Fleet'!$E$5:$E$62,MATCH(I$3-$B103,'D Fleet'!$B$5:$B$62,0)),0)*IFERROR(INDEX('D Fleet'!$K$5:$K$36,INT(($B103/I$5))+1)+(($B103/I$5)-INT(($B103/I$5)))*(INDEX('D Fleet'!$K$5:$K$36,INT(($B103/I$5))+2)-INDEX('D Fleet'!$K$5:$K$36,INT(($B103/I$5))+1)),0)</f>
        <v/>
      </c>
      <c r="J103" s="276">
        <f>IFERROR(INDEX('D Fleet'!$E$5:$E$62,MATCH(J$3-$B103,'D Fleet'!$B$5:$B$62,0)),0)*IFERROR(INDEX('D Fleet'!$K$5:$K$36,INT(($B103/J$5))+1)+(($B103/J$5)-INT(($B103/J$5)))*(INDEX('D Fleet'!$K$5:$K$36,INT(($B103/J$5))+2)-INDEX('D Fleet'!$K$5:$K$36,INT(($B103/J$5))+1)),0)</f>
        <v/>
      </c>
      <c r="K103" s="276">
        <f>IFERROR(INDEX('D Fleet'!$E$5:$E$62,MATCH(K$3-$B103,'D Fleet'!$B$5:$B$62,0)),0)*IFERROR(INDEX('D Fleet'!$K$5:$K$36,INT(($B103/K$5))+1)+(($B103/K$5)-INT(($B103/K$5)))*(INDEX('D Fleet'!$K$5:$K$36,INT(($B103/K$5))+2)-INDEX('D Fleet'!$K$5:$K$36,INT(($B103/K$5))+1)),0)</f>
        <v/>
      </c>
      <c r="L103" s="276">
        <f>IFERROR(INDEX('D Fleet'!$E$5:$E$62,MATCH(L$3-$B103,'D Fleet'!$B$5:$B$62,0)),0)*IFERROR(INDEX('D Fleet'!$K$5:$K$36,INT(($B103/L$5))+1)+(($B103/L$5)-INT(($B103/L$5)))*(INDEX('D Fleet'!$K$5:$K$36,INT(($B103/L$5))+2)-INDEX('D Fleet'!$K$5:$K$36,INT(($B103/L$5))+1)),0)</f>
        <v/>
      </c>
      <c r="M103" s="276">
        <f>IFERROR(INDEX('D Fleet'!$E$5:$E$62,MATCH(M$3-$B103,'D Fleet'!$B$5:$B$62,0)),0)*IFERROR(INDEX('D Fleet'!$K$5:$K$36,INT(($B103/M$5))+1)+(($B103/M$5)-INT(($B103/M$5)))*(INDEX('D Fleet'!$K$5:$K$36,INT(($B103/M$5))+2)-INDEX('D Fleet'!$K$5:$K$36,INT(($B103/M$5))+1)),0)</f>
        <v/>
      </c>
      <c r="N103" s="276">
        <f>IFERROR(INDEX('D Fleet'!$E$5:$E$62,MATCH(N$3-$B103,'D Fleet'!$B$5:$B$62,0)),0)*IFERROR(INDEX('D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Fleet'!$E$5:$E$62,MATCH(E$3-$B104,'D Fleet'!$B$5:$B$62,0)),0)*IFERROR(INDEX('D Fleet'!$K$5:$K$36,INT(($B104/E$5))+1)+(($B104/E$5)-INT(($B104/E$5)))*(INDEX('D Fleet'!$K$5:$K$36,INT(($B104/E$5))+2)-INDEX('D Fleet'!$K$5:$K$36,INT(($B104/E$5))+1)),0)</f>
        <v/>
      </c>
      <c r="F104" s="276">
        <f>IFERROR(INDEX('D Fleet'!$E$5:$E$62,MATCH(F$3-$B104,'D Fleet'!$B$5:$B$62,0)),0)*IFERROR(INDEX('D Fleet'!$K$5:$K$36,INT(($B104/F$5))+1)+(($B104/F$5)-INT(($B104/F$5)))*(INDEX('D Fleet'!$K$5:$K$36,INT(($B104/F$5))+2)-INDEX('D Fleet'!$K$5:$K$36,INT(($B104/F$5))+1)),0)</f>
        <v/>
      </c>
      <c r="G104" s="276">
        <f>IFERROR(INDEX('D Fleet'!$E$5:$E$62,MATCH(G$3-$B104,'D Fleet'!$B$5:$B$62,0)),0)*IFERROR(INDEX('D Fleet'!$K$5:$K$36,INT(($B104/G$5))+1)+(($B104/G$5)-INT(($B104/G$5)))*(INDEX('D Fleet'!$K$5:$K$36,INT(($B104/G$5))+2)-INDEX('D Fleet'!$K$5:$K$36,INT(($B104/G$5))+1)),0)</f>
        <v/>
      </c>
      <c r="H104" s="276">
        <f>IFERROR(INDEX('D Fleet'!$E$5:$E$62,MATCH(H$3-$B104,'D Fleet'!$B$5:$B$62,0)),0)*IFERROR(INDEX('D Fleet'!$K$5:$K$36,INT(($B104/H$5))+1)+(($B104/H$5)-INT(($B104/H$5)))*(INDEX('D Fleet'!$K$5:$K$36,INT(($B104/H$5))+2)-INDEX('D Fleet'!$K$5:$K$36,INT(($B104/H$5))+1)),0)</f>
        <v/>
      </c>
      <c r="I104" s="276">
        <f>IFERROR(INDEX('D Fleet'!$E$5:$E$62,MATCH(I$3-$B104,'D Fleet'!$B$5:$B$62,0)),0)*IFERROR(INDEX('D Fleet'!$K$5:$K$36,INT(($B104/I$5))+1)+(($B104/I$5)-INT(($B104/I$5)))*(INDEX('D Fleet'!$K$5:$K$36,INT(($B104/I$5))+2)-INDEX('D Fleet'!$K$5:$K$36,INT(($B104/I$5))+1)),0)</f>
        <v/>
      </c>
      <c r="J104" s="276">
        <f>IFERROR(INDEX('D Fleet'!$E$5:$E$62,MATCH(J$3-$B104,'D Fleet'!$B$5:$B$62,0)),0)*IFERROR(INDEX('D Fleet'!$K$5:$K$36,INT(($B104/J$5))+1)+(($B104/J$5)-INT(($B104/J$5)))*(INDEX('D Fleet'!$K$5:$K$36,INT(($B104/J$5))+2)-INDEX('D Fleet'!$K$5:$K$36,INT(($B104/J$5))+1)),0)</f>
        <v/>
      </c>
      <c r="K104" s="276">
        <f>IFERROR(INDEX('D Fleet'!$E$5:$E$62,MATCH(K$3-$B104,'D Fleet'!$B$5:$B$62,0)),0)*IFERROR(INDEX('D Fleet'!$K$5:$K$36,INT(($B104/K$5))+1)+(($B104/K$5)-INT(($B104/K$5)))*(INDEX('D Fleet'!$K$5:$K$36,INT(($B104/K$5))+2)-INDEX('D Fleet'!$K$5:$K$36,INT(($B104/K$5))+1)),0)</f>
        <v/>
      </c>
      <c r="L104" s="276">
        <f>IFERROR(INDEX('D Fleet'!$E$5:$E$62,MATCH(L$3-$B104,'D Fleet'!$B$5:$B$62,0)),0)*IFERROR(INDEX('D Fleet'!$K$5:$K$36,INT(($B104/L$5))+1)+(($B104/L$5)-INT(($B104/L$5)))*(INDEX('D Fleet'!$K$5:$K$36,INT(($B104/L$5))+2)-INDEX('D Fleet'!$K$5:$K$36,INT(($B104/L$5))+1)),0)</f>
        <v/>
      </c>
      <c r="M104" s="276">
        <f>IFERROR(INDEX('D Fleet'!$E$5:$E$62,MATCH(M$3-$B104,'D Fleet'!$B$5:$B$62,0)),0)*IFERROR(INDEX('D Fleet'!$K$5:$K$36,INT(($B104/M$5))+1)+(($B104/M$5)-INT(($B104/M$5)))*(INDEX('D Fleet'!$K$5:$K$36,INT(($B104/M$5))+2)-INDEX('D Fleet'!$K$5:$K$36,INT(($B104/M$5))+1)),0)</f>
        <v/>
      </c>
      <c r="N104" s="276">
        <f>IFERROR(INDEX('D Fleet'!$E$5:$E$62,MATCH(N$3-$B104,'D Fleet'!$B$5:$B$62,0)),0)*IFERROR(INDEX('D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Fleet'!$E$5:$E$62,MATCH(E$3-$B105,'D Fleet'!$B$5:$B$62,0)),0)*IFERROR(INDEX('D Fleet'!$K$5:$K$36,INT(($B105/E$5))+1)+(($B105/E$5)-INT(($B105/E$5)))*(INDEX('D Fleet'!$K$5:$K$36,INT(($B105/E$5))+2)-INDEX('D Fleet'!$K$5:$K$36,INT(($B105/E$5))+1)),0)</f>
        <v/>
      </c>
      <c r="F105" s="276">
        <f>IFERROR(INDEX('D Fleet'!$E$5:$E$62,MATCH(F$3-$B105,'D Fleet'!$B$5:$B$62,0)),0)*IFERROR(INDEX('D Fleet'!$K$5:$K$36,INT(($B105/F$5))+1)+(($B105/F$5)-INT(($B105/F$5)))*(INDEX('D Fleet'!$K$5:$K$36,INT(($B105/F$5))+2)-INDEX('D Fleet'!$K$5:$K$36,INT(($B105/F$5))+1)),0)</f>
        <v/>
      </c>
      <c r="G105" s="276">
        <f>IFERROR(INDEX('D Fleet'!$E$5:$E$62,MATCH(G$3-$B105,'D Fleet'!$B$5:$B$62,0)),0)*IFERROR(INDEX('D Fleet'!$K$5:$K$36,INT(($B105/G$5))+1)+(($B105/G$5)-INT(($B105/G$5)))*(INDEX('D Fleet'!$K$5:$K$36,INT(($B105/G$5))+2)-INDEX('D Fleet'!$K$5:$K$36,INT(($B105/G$5))+1)),0)</f>
        <v/>
      </c>
      <c r="H105" s="276">
        <f>IFERROR(INDEX('D Fleet'!$E$5:$E$62,MATCH(H$3-$B105,'D Fleet'!$B$5:$B$62,0)),0)*IFERROR(INDEX('D Fleet'!$K$5:$K$36,INT(($B105/H$5))+1)+(($B105/H$5)-INT(($B105/H$5)))*(INDEX('D Fleet'!$K$5:$K$36,INT(($B105/H$5))+2)-INDEX('D Fleet'!$K$5:$K$36,INT(($B105/H$5))+1)),0)</f>
        <v/>
      </c>
      <c r="I105" s="276">
        <f>IFERROR(INDEX('D Fleet'!$E$5:$E$62,MATCH(I$3-$B105,'D Fleet'!$B$5:$B$62,0)),0)*IFERROR(INDEX('D Fleet'!$K$5:$K$36,INT(($B105/I$5))+1)+(($B105/I$5)-INT(($B105/I$5)))*(INDEX('D Fleet'!$K$5:$K$36,INT(($B105/I$5))+2)-INDEX('D Fleet'!$K$5:$K$36,INT(($B105/I$5))+1)),0)</f>
        <v/>
      </c>
      <c r="J105" s="276">
        <f>IFERROR(INDEX('D Fleet'!$E$5:$E$62,MATCH(J$3-$B105,'D Fleet'!$B$5:$B$62,0)),0)*IFERROR(INDEX('D Fleet'!$K$5:$K$36,INT(($B105/J$5))+1)+(($B105/J$5)-INT(($B105/J$5)))*(INDEX('D Fleet'!$K$5:$K$36,INT(($B105/J$5))+2)-INDEX('D Fleet'!$K$5:$K$36,INT(($B105/J$5))+1)),0)</f>
        <v/>
      </c>
      <c r="K105" s="276">
        <f>IFERROR(INDEX('D Fleet'!$E$5:$E$62,MATCH(K$3-$B105,'D Fleet'!$B$5:$B$62,0)),0)*IFERROR(INDEX('D Fleet'!$K$5:$K$36,INT(($B105/K$5))+1)+(($B105/K$5)-INT(($B105/K$5)))*(INDEX('D Fleet'!$K$5:$K$36,INT(($B105/K$5))+2)-INDEX('D Fleet'!$K$5:$K$36,INT(($B105/K$5))+1)),0)</f>
        <v/>
      </c>
      <c r="L105" s="276">
        <f>IFERROR(INDEX('D Fleet'!$E$5:$E$62,MATCH(L$3-$B105,'D Fleet'!$B$5:$B$62,0)),0)*IFERROR(INDEX('D Fleet'!$K$5:$K$36,INT(($B105/L$5))+1)+(($B105/L$5)-INT(($B105/L$5)))*(INDEX('D Fleet'!$K$5:$K$36,INT(($B105/L$5))+2)-INDEX('D Fleet'!$K$5:$K$36,INT(($B105/L$5))+1)),0)</f>
        <v/>
      </c>
      <c r="M105" s="276">
        <f>IFERROR(INDEX('D Fleet'!$E$5:$E$62,MATCH(M$3-$B105,'D Fleet'!$B$5:$B$62,0)),0)*IFERROR(INDEX('D Fleet'!$K$5:$K$36,INT(($B105/M$5))+1)+(($B105/M$5)-INT(($B105/M$5)))*(INDEX('D Fleet'!$K$5:$K$36,INT(($B105/M$5))+2)-INDEX('D Fleet'!$K$5:$K$36,INT(($B105/M$5))+1)),0)</f>
        <v/>
      </c>
      <c r="N105" s="276">
        <f>IFERROR(INDEX('D Fleet'!$E$5:$E$62,MATCH(N$3-$B105,'D Fleet'!$B$5:$B$62,0)),0)*IFERROR(INDEX('D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Fleet'!$E$5:$E$62,MATCH(E$3-$B106,'D Fleet'!$B$5:$B$62,0)),0)*IFERROR(INDEX('D Fleet'!$K$5:$K$36,INT(($B106/E$5))+1)+(($B106/E$5)-INT(($B106/E$5)))*(INDEX('D Fleet'!$K$5:$K$36,INT(($B106/E$5))+2)-INDEX('D Fleet'!$K$5:$K$36,INT(($B106/E$5))+1)),0)</f>
        <v/>
      </c>
      <c r="F106" s="276">
        <f>IFERROR(INDEX('D Fleet'!$E$5:$E$62,MATCH(F$3-$B106,'D Fleet'!$B$5:$B$62,0)),0)*IFERROR(INDEX('D Fleet'!$K$5:$K$36,INT(($B106/F$5))+1)+(($B106/F$5)-INT(($B106/F$5)))*(INDEX('D Fleet'!$K$5:$K$36,INT(($B106/F$5))+2)-INDEX('D Fleet'!$K$5:$K$36,INT(($B106/F$5))+1)),0)</f>
        <v/>
      </c>
      <c r="G106" s="276">
        <f>IFERROR(INDEX('D Fleet'!$E$5:$E$62,MATCH(G$3-$B106,'D Fleet'!$B$5:$B$62,0)),0)*IFERROR(INDEX('D Fleet'!$K$5:$K$36,INT(($B106/G$5))+1)+(($B106/G$5)-INT(($B106/G$5)))*(INDEX('D Fleet'!$K$5:$K$36,INT(($B106/G$5))+2)-INDEX('D Fleet'!$K$5:$K$36,INT(($B106/G$5))+1)),0)</f>
        <v/>
      </c>
      <c r="H106" s="276">
        <f>IFERROR(INDEX('D Fleet'!$E$5:$E$62,MATCH(H$3-$B106,'D Fleet'!$B$5:$B$62,0)),0)*IFERROR(INDEX('D Fleet'!$K$5:$K$36,INT(($B106/H$5))+1)+(($B106/H$5)-INT(($B106/H$5)))*(INDEX('D Fleet'!$K$5:$K$36,INT(($B106/H$5))+2)-INDEX('D Fleet'!$K$5:$K$36,INT(($B106/H$5))+1)),0)</f>
        <v/>
      </c>
      <c r="I106" s="276">
        <f>IFERROR(INDEX('D Fleet'!$E$5:$E$62,MATCH(I$3-$B106,'D Fleet'!$B$5:$B$62,0)),0)*IFERROR(INDEX('D Fleet'!$K$5:$K$36,INT(($B106/I$5))+1)+(($B106/I$5)-INT(($B106/I$5)))*(INDEX('D Fleet'!$K$5:$K$36,INT(($B106/I$5))+2)-INDEX('D Fleet'!$K$5:$K$36,INT(($B106/I$5))+1)),0)</f>
        <v/>
      </c>
      <c r="J106" s="276">
        <f>IFERROR(INDEX('D Fleet'!$E$5:$E$62,MATCH(J$3-$B106,'D Fleet'!$B$5:$B$62,0)),0)*IFERROR(INDEX('D Fleet'!$K$5:$K$36,INT(($B106/J$5))+1)+(($B106/J$5)-INT(($B106/J$5)))*(INDEX('D Fleet'!$K$5:$K$36,INT(($B106/J$5))+2)-INDEX('D Fleet'!$K$5:$K$36,INT(($B106/J$5))+1)),0)</f>
        <v/>
      </c>
      <c r="K106" s="276">
        <f>IFERROR(INDEX('D Fleet'!$E$5:$E$62,MATCH(K$3-$B106,'D Fleet'!$B$5:$B$62,0)),0)*IFERROR(INDEX('D Fleet'!$K$5:$K$36,INT(($B106/K$5))+1)+(($B106/K$5)-INT(($B106/K$5)))*(INDEX('D Fleet'!$K$5:$K$36,INT(($B106/K$5))+2)-INDEX('D Fleet'!$K$5:$K$36,INT(($B106/K$5))+1)),0)</f>
        <v/>
      </c>
      <c r="L106" s="276">
        <f>IFERROR(INDEX('D Fleet'!$E$5:$E$62,MATCH(L$3-$B106,'D Fleet'!$B$5:$B$62,0)),0)*IFERROR(INDEX('D Fleet'!$K$5:$K$36,INT(($B106/L$5))+1)+(($B106/L$5)-INT(($B106/L$5)))*(INDEX('D Fleet'!$K$5:$K$36,INT(($B106/L$5))+2)-INDEX('D Fleet'!$K$5:$K$36,INT(($B106/L$5))+1)),0)</f>
        <v/>
      </c>
      <c r="M106" s="276">
        <f>IFERROR(INDEX('D Fleet'!$E$5:$E$62,MATCH(M$3-$B106,'D Fleet'!$B$5:$B$62,0)),0)*IFERROR(INDEX('D Fleet'!$K$5:$K$36,INT(($B106/M$5))+1)+(($B106/M$5)-INT(($B106/M$5)))*(INDEX('D Fleet'!$K$5:$K$36,INT(($B106/M$5))+2)-INDEX('D Fleet'!$K$5:$K$36,INT(($B106/M$5))+1)),0)</f>
        <v/>
      </c>
      <c r="N106" s="276">
        <f>IFERROR(INDEX('D Fleet'!$E$5:$E$62,MATCH(N$3-$B106,'D Fleet'!$B$5:$B$62,0)),0)*IFERROR(INDEX('D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Fleet'!$E$5:$E$62,MATCH(E$3-$B107,'D Fleet'!$B$5:$B$62,0)),0)*IFERROR(INDEX('D Fleet'!$K$5:$K$36,INT(($B107/E$5))+1)+(($B107/E$5)-INT(($B107/E$5)))*(INDEX('D Fleet'!$K$5:$K$36,INT(($B107/E$5))+2)-INDEX('D Fleet'!$K$5:$K$36,INT(($B107/E$5))+1)),0)</f>
        <v/>
      </c>
      <c r="F107" s="276">
        <f>IFERROR(INDEX('D Fleet'!$E$5:$E$62,MATCH(F$3-$B107,'D Fleet'!$B$5:$B$62,0)),0)*IFERROR(INDEX('D Fleet'!$K$5:$K$36,INT(($B107/F$5))+1)+(($B107/F$5)-INT(($B107/F$5)))*(INDEX('D Fleet'!$K$5:$K$36,INT(($B107/F$5))+2)-INDEX('D Fleet'!$K$5:$K$36,INT(($B107/F$5))+1)),0)</f>
        <v/>
      </c>
      <c r="G107" s="276">
        <f>IFERROR(INDEX('D Fleet'!$E$5:$E$62,MATCH(G$3-$B107,'D Fleet'!$B$5:$B$62,0)),0)*IFERROR(INDEX('D Fleet'!$K$5:$K$36,INT(($B107/G$5))+1)+(($B107/G$5)-INT(($B107/G$5)))*(INDEX('D Fleet'!$K$5:$K$36,INT(($B107/G$5))+2)-INDEX('D Fleet'!$K$5:$K$36,INT(($B107/G$5))+1)),0)</f>
        <v/>
      </c>
      <c r="H107" s="276">
        <f>IFERROR(INDEX('D Fleet'!$E$5:$E$62,MATCH(H$3-$B107,'D Fleet'!$B$5:$B$62,0)),0)*IFERROR(INDEX('D Fleet'!$K$5:$K$36,INT(($B107/H$5))+1)+(($B107/H$5)-INT(($B107/H$5)))*(INDEX('D Fleet'!$K$5:$K$36,INT(($B107/H$5))+2)-INDEX('D Fleet'!$K$5:$K$36,INT(($B107/H$5))+1)),0)</f>
        <v/>
      </c>
      <c r="I107" s="276">
        <f>IFERROR(INDEX('D Fleet'!$E$5:$E$62,MATCH(I$3-$B107,'D Fleet'!$B$5:$B$62,0)),0)*IFERROR(INDEX('D Fleet'!$K$5:$K$36,INT(($B107/I$5))+1)+(($B107/I$5)-INT(($B107/I$5)))*(INDEX('D Fleet'!$K$5:$K$36,INT(($B107/I$5))+2)-INDEX('D Fleet'!$K$5:$K$36,INT(($B107/I$5))+1)),0)</f>
        <v/>
      </c>
      <c r="J107" s="276">
        <f>IFERROR(INDEX('D Fleet'!$E$5:$E$62,MATCH(J$3-$B107,'D Fleet'!$B$5:$B$62,0)),0)*IFERROR(INDEX('D Fleet'!$K$5:$K$36,INT(($B107/J$5))+1)+(($B107/J$5)-INT(($B107/J$5)))*(INDEX('D Fleet'!$K$5:$K$36,INT(($B107/J$5))+2)-INDEX('D Fleet'!$K$5:$K$36,INT(($B107/J$5))+1)),0)</f>
        <v/>
      </c>
      <c r="K107" s="276">
        <f>IFERROR(INDEX('D Fleet'!$E$5:$E$62,MATCH(K$3-$B107,'D Fleet'!$B$5:$B$62,0)),0)*IFERROR(INDEX('D Fleet'!$K$5:$K$36,INT(($B107/K$5))+1)+(($B107/K$5)-INT(($B107/K$5)))*(INDEX('D Fleet'!$K$5:$K$36,INT(($B107/K$5))+2)-INDEX('D Fleet'!$K$5:$K$36,INT(($B107/K$5))+1)),0)</f>
        <v/>
      </c>
      <c r="L107" s="276">
        <f>IFERROR(INDEX('D Fleet'!$E$5:$E$62,MATCH(L$3-$B107,'D Fleet'!$B$5:$B$62,0)),0)*IFERROR(INDEX('D Fleet'!$K$5:$K$36,INT(($B107/L$5))+1)+(($B107/L$5)-INT(($B107/L$5)))*(INDEX('D Fleet'!$K$5:$K$36,INT(($B107/L$5))+2)-INDEX('D Fleet'!$K$5:$K$36,INT(($B107/L$5))+1)),0)</f>
        <v/>
      </c>
      <c r="M107" s="276">
        <f>IFERROR(INDEX('D Fleet'!$E$5:$E$62,MATCH(M$3-$B107,'D Fleet'!$B$5:$B$62,0)),0)*IFERROR(INDEX('D Fleet'!$K$5:$K$36,INT(($B107/M$5))+1)+(($B107/M$5)-INT(($B107/M$5)))*(INDEX('D Fleet'!$K$5:$K$36,INT(($B107/M$5))+2)-INDEX('D Fleet'!$K$5:$K$36,INT(($B107/M$5))+1)),0)</f>
        <v/>
      </c>
      <c r="N107" s="276">
        <f>IFERROR(INDEX('D Fleet'!$E$5:$E$62,MATCH(N$3-$B107,'D Fleet'!$B$5:$B$62,0)),0)*IFERROR(INDEX('D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Fleet'!$E$5:$E$62,MATCH(E$3-$B108,'D Fleet'!$B$5:$B$62,0)),0)*IFERROR(INDEX('D Fleet'!$K$5:$K$36,INT(($B108/E$5))+1)+(($B108/E$5)-INT(($B108/E$5)))*(INDEX('D Fleet'!$K$5:$K$36,INT(($B108/E$5))+2)-INDEX('D Fleet'!$K$5:$K$36,INT(($B108/E$5))+1)),0)</f>
        <v/>
      </c>
      <c r="F108" s="276">
        <f>IFERROR(INDEX('D Fleet'!$E$5:$E$62,MATCH(F$3-$B108,'D Fleet'!$B$5:$B$62,0)),0)*IFERROR(INDEX('D Fleet'!$K$5:$K$36,INT(($B108/F$5))+1)+(($B108/F$5)-INT(($B108/F$5)))*(INDEX('D Fleet'!$K$5:$K$36,INT(($B108/F$5))+2)-INDEX('D Fleet'!$K$5:$K$36,INT(($B108/F$5))+1)),0)</f>
        <v/>
      </c>
      <c r="G108" s="276">
        <f>IFERROR(INDEX('D Fleet'!$E$5:$E$62,MATCH(G$3-$B108,'D Fleet'!$B$5:$B$62,0)),0)*IFERROR(INDEX('D Fleet'!$K$5:$K$36,INT(($B108/G$5))+1)+(($B108/G$5)-INT(($B108/G$5)))*(INDEX('D Fleet'!$K$5:$K$36,INT(($B108/G$5))+2)-INDEX('D Fleet'!$K$5:$K$36,INT(($B108/G$5))+1)),0)</f>
        <v/>
      </c>
      <c r="H108" s="276">
        <f>IFERROR(INDEX('D Fleet'!$E$5:$E$62,MATCH(H$3-$B108,'D Fleet'!$B$5:$B$62,0)),0)*IFERROR(INDEX('D Fleet'!$K$5:$K$36,INT(($B108/H$5))+1)+(($B108/H$5)-INT(($B108/H$5)))*(INDEX('D Fleet'!$K$5:$K$36,INT(($B108/H$5))+2)-INDEX('D Fleet'!$K$5:$K$36,INT(($B108/H$5))+1)),0)</f>
        <v/>
      </c>
      <c r="I108" s="276">
        <f>IFERROR(INDEX('D Fleet'!$E$5:$E$62,MATCH(I$3-$B108,'D Fleet'!$B$5:$B$62,0)),0)*IFERROR(INDEX('D Fleet'!$K$5:$K$36,INT(($B108/I$5))+1)+(($B108/I$5)-INT(($B108/I$5)))*(INDEX('D Fleet'!$K$5:$K$36,INT(($B108/I$5))+2)-INDEX('D Fleet'!$K$5:$K$36,INT(($B108/I$5))+1)),0)</f>
        <v/>
      </c>
      <c r="J108" s="276">
        <f>IFERROR(INDEX('D Fleet'!$E$5:$E$62,MATCH(J$3-$B108,'D Fleet'!$B$5:$B$62,0)),0)*IFERROR(INDEX('D Fleet'!$K$5:$K$36,INT(($B108/J$5))+1)+(($B108/J$5)-INT(($B108/J$5)))*(INDEX('D Fleet'!$K$5:$K$36,INT(($B108/J$5))+2)-INDEX('D Fleet'!$K$5:$K$36,INT(($B108/J$5))+1)),0)</f>
        <v/>
      </c>
      <c r="K108" s="276">
        <f>IFERROR(INDEX('D Fleet'!$E$5:$E$62,MATCH(K$3-$B108,'D Fleet'!$B$5:$B$62,0)),0)*IFERROR(INDEX('D Fleet'!$K$5:$K$36,INT(($B108/K$5))+1)+(($B108/K$5)-INT(($B108/K$5)))*(INDEX('D Fleet'!$K$5:$K$36,INT(($B108/K$5))+2)-INDEX('D Fleet'!$K$5:$K$36,INT(($B108/K$5))+1)),0)</f>
        <v/>
      </c>
      <c r="L108" s="276">
        <f>IFERROR(INDEX('D Fleet'!$E$5:$E$62,MATCH(L$3-$B108,'D Fleet'!$B$5:$B$62,0)),0)*IFERROR(INDEX('D Fleet'!$K$5:$K$36,INT(($B108/L$5))+1)+(($B108/L$5)-INT(($B108/L$5)))*(INDEX('D Fleet'!$K$5:$K$36,INT(($B108/L$5))+2)-INDEX('D Fleet'!$K$5:$K$36,INT(($B108/L$5))+1)),0)</f>
        <v/>
      </c>
      <c r="M108" s="276">
        <f>IFERROR(INDEX('D Fleet'!$E$5:$E$62,MATCH(M$3-$B108,'D Fleet'!$B$5:$B$62,0)),0)*IFERROR(INDEX('D Fleet'!$K$5:$K$36,INT(($B108/M$5))+1)+(($B108/M$5)-INT(($B108/M$5)))*(INDEX('D Fleet'!$K$5:$K$36,INT(($B108/M$5))+2)-INDEX('D Fleet'!$K$5:$K$36,INT(($B108/M$5))+1)),0)</f>
        <v/>
      </c>
      <c r="N108" s="276">
        <f>IFERROR(INDEX('D Fleet'!$E$5:$E$62,MATCH(N$3-$B108,'D Fleet'!$B$5:$B$62,0)),0)*IFERROR(INDEX('D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Fleet'!$E$5:$E$62,MATCH(E$3-$B109,'D Fleet'!$B$5:$B$62,0)),0)*IFERROR(INDEX('D Fleet'!$K$5:$K$36,INT(($B109/E$5))+1)+(($B109/E$5)-INT(($B109/E$5)))*(INDEX('D Fleet'!$K$5:$K$36,INT(($B109/E$5))+2)-INDEX('D Fleet'!$K$5:$K$36,INT(($B109/E$5))+1)),0)</f>
        <v/>
      </c>
      <c r="F109" s="276">
        <f>IFERROR(INDEX('D Fleet'!$E$5:$E$62,MATCH(F$3-$B109,'D Fleet'!$B$5:$B$62,0)),0)*IFERROR(INDEX('D Fleet'!$K$5:$K$36,INT(($B109/F$5))+1)+(($B109/F$5)-INT(($B109/F$5)))*(INDEX('D Fleet'!$K$5:$K$36,INT(($B109/F$5))+2)-INDEX('D Fleet'!$K$5:$K$36,INT(($B109/F$5))+1)),0)</f>
        <v/>
      </c>
      <c r="G109" s="276">
        <f>IFERROR(INDEX('D Fleet'!$E$5:$E$62,MATCH(G$3-$B109,'D Fleet'!$B$5:$B$62,0)),0)*IFERROR(INDEX('D Fleet'!$K$5:$K$36,INT(($B109/G$5))+1)+(($B109/G$5)-INT(($B109/G$5)))*(INDEX('D Fleet'!$K$5:$K$36,INT(($B109/G$5))+2)-INDEX('D Fleet'!$K$5:$K$36,INT(($B109/G$5))+1)),0)</f>
        <v/>
      </c>
      <c r="H109" s="276">
        <f>IFERROR(INDEX('D Fleet'!$E$5:$E$62,MATCH(H$3-$B109,'D Fleet'!$B$5:$B$62,0)),0)*IFERROR(INDEX('D Fleet'!$K$5:$K$36,INT(($B109/H$5))+1)+(($B109/H$5)-INT(($B109/H$5)))*(INDEX('D Fleet'!$K$5:$K$36,INT(($B109/H$5))+2)-INDEX('D Fleet'!$K$5:$K$36,INT(($B109/H$5))+1)),0)</f>
        <v/>
      </c>
      <c r="I109" s="276">
        <f>IFERROR(INDEX('D Fleet'!$E$5:$E$62,MATCH(I$3-$B109,'D Fleet'!$B$5:$B$62,0)),0)*IFERROR(INDEX('D Fleet'!$K$5:$K$36,INT(($B109/I$5))+1)+(($B109/I$5)-INT(($B109/I$5)))*(INDEX('D Fleet'!$K$5:$K$36,INT(($B109/I$5))+2)-INDEX('D Fleet'!$K$5:$K$36,INT(($B109/I$5))+1)),0)</f>
        <v/>
      </c>
      <c r="J109" s="276">
        <f>IFERROR(INDEX('D Fleet'!$E$5:$E$62,MATCH(J$3-$B109,'D Fleet'!$B$5:$B$62,0)),0)*IFERROR(INDEX('D Fleet'!$K$5:$K$36,INT(($B109/J$5))+1)+(($B109/J$5)-INT(($B109/J$5)))*(INDEX('D Fleet'!$K$5:$K$36,INT(($B109/J$5))+2)-INDEX('D Fleet'!$K$5:$K$36,INT(($B109/J$5))+1)),0)</f>
        <v/>
      </c>
      <c r="K109" s="276">
        <f>IFERROR(INDEX('D Fleet'!$E$5:$E$62,MATCH(K$3-$B109,'D Fleet'!$B$5:$B$62,0)),0)*IFERROR(INDEX('D Fleet'!$K$5:$K$36,INT(($B109/K$5))+1)+(($B109/K$5)-INT(($B109/K$5)))*(INDEX('D Fleet'!$K$5:$K$36,INT(($B109/K$5))+2)-INDEX('D Fleet'!$K$5:$K$36,INT(($B109/K$5))+1)),0)</f>
        <v/>
      </c>
      <c r="L109" s="276">
        <f>IFERROR(INDEX('D Fleet'!$E$5:$E$62,MATCH(L$3-$B109,'D Fleet'!$B$5:$B$62,0)),0)*IFERROR(INDEX('D Fleet'!$K$5:$K$36,INT(($B109/L$5))+1)+(($B109/L$5)-INT(($B109/L$5)))*(INDEX('D Fleet'!$K$5:$K$36,INT(($B109/L$5))+2)-INDEX('D Fleet'!$K$5:$K$36,INT(($B109/L$5))+1)),0)</f>
        <v/>
      </c>
      <c r="M109" s="276">
        <f>IFERROR(INDEX('D Fleet'!$E$5:$E$62,MATCH(M$3-$B109,'D Fleet'!$B$5:$B$62,0)),0)*IFERROR(INDEX('D Fleet'!$K$5:$K$36,INT(($B109/M$5))+1)+(($B109/M$5)-INT(($B109/M$5)))*(INDEX('D Fleet'!$K$5:$K$36,INT(($B109/M$5))+2)-INDEX('D Fleet'!$K$5:$K$36,INT(($B109/M$5))+1)),0)</f>
        <v/>
      </c>
      <c r="N109" s="276">
        <f>IFERROR(INDEX('D Fleet'!$E$5:$E$62,MATCH(N$3-$B109,'D Fleet'!$B$5:$B$62,0)),0)*IFERROR(INDEX('D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Fleet'!$E$5:$E$62,MATCH(E$3-$B110,'D Fleet'!$B$5:$B$62,0)),0)*IFERROR(INDEX('D Fleet'!$K$5:$K$36,INT(($B110/E$5))+1)+(($B110/E$5)-INT(($B110/E$5)))*(INDEX('D Fleet'!$K$5:$K$36,INT(($B110/E$5))+2)-INDEX('D Fleet'!$K$5:$K$36,INT(($B110/E$5))+1)),0)</f>
        <v/>
      </c>
      <c r="F110" s="276">
        <f>IFERROR(INDEX('D Fleet'!$E$5:$E$62,MATCH(F$3-$B110,'D Fleet'!$B$5:$B$62,0)),0)*IFERROR(INDEX('D Fleet'!$K$5:$K$36,INT(($B110/F$5))+1)+(($B110/F$5)-INT(($B110/F$5)))*(INDEX('D Fleet'!$K$5:$K$36,INT(($B110/F$5))+2)-INDEX('D Fleet'!$K$5:$K$36,INT(($B110/F$5))+1)),0)</f>
        <v/>
      </c>
      <c r="G110" s="276">
        <f>IFERROR(INDEX('D Fleet'!$E$5:$E$62,MATCH(G$3-$B110,'D Fleet'!$B$5:$B$62,0)),0)*IFERROR(INDEX('D Fleet'!$K$5:$K$36,INT(($B110/G$5))+1)+(($B110/G$5)-INT(($B110/G$5)))*(INDEX('D Fleet'!$K$5:$K$36,INT(($B110/G$5))+2)-INDEX('D Fleet'!$K$5:$K$36,INT(($B110/G$5))+1)),0)</f>
        <v/>
      </c>
      <c r="H110" s="276">
        <f>IFERROR(INDEX('D Fleet'!$E$5:$E$62,MATCH(H$3-$B110,'D Fleet'!$B$5:$B$62,0)),0)*IFERROR(INDEX('D Fleet'!$K$5:$K$36,INT(($B110/H$5))+1)+(($B110/H$5)-INT(($B110/H$5)))*(INDEX('D Fleet'!$K$5:$K$36,INT(($B110/H$5))+2)-INDEX('D Fleet'!$K$5:$K$36,INT(($B110/H$5))+1)),0)</f>
        <v/>
      </c>
      <c r="I110" s="276">
        <f>IFERROR(INDEX('D Fleet'!$E$5:$E$62,MATCH(I$3-$B110,'D Fleet'!$B$5:$B$62,0)),0)*IFERROR(INDEX('D Fleet'!$K$5:$K$36,INT(($B110/I$5))+1)+(($B110/I$5)-INT(($B110/I$5)))*(INDEX('D Fleet'!$K$5:$K$36,INT(($B110/I$5))+2)-INDEX('D Fleet'!$K$5:$K$36,INT(($B110/I$5))+1)),0)</f>
        <v/>
      </c>
      <c r="J110" s="276">
        <f>IFERROR(INDEX('D Fleet'!$E$5:$E$62,MATCH(J$3-$B110,'D Fleet'!$B$5:$B$62,0)),0)*IFERROR(INDEX('D Fleet'!$K$5:$K$36,INT(($B110/J$5))+1)+(($B110/J$5)-INT(($B110/J$5)))*(INDEX('D Fleet'!$K$5:$K$36,INT(($B110/J$5))+2)-INDEX('D Fleet'!$K$5:$K$36,INT(($B110/J$5))+1)),0)</f>
        <v/>
      </c>
      <c r="K110" s="276">
        <f>IFERROR(INDEX('D Fleet'!$E$5:$E$62,MATCH(K$3-$B110,'D Fleet'!$B$5:$B$62,0)),0)*IFERROR(INDEX('D Fleet'!$K$5:$K$36,INT(($B110/K$5))+1)+(($B110/K$5)-INT(($B110/K$5)))*(INDEX('D Fleet'!$K$5:$K$36,INT(($B110/K$5))+2)-INDEX('D Fleet'!$K$5:$K$36,INT(($B110/K$5))+1)),0)</f>
        <v/>
      </c>
      <c r="L110" s="276">
        <f>IFERROR(INDEX('D Fleet'!$E$5:$E$62,MATCH(L$3-$B110,'D Fleet'!$B$5:$B$62,0)),0)*IFERROR(INDEX('D Fleet'!$K$5:$K$36,INT(($B110/L$5))+1)+(($B110/L$5)-INT(($B110/L$5)))*(INDEX('D Fleet'!$K$5:$K$36,INT(($B110/L$5))+2)-INDEX('D Fleet'!$K$5:$K$36,INT(($B110/L$5))+1)),0)</f>
        <v/>
      </c>
      <c r="M110" s="276">
        <f>IFERROR(INDEX('D Fleet'!$E$5:$E$62,MATCH(M$3-$B110,'D Fleet'!$B$5:$B$62,0)),0)*IFERROR(INDEX('D Fleet'!$K$5:$K$36,INT(($B110/M$5))+1)+(($B110/M$5)-INT(($B110/M$5)))*(INDEX('D Fleet'!$K$5:$K$36,INT(($B110/M$5))+2)-INDEX('D Fleet'!$K$5:$K$36,INT(($B110/M$5))+1)),0)</f>
        <v/>
      </c>
      <c r="N110" s="276">
        <f>IFERROR(INDEX('D Fleet'!$E$5:$E$62,MATCH(N$3-$B110,'D Fleet'!$B$5:$B$62,0)),0)*IFERROR(INDEX('D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Fleet'!$E$5:$E$62,MATCH(E$3-$B111,'D Fleet'!$B$5:$B$62,0)),0)*IFERROR(INDEX('D Fleet'!$K$5:$K$36,INT(($B111/E$5))+1)+(($B111/E$5)-INT(($B111/E$5)))*(INDEX('D Fleet'!$K$5:$K$36,INT(($B111/E$5))+2)-INDEX('D Fleet'!$K$5:$K$36,INT(($B111/E$5))+1)),0)</f>
        <v/>
      </c>
      <c r="F111" s="276">
        <f>IFERROR(INDEX('D Fleet'!$E$5:$E$62,MATCH(F$3-$B111,'D Fleet'!$B$5:$B$62,0)),0)*IFERROR(INDEX('D Fleet'!$K$5:$K$36,INT(($B111/F$5))+1)+(($B111/F$5)-INT(($B111/F$5)))*(INDEX('D Fleet'!$K$5:$K$36,INT(($B111/F$5))+2)-INDEX('D Fleet'!$K$5:$K$36,INT(($B111/F$5))+1)),0)</f>
        <v/>
      </c>
      <c r="G111" s="276">
        <f>IFERROR(INDEX('D Fleet'!$E$5:$E$62,MATCH(G$3-$B111,'D Fleet'!$B$5:$B$62,0)),0)*IFERROR(INDEX('D Fleet'!$K$5:$K$36,INT(($B111/G$5))+1)+(($B111/G$5)-INT(($B111/G$5)))*(INDEX('D Fleet'!$K$5:$K$36,INT(($B111/G$5))+2)-INDEX('D Fleet'!$K$5:$K$36,INT(($B111/G$5))+1)),0)</f>
        <v/>
      </c>
      <c r="H111" s="276">
        <f>IFERROR(INDEX('D Fleet'!$E$5:$E$62,MATCH(H$3-$B111,'D Fleet'!$B$5:$B$62,0)),0)*IFERROR(INDEX('D Fleet'!$K$5:$K$36,INT(($B111/H$5))+1)+(($B111/H$5)-INT(($B111/H$5)))*(INDEX('D Fleet'!$K$5:$K$36,INT(($B111/H$5))+2)-INDEX('D Fleet'!$K$5:$K$36,INT(($B111/H$5))+1)),0)</f>
        <v/>
      </c>
      <c r="I111" s="276">
        <f>IFERROR(INDEX('D Fleet'!$E$5:$E$62,MATCH(I$3-$B111,'D Fleet'!$B$5:$B$62,0)),0)*IFERROR(INDEX('D Fleet'!$K$5:$K$36,INT(($B111/I$5))+1)+(($B111/I$5)-INT(($B111/I$5)))*(INDEX('D Fleet'!$K$5:$K$36,INT(($B111/I$5))+2)-INDEX('D Fleet'!$K$5:$K$36,INT(($B111/I$5))+1)),0)</f>
        <v/>
      </c>
      <c r="J111" s="276">
        <f>IFERROR(INDEX('D Fleet'!$E$5:$E$62,MATCH(J$3-$B111,'D Fleet'!$B$5:$B$62,0)),0)*IFERROR(INDEX('D Fleet'!$K$5:$K$36,INT(($B111/J$5))+1)+(($B111/J$5)-INT(($B111/J$5)))*(INDEX('D Fleet'!$K$5:$K$36,INT(($B111/J$5))+2)-INDEX('D Fleet'!$K$5:$K$36,INT(($B111/J$5))+1)),0)</f>
        <v/>
      </c>
      <c r="K111" s="276">
        <f>IFERROR(INDEX('D Fleet'!$E$5:$E$62,MATCH(K$3-$B111,'D Fleet'!$B$5:$B$62,0)),0)*IFERROR(INDEX('D Fleet'!$K$5:$K$36,INT(($B111/K$5))+1)+(($B111/K$5)-INT(($B111/K$5)))*(INDEX('D Fleet'!$K$5:$K$36,INT(($B111/K$5))+2)-INDEX('D Fleet'!$K$5:$K$36,INT(($B111/K$5))+1)),0)</f>
        <v/>
      </c>
      <c r="L111" s="276">
        <f>IFERROR(INDEX('D Fleet'!$E$5:$E$62,MATCH(L$3-$B111,'D Fleet'!$B$5:$B$62,0)),0)*IFERROR(INDEX('D Fleet'!$K$5:$K$36,INT(($B111/L$5))+1)+(($B111/L$5)-INT(($B111/L$5)))*(INDEX('D Fleet'!$K$5:$K$36,INT(($B111/L$5))+2)-INDEX('D Fleet'!$K$5:$K$36,INT(($B111/L$5))+1)),0)</f>
        <v/>
      </c>
      <c r="M111" s="276">
        <f>IFERROR(INDEX('D Fleet'!$E$5:$E$62,MATCH(M$3-$B111,'D Fleet'!$B$5:$B$62,0)),0)*IFERROR(INDEX('D Fleet'!$K$5:$K$36,INT(($B111/M$5))+1)+(($B111/M$5)-INT(($B111/M$5)))*(INDEX('D Fleet'!$K$5:$K$36,INT(($B111/M$5))+2)-INDEX('D Fleet'!$K$5:$K$36,INT(($B111/M$5))+1)),0)</f>
        <v/>
      </c>
      <c r="N111" s="276">
        <f>IFERROR(INDEX('D Fleet'!$E$5:$E$62,MATCH(N$3-$B111,'D Fleet'!$B$5:$B$62,0)),0)*IFERROR(INDEX('D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Fleet'!$E$5:$E$62,MATCH(E$3-$B112,'D Fleet'!$B$5:$B$62,0)),0)*IFERROR(INDEX('D Fleet'!$K$5:$K$36,INT(($B112/E$5))+1)+(($B112/E$5)-INT(($B112/E$5)))*(INDEX('D Fleet'!$K$5:$K$36,INT(($B112/E$5))+2)-INDEX('D Fleet'!$K$5:$K$36,INT(($B112/E$5))+1)),0)</f>
        <v/>
      </c>
      <c r="F112" s="276">
        <f>IFERROR(INDEX('D Fleet'!$E$5:$E$62,MATCH(F$3-$B112,'D Fleet'!$B$5:$B$62,0)),0)*IFERROR(INDEX('D Fleet'!$K$5:$K$36,INT(($B112/F$5))+1)+(($B112/F$5)-INT(($B112/F$5)))*(INDEX('D Fleet'!$K$5:$K$36,INT(($B112/F$5))+2)-INDEX('D Fleet'!$K$5:$K$36,INT(($B112/F$5))+1)),0)</f>
        <v/>
      </c>
      <c r="G112" s="276">
        <f>IFERROR(INDEX('D Fleet'!$E$5:$E$62,MATCH(G$3-$B112,'D Fleet'!$B$5:$B$62,0)),0)*IFERROR(INDEX('D Fleet'!$K$5:$K$36,INT(($B112/G$5))+1)+(($B112/G$5)-INT(($B112/G$5)))*(INDEX('D Fleet'!$K$5:$K$36,INT(($B112/G$5))+2)-INDEX('D Fleet'!$K$5:$K$36,INT(($B112/G$5))+1)),0)</f>
        <v/>
      </c>
      <c r="H112" s="276">
        <f>IFERROR(INDEX('D Fleet'!$E$5:$E$62,MATCH(H$3-$B112,'D Fleet'!$B$5:$B$62,0)),0)*IFERROR(INDEX('D Fleet'!$K$5:$K$36,INT(($B112/H$5))+1)+(($B112/H$5)-INT(($B112/H$5)))*(INDEX('D Fleet'!$K$5:$K$36,INT(($B112/H$5))+2)-INDEX('D Fleet'!$K$5:$K$36,INT(($B112/H$5))+1)),0)</f>
        <v/>
      </c>
      <c r="I112" s="276">
        <f>IFERROR(INDEX('D Fleet'!$E$5:$E$62,MATCH(I$3-$B112,'D Fleet'!$B$5:$B$62,0)),0)*IFERROR(INDEX('D Fleet'!$K$5:$K$36,INT(($B112/I$5))+1)+(($B112/I$5)-INT(($B112/I$5)))*(INDEX('D Fleet'!$K$5:$K$36,INT(($B112/I$5))+2)-INDEX('D Fleet'!$K$5:$K$36,INT(($B112/I$5))+1)),0)</f>
        <v/>
      </c>
      <c r="J112" s="276">
        <f>IFERROR(INDEX('D Fleet'!$E$5:$E$62,MATCH(J$3-$B112,'D Fleet'!$B$5:$B$62,0)),0)*IFERROR(INDEX('D Fleet'!$K$5:$K$36,INT(($B112/J$5))+1)+(($B112/J$5)-INT(($B112/J$5)))*(INDEX('D Fleet'!$K$5:$K$36,INT(($B112/J$5))+2)-INDEX('D Fleet'!$K$5:$K$36,INT(($B112/J$5))+1)),0)</f>
        <v/>
      </c>
      <c r="K112" s="276">
        <f>IFERROR(INDEX('D Fleet'!$E$5:$E$62,MATCH(K$3-$B112,'D Fleet'!$B$5:$B$62,0)),0)*IFERROR(INDEX('D Fleet'!$K$5:$K$36,INT(($B112/K$5))+1)+(($B112/K$5)-INT(($B112/K$5)))*(INDEX('D Fleet'!$K$5:$K$36,INT(($B112/K$5))+2)-INDEX('D Fleet'!$K$5:$K$36,INT(($B112/K$5))+1)),0)</f>
        <v/>
      </c>
      <c r="L112" s="276">
        <f>IFERROR(INDEX('D Fleet'!$E$5:$E$62,MATCH(L$3-$B112,'D Fleet'!$B$5:$B$62,0)),0)*IFERROR(INDEX('D Fleet'!$K$5:$K$36,INT(($B112/L$5))+1)+(($B112/L$5)-INT(($B112/L$5)))*(INDEX('D Fleet'!$K$5:$K$36,INT(($B112/L$5))+2)-INDEX('D Fleet'!$K$5:$K$36,INT(($B112/L$5))+1)),0)</f>
        <v/>
      </c>
      <c r="M112" s="276">
        <f>IFERROR(INDEX('D Fleet'!$E$5:$E$62,MATCH(M$3-$B112,'D Fleet'!$B$5:$B$62,0)),0)*IFERROR(INDEX('D Fleet'!$K$5:$K$36,INT(($B112/M$5))+1)+(($B112/M$5)-INT(($B112/M$5)))*(INDEX('D Fleet'!$K$5:$K$36,INT(($B112/M$5))+2)-INDEX('D Fleet'!$K$5:$K$36,INT(($B112/M$5))+1)),0)</f>
        <v/>
      </c>
      <c r="N112" s="276">
        <f>IFERROR(INDEX('D Fleet'!$E$5:$E$62,MATCH(N$3-$B112,'D Fleet'!$B$5:$B$62,0)),0)*IFERROR(INDEX('D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Fleet'!$E$5:$E$62,MATCH(E$3-$B113,'D Fleet'!$B$5:$B$62,0)),0)*IFERROR(INDEX('D Fleet'!$K$5:$K$36,INT(($B113/E$5))+1)+(($B113/E$5)-INT(($B113/E$5)))*(INDEX('D Fleet'!$K$5:$K$36,INT(($B113/E$5))+2)-INDEX('D Fleet'!$K$5:$K$36,INT(($B113/E$5))+1)),0)</f>
        <v/>
      </c>
      <c r="F113" s="276">
        <f>IFERROR(INDEX('D Fleet'!$E$5:$E$62,MATCH(F$3-$B113,'D Fleet'!$B$5:$B$62,0)),0)*IFERROR(INDEX('D Fleet'!$K$5:$K$36,INT(($B113/F$5))+1)+(($B113/F$5)-INT(($B113/F$5)))*(INDEX('D Fleet'!$K$5:$K$36,INT(($B113/F$5))+2)-INDEX('D Fleet'!$K$5:$K$36,INT(($B113/F$5))+1)),0)</f>
        <v/>
      </c>
      <c r="G113" s="276">
        <f>IFERROR(INDEX('D Fleet'!$E$5:$E$62,MATCH(G$3-$B113,'D Fleet'!$B$5:$B$62,0)),0)*IFERROR(INDEX('D Fleet'!$K$5:$K$36,INT(($B113/G$5))+1)+(($B113/G$5)-INT(($B113/G$5)))*(INDEX('D Fleet'!$K$5:$K$36,INT(($B113/G$5))+2)-INDEX('D Fleet'!$K$5:$K$36,INT(($B113/G$5))+1)),0)</f>
        <v/>
      </c>
      <c r="H113" s="276">
        <f>IFERROR(INDEX('D Fleet'!$E$5:$E$62,MATCH(H$3-$B113,'D Fleet'!$B$5:$B$62,0)),0)*IFERROR(INDEX('D Fleet'!$K$5:$K$36,INT(($B113/H$5))+1)+(($B113/H$5)-INT(($B113/H$5)))*(INDEX('D Fleet'!$K$5:$K$36,INT(($B113/H$5))+2)-INDEX('D Fleet'!$K$5:$K$36,INT(($B113/H$5))+1)),0)</f>
        <v/>
      </c>
      <c r="I113" s="276">
        <f>IFERROR(INDEX('D Fleet'!$E$5:$E$62,MATCH(I$3-$B113,'D Fleet'!$B$5:$B$62,0)),0)*IFERROR(INDEX('D Fleet'!$K$5:$K$36,INT(($B113/I$5))+1)+(($B113/I$5)-INT(($B113/I$5)))*(INDEX('D Fleet'!$K$5:$K$36,INT(($B113/I$5))+2)-INDEX('D Fleet'!$K$5:$K$36,INT(($B113/I$5))+1)),0)</f>
        <v/>
      </c>
      <c r="J113" s="276">
        <f>IFERROR(INDEX('D Fleet'!$E$5:$E$62,MATCH(J$3-$B113,'D Fleet'!$B$5:$B$62,0)),0)*IFERROR(INDEX('D Fleet'!$K$5:$K$36,INT(($B113/J$5))+1)+(($B113/J$5)-INT(($B113/J$5)))*(INDEX('D Fleet'!$K$5:$K$36,INT(($B113/J$5))+2)-INDEX('D Fleet'!$K$5:$K$36,INT(($B113/J$5))+1)),0)</f>
        <v/>
      </c>
      <c r="K113" s="276">
        <f>IFERROR(INDEX('D Fleet'!$E$5:$E$62,MATCH(K$3-$B113,'D Fleet'!$B$5:$B$62,0)),0)*IFERROR(INDEX('D Fleet'!$K$5:$K$36,INT(($B113/K$5))+1)+(($B113/K$5)-INT(($B113/K$5)))*(INDEX('D Fleet'!$K$5:$K$36,INT(($B113/K$5))+2)-INDEX('D Fleet'!$K$5:$K$36,INT(($B113/K$5))+1)),0)</f>
        <v/>
      </c>
      <c r="L113" s="276">
        <f>IFERROR(INDEX('D Fleet'!$E$5:$E$62,MATCH(L$3-$B113,'D Fleet'!$B$5:$B$62,0)),0)*IFERROR(INDEX('D Fleet'!$K$5:$K$36,INT(($B113/L$5))+1)+(($B113/L$5)-INT(($B113/L$5)))*(INDEX('D Fleet'!$K$5:$K$36,INT(($B113/L$5))+2)-INDEX('D Fleet'!$K$5:$K$36,INT(($B113/L$5))+1)),0)</f>
        <v/>
      </c>
      <c r="M113" s="276">
        <f>IFERROR(INDEX('D Fleet'!$E$5:$E$62,MATCH(M$3-$B113,'D Fleet'!$B$5:$B$62,0)),0)*IFERROR(INDEX('D Fleet'!$K$5:$K$36,INT(($B113/M$5))+1)+(($B113/M$5)-INT(($B113/M$5)))*(INDEX('D Fleet'!$K$5:$K$36,INT(($B113/M$5))+2)-INDEX('D Fleet'!$K$5:$K$36,INT(($B113/M$5))+1)),0)</f>
        <v/>
      </c>
      <c r="N113" s="276">
        <f>IFERROR(INDEX('D Fleet'!$E$5:$E$62,MATCH(N$3-$B113,'D Fleet'!$B$5:$B$62,0)),0)*IFERROR(INDEX('D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Fleet'!$E$5:$E$62,MATCH(E$3-$B114,'D Fleet'!$B$5:$B$62,0)),0)*IFERROR(INDEX('D Fleet'!$K$5:$K$36,INT(($B114/E$5))+1)+(($B114/E$5)-INT(($B114/E$5)))*(INDEX('D Fleet'!$K$5:$K$36,INT(($B114/E$5))+2)-INDEX('D Fleet'!$K$5:$K$36,INT(($B114/E$5))+1)),0)</f>
        <v/>
      </c>
      <c r="F114" s="276">
        <f>IFERROR(INDEX('D Fleet'!$E$5:$E$62,MATCH(F$3-$B114,'D Fleet'!$B$5:$B$62,0)),0)*IFERROR(INDEX('D Fleet'!$K$5:$K$36,INT(($B114/F$5))+1)+(($B114/F$5)-INT(($B114/F$5)))*(INDEX('D Fleet'!$K$5:$K$36,INT(($B114/F$5))+2)-INDEX('D Fleet'!$K$5:$K$36,INT(($B114/F$5))+1)),0)</f>
        <v/>
      </c>
      <c r="G114" s="276">
        <f>IFERROR(INDEX('D Fleet'!$E$5:$E$62,MATCH(G$3-$B114,'D Fleet'!$B$5:$B$62,0)),0)*IFERROR(INDEX('D Fleet'!$K$5:$K$36,INT(($B114/G$5))+1)+(($B114/G$5)-INT(($B114/G$5)))*(INDEX('D Fleet'!$K$5:$K$36,INT(($B114/G$5))+2)-INDEX('D Fleet'!$K$5:$K$36,INT(($B114/G$5))+1)),0)</f>
        <v/>
      </c>
      <c r="H114" s="276">
        <f>IFERROR(INDEX('D Fleet'!$E$5:$E$62,MATCH(H$3-$B114,'D Fleet'!$B$5:$B$62,0)),0)*IFERROR(INDEX('D Fleet'!$K$5:$K$36,INT(($B114/H$5))+1)+(($B114/H$5)-INT(($B114/H$5)))*(INDEX('D Fleet'!$K$5:$K$36,INT(($B114/H$5))+2)-INDEX('D Fleet'!$K$5:$K$36,INT(($B114/H$5))+1)),0)</f>
        <v/>
      </c>
      <c r="I114" s="276">
        <f>IFERROR(INDEX('D Fleet'!$E$5:$E$62,MATCH(I$3-$B114,'D Fleet'!$B$5:$B$62,0)),0)*IFERROR(INDEX('D Fleet'!$K$5:$K$36,INT(($B114/I$5))+1)+(($B114/I$5)-INT(($B114/I$5)))*(INDEX('D Fleet'!$K$5:$K$36,INT(($B114/I$5))+2)-INDEX('D Fleet'!$K$5:$K$36,INT(($B114/I$5))+1)),0)</f>
        <v/>
      </c>
      <c r="J114" s="276">
        <f>IFERROR(INDEX('D Fleet'!$E$5:$E$62,MATCH(J$3-$B114,'D Fleet'!$B$5:$B$62,0)),0)*IFERROR(INDEX('D Fleet'!$K$5:$K$36,INT(($B114/J$5))+1)+(($B114/J$5)-INT(($B114/J$5)))*(INDEX('D Fleet'!$K$5:$K$36,INT(($B114/J$5))+2)-INDEX('D Fleet'!$K$5:$K$36,INT(($B114/J$5))+1)),0)</f>
        <v/>
      </c>
      <c r="K114" s="276">
        <f>IFERROR(INDEX('D Fleet'!$E$5:$E$62,MATCH(K$3-$B114,'D Fleet'!$B$5:$B$62,0)),0)*IFERROR(INDEX('D Fleet'!$K$5:$K$36,INT(($B114/K$5))+1)+(($B114/K$5)-INT(($B114/K$5)))*(INDEX('D Fleet'!$K$5:$K$36,INT(($B114/K$5))+2)-INDEX('D Fleet'!$K$5:$K$36,INT(($B114/K$5))+1)),0)</f>
        <v/>
      </c>
      <c r="L114" s="276">
        <f>IFERROR(INDEX('D Fleet'!$E$5:$E$62,MATCH(L$3-$B114,'D Fleet'!$B$5:$B$62,0)),0)*IFERROR(INDEX('D Fleet'!$K$5:$K$36,INT(($B114/L$5))+1)+(($B114/L$5)-INT(($B114/L$5)))*(INDEX('D Fleet'!$K$5:$K$36,INT(($B114/L$5))+2)-INDEX('D Fleet'!$K$5:$K$36,INT(($B114/L$5))+1)),0)</f>
        <v/>
      </c>
      <c r="M114" s="276">
        <f>IFERROR(INDEX('D Fleet'!$E$5:$E$62,MATCH(M$3-$B114,'D Fleet'!$B$5:$B$62,0)),0)*IFERROR(INDEX('D Fleet'!$K$5:$K$36,INT(($B114/M$5))+1)+(($B114/M$5)-INT(($B114/M$5)))*(INDEX('D Fleet'!$K$5:$K$36,INT(($B114/M$5))+2)-INDEX('D Fleet'!$K$5:$K$36,INT(($B114/M$5))+1)),0)</f>
        <v/>
      </c>
      <c r="N114" s="276">
        <f>IFERROR(INDEX('D Fleet'!$E$5:$E$62,MATCH(N$3-$B114,'D Fleet'!$B$5:$B$62,0)),0)*IFERROR(INDEX('D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Fleet'!$E$5:$E$62,MATCH(E$3-$B115,'D Fleet'!$B$5:$B$62,0)),0)*IFERROR(INDEX('D Fleet'!$K$5:$K$36,INT(($B115/E$5))+1)+(($B115/E$5)-INT(($B115/E$5)))*(INDEX('D Fleet'!$K$5:$K$36,INT(($B115/E$5))+2)-INDEX('D Fleet'!$K$5:$K$36,INT(($B115/E$5))+1)),0)</f>
        <v/>
      </c>
      <c r="F115" s="276">
        <f>IFERROR(INDEX('D Fleet'!$E$5:$E$62,MATCH(F$3-$B115,'D Fleet'!$B$5:$B$62,0)),0)*IFERROR(INDEX('D Fleet'!$K$5:$K$36,INT(($B115/F$5))+1)+(($B115/F$5)-INT(($B115/F$5)))*(INDEX('D Fleet'!$K$5:$K$36,INT(($B115/F$5))+2)-INDEX('D Fleet'!$K$5:$K$36,INT(($B115/F$5))+1)),0)</f>
        <v/>
      </c>
      <c r="G115" s="276">
        <f>IFERROR(INDEX('D Fleet'!$E$5:$E$62,MATCH(G$3-$B115,'D Fleet'!$B$5:$B$62,0)),0)*IFERROR(INDEX('D Fleet'!$K$5:$K$36,INT(($B115/G$5))+1)+(($B115/G$5)-INT(($B115/G$5)))*(INDEX('D Fleet'!$K$5:$K$36,INT(($B115/G$5))+2)-INDEX('D Fleet'!$K$5:$K$36,INT(($B115/G$5))+1)),0)</f>
        <v/>
      </c>
      <c r="H115" s="276">
        <f>IFERROR(INDEX('D Fleet'!$E$5:$E$62,MATCH(H$3-$B115,'D Fleet'!$B$5:$B$62,0)),0)*IFERROR(INDEX('D Fleet'!$K$5:$K$36,INT(($B115/H$5))+1)+(($B115/H$5)-INT(($B115/H$5)))*(INDEX('D Fleet'!$K$5:$K$36,INT(($B115/H$5))+2)-INDEX('D Fleet'!$K$5:$K$36,INT(($B115/H$5))+1)),0)</f>
        <v/>
      </c>
      <c r="I115" s="276">
        <f>IFERROR(INDEX('D Fleet'!$E$5:$E$62,MATCH(I$3-$B115,'D Fleet'!$B$5:$B$62,0)),0)*IFERROR(INDEX('D Fleet'!$K$5:$K$36,INT(($B115/I$5))+1)+(($B115/I$5)-INT(($B115/I$5)))*(INDEX('D Fleet'!$K$5:$K$36,INT(($B115/I$5))+2)-INDEX('D Fleet'!$K$5:$K$36,INT(($B115/I$5))+1)),0)</f>
        <v/>
      </c>
      <c r="J115" s="276">
        <f>IFERROR(INDEX('D Fleet'!$E$5:$E$62,MATCH(J$3-$B115,'D Fleet'!$B$5:$B$62,0)),0)*IFERROR(INDEX('D Fleet'!$K$5:$K$36,INT(($B115/J$5))+1)+(($B115/J$5)-INT(($B115/J$5)))*(INDEX('D Fleet'!$K$5:$K$36,INT(($B115/J$5))+2)-INDEX('D Fleet'!$K$5:$K$36,INT(($B115/J$5))+1)),0)</f>
        <v/>
      </c>
      <c r="K115" s="276">
        <f>IFERROR(INDEX('D Fleet'!$E$5:$E$62,MATCH(K$3-$B115,'D Fleet'!$B$5:$B$62,0)),0)*IFERROR(INDEX('D Fleet'!$K$5:$K$36,INT(($B115/K$5))+1)+(($B115/K$5)-INT(($B115/K$5)))*(INDEX('D Fleet'!$K$5:$K$36,INT(($B115/K$5))+2)-INDEX('D Fleet'!$K$5:$K$36,INT(($B115/K$5))+1)),0)</f>
        <v/>
      </c>
      <c r="L115" s="276">
        <f>IFERROR(INDEX('D Fleet'!$E$5:$E$62,MATCH(L$3-$B115,'D Fleet'!$B$5:$B$62,0)),0)*IFERROR(INDEX('D Fleet'!$K$5:$K$36,INT(($B115/L$5))+1)+(($B115/L$5)-INT(($B115/L$5)))*(INDEX('D Fleet'!$K$5:$K$36,INT(($B115/L$5))+2)-INDEX('D Fleet'!$K$5:$K$36,INT(($B115/L$5))+1)),0)</f>
        <v/>
      </c>
      <c r="M115" s="276">
        <f>IFERROR(INDEX('D Fleet'!$E$5:$E$62,MATCH(M$3-$B115,'D Fleet'!$B$5:$B$62,0)),0)*IFERROR(INDEX('D Fleet'!$K$5:$K$36,INT(($B115/M$5))+1)+(($B115/M$5)-INT(($B115/M$5)))*(INDEX('D Fleet'!$K$5:$K$36,INT(($B115/M$5))+2)-INDEX('D Fleet'!$K$5:$K$36,INT(($B115/M$5))+1)),0)</f>
        <v/>
      </c>
      <c r="N115" s="276">
        <f>IFERROR(INDEX('D Fleet'!$E$5:$E$62,MATCH(N$3-$B115,'D Fleet'!$B$5:$B$62,0)),0)*IFERROR(INDEX('D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Fleet'!$E$5:$E$62,MATCH(E$3-$B116,'D Fleet'!$B$5:$B$62,0)),0)*IFERROR(INDEX('D Fleet'!$K$5:$K$36,INT(($B116/E$5))+1)+(($B116/E$5)-INT(($B116/E$5)))*(INDEX('D Fleet'!$K$5:$K$36,INT(($B116/E$5))+2)-INDEX('D Fleet'!$K$5:$K$36,INT(($B116/E$5))+1)),0)</f>
        <v/>
      </c>
      <c r="F116" s="276">
        <f>IFERROR(INDEX('D Fleet'!$E$5:$E$62,MATCH(F$3-$B116,'D Fleet'!$B$5:$B$62,0)),0)*IFERROR(INDEX('D Fleet'!$K$5:$K$36,INT(($B116/F$5))+1)+(($B116/F$5)-INT(($B116/F$5)))*(INDEX('D Fleet'!$K$5:$K$36,INT(($B116/F$5))+2)-INDEX('D Fleet'!$K$5:$K$36,INT(($B116/F$5))+1)),0)</f>
        <v/>
      </c>
      <c r="G116" s="276">
        <f>IFERROR(INDEX('D Fleet'!$E$5:$E$62,MATCH(G$3-$B116,'D Fleet'!$B$5:$B$62,0)),0)*IFERROR(INDEX('D Fleet'!$K$5:$K$36,INT(($B116/G$5))+1)+(($B116/G$5)-INT(($B116/G$5)))*(INDEX('D Fleet'!$K$5:$K$36,INT(($B116/G$5))+2)-INDEX('D Fleet'!$K$5:$K$36,INT(($B116/G$5))+1)),0)</f>
        <v/>
      </c>
      <c r="H116" s="276">
        <f>IFERROR(INDEX('D Fleet'!$E$5:$E$62,MATCH(H$3-$B116,'D Fleet'!$B$5:$B$62,0)),0)*IFERROR(INDEX('D Fleet'!$K$5:$K$36,INT(($B116/H$5))+1)+(($B116/H$5)-INT(($B116/H$5)))*(INDEX('D Fleet'!$K$5:$K$36,INT(($B116/H$5))+2)-INDEX('D Fleet'!$K$5:$K$36,INT(($B116/H$5))+1)),0)</f>
        <v/>
      </c>
      <c r="I116" s="276">
        <f>IFERROR(INDEX('D Fleet'!$E$5:$E$62,MATCH(I$3-$B116,'D Fleet'!$B$5:$B$62,0)),0)*IFERROR(INDEX('D Fleet'!$K$5:$K$36,INT(($B116/I$5))+1)+(($B116/I$5)-INT(($B116/I$5)))*(INDEX('D Fleet'!$K$5:$K$36,INT(($B116/I$5))+2)-INDEX('D Fleet'!$K$5:$K$36,INT(($B116/I$5))+1)),0)</f>
        <v/>
      </c>
      <c r="J116" s="276">
        <f>IFERROR(INDEX('D Fleet'!$E$5:$E$62,MATCH(J$3-$B116,'D Fleet'!$B$5:$B$62,0)),0)*IFERROR(INDEX('D Fleet'!$K$5:$K$36,INT(($B116/J$5))+1)+(($B116/J$5)-INT(($B116/J$5)))*(INDEX('D Fleet'!$K$5:$K$36,INT(($B116/J$5))+2)-INDEX('D Fleet'!$K$5:$K$36,INT(($B116/J$5))+1)),0)</f>
        <v/>
      </c>
      <c r="K116" s="276">
        <f>IFERROR(INDEX('D Fleet'!$E$5:$E$62,MATCH(K$3-$B116,'D Fleet'!$B$5:$B$62,0)),0)*IFERROR(INDEX('D Fleet'!$K$5:$K$36,INT(($B116/K$5))+1)+(($B116/K$5)-INT(($B116/K$5)))*(INDEX('D Fleet'!$K$5:$K$36,INT(($B116/K$5))+2)-INDEX('D Fleet'!$K$5:$K$36,INT(($B116/K$5))+1)),0)</f>
        <v/>
      </c>
      <c r="L116" s="276">
        <f>IFERROR(INDEX('D Fleet'!$E$5:$E$62,MATCH(L$3-$B116,'D Fleet'!$B$5:$B$62,0)),0)*IFERROR(INDEX('D Fleet'!$K$5:$K$36,INT(($B116/L$5))+1)+(($B116/L$5)-INT(($B116/L$5)))*(INDEX('D Fleet'!$K$5:$K$36,INT(($B116/L$5))+2)-INDEX('D Fleet'!$K$5:$K$36,INT(($B116/L$5))+1)),0)</f>
        <v/>
      </c>
      <c r="M116" s="276">
        <f>IFERROR(INDEX('D Fleet'!$E$5:$E$62,MATCH(M$3-$B116,'D Fleet'!$B$5:$B$62,0)),0)*IFERROR(INDEX('D Fleet'!$K$5:$K$36,INT(($B116/M$5))+1)+(($B116/M$5)-INT(($B116/M$5)))*(INDEX('D Fleet'!$K$5:$K$36,INT(($B116/M$5))+2)-INDEX('D Fleet'!$K$5:$K$36,INT(($B116/M$5))+1)),0)</f>
        <v/>
      </c>
      <c r="N116" s="276">
        <f>IFERROR(INDEX('D Fleet'!$E$5:$E$62,MATCH(N$3-$B116,'D Fleet'!$B$5:$B$62,0)),0)*IFERROR(INDEX('D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Fleet'!$E$5:$E$62,MATCH(E$3-$B117,'D Fleet'!$B$5:$B$62,0)),0)*IFERROR(INDEX('D Fleet'!$K$5:$K$36,INT(($B117/E$5))+1)+(($B117/E$5)-INT(($B117/E$5)))*(INDEX('D Fleet'!$K$5:$K$36,INT(($B117/E$5))+2)-INDEX('D Fleet'!$K$5:$K$36,INT(($B117/E$5))+1)),0)</f>
        <v/>
      </c>
      <c r="F117" s="276">
        <f>IFERROR(INDEX('D Fleet'!$E$5:$E$62,MATCH(F$3-$B117,'D Fleet'!$B$5:$B$62,0)),0)*IFERROR(INDEX('D Fleet'!$K$5:$K$36,INT(($B117/F$5))+1)+(($B117/F$5)-INT(($B117/F$5)))*(INDEX('D Fleet'!$K$5:$K$36,INT(($B117/F$5))+2)-INDEX('D Fleet'!$K$5:$K$36,INT(($B117/F$5))+1)),0)</f>
        <v/>
      </c>
      <c r="G117" s="276">
        <f>IFERROR(INDEX('D Fleet'!$E$5:$E$62,MATCH(G$3-$B117,'D Fleet'!$B$5:$B$62,0)),0)*IFERROR(INDEX('D Fleet'!$K$5:$K$36,INT(($B117/G$5))+1)+(($B117/G$5)-INT(($B117/G$5)))*(INDEX('D Fleet'!$K$5:$K$36,INT(($B117/G$5))+2)-INDEX('D Fleet'!$K$5:$K$36,INT(($B117/G$5))+1)),0)</f>
        <v/>
      </c>
      <c r="H117" s="276">
        <f>IFERROR(INDEX('D Fleet'!$E$5:$E$62,MATCH(H$3-$B117,'D Fleet'!$B$5:$B$62,0)),0)*IFERROR(INDEX('D Fleet'!$K$5:$K$36,INT(($B117/H$5))+1)+(($B117/H$5)-INT(($B117/H$5)))*(INDEX('D Fleet'!$K$5:$K$36,INT(($B117/H$5))+2)-INDEX('D Fleet'!$K$5:$K$36,INT(($B117/H$5))+1)),0)</f>
        <v/>
      </c>
      <c r="I117" s="276">
        <f>IFERROR(INDEX('D Fleet'!$E$5:$E$62,MATCH(I$3-$B117,'D Fleet'!$B$5:$B$62,0)),0)*IFERROR(INDEX('D Fleet'!$K$5:$K$36,INT(($B117/I$5))+1)+(($B117/I$5)-INT(($B117/I$5)))*(INDEX('D Fleet'!$K$5:$K$36,INT(($B117/I$5))+2)-INDEX('D Fleet'!$K$5:$K$36,INT(($B117/I$5))+1)),0)</f>
        <v/>
      </c>
      <c r="J117" s="276">
        <f>IFERROR(INDEX('D Fleet'!$E$5:$E$62,MATCH(J$3-$B117,'D Fleet'!$B$5:$B$62,0)),0)*IFERROR(INDEX('D Fleet'!$K$5:$K$36,INT(($B117/J$5))+1)+(($B117/J$5)-INT(($B117/J$5)))*(INDEX('D Fleet'!$K$5:$K$36,INT(($B117/J$5))+2)-INDEX('D Fleet'!$K$5:$K$36,INT(($B117/J$5))+1)),0)</f>
        <v/>
      </c>
      <c r="K117" s="276">
        <f>IFERROR(INDEX('D Fleet'!$E$5:$E$62,MATCH(K$3-$B117,'D Fleet'!$B$5:$B$62,0)),0)*IFERROR(INDEX('D Fleet'!$K$5:$K$36,INT(($B117/K$5))+1)+(($B117/K$5)-INT(($B117/K$5)))*(INDEX('D Fleet'!$K$5:$K$36,INT(($B117/K$5))+2)-INDEX('D Fleet'!$K$5:$K$36,INT(($B117/K$5))+1)),0)</f>
        <v/>
      </c>
      <c r="L117" s="276">
        <f>IFERROR(INDEX('D Fleet'!$E$5:$E$62,MATCH(L$3-$B117,'D Fleet'!$B$5:$B$62,0)),0)*IFERROR(INDEX('D Fleet'!$K$5:$K$36,INT(($B117/L$5))+1)+(($B117/L$5)-INT(($B117/L$5)))*(INDEX('D Fleet'!$K$5:$K$36,INT(($B117/L$5))+2)-INDEX('D Fleet'!$K$5:$K$36,INT(($B117/L$5))+1)),0)</f>
        <v/>
      </c>
      <c r="M117" s="276">
        <f>IFERROR(INDEX('D Fleet'!$E$5:$E$62,MATCH(M$3-$B117,'D Fleet'!$B$5:$B$62,0)),0)*IFERROR(INDEX('D Fleet'!$K$5:$K$36,INT(($B117/M$5))+1)+(($B117/M$5)-INT(($B117/M$5)))*(INDEX('D Fleet'!$K$5:$K$36,INT(($B117/M$5))+2)-INDEX('D Fleet'!$K$5:$K$36,INT(($B117/M$5))+1)),0)</f>
        <v/>
      </c>
      <c r="N117" s="276">
        <f>IFERROR(INDEX('D Fleet'!$E$5:$E$62,MATCH(N$3-$B117,'D Fleet'!$B$5:$B$62,0)),0)*IFERROR(INDEX('D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Fleet'!$E$5:$E$62,MATCH(E$3-$B118,'D Fleet'!$B$5:$B$62,0)),0)*IFERROR(INDEX('D Fleet'!$K$5:$K$36,INT(($B118/E$5))+1)+(($B118/E$5)-INT(($B118/E$5)))*(INDEX('D Fleet'!$K$5:$K$36,INT(($B118/E$5))+2)-INDEX('D Fleet'!$K$5:$K$36,INT(($B118/E$5))+1)),0)</f>
        <v/>
      </c>
      <c r="F118" s="276">
        <f>IFERROR(INDEX('D Fleet'!$E$5:$E$62,MATCH(F$3-$B118,'D Fleet'!$B$5:$B$62,0)),0)*IFERROR(INDEX('D Fleet'!$K$5:$K$36,INT(($B118/F$5))+1)+(($B118/F$5)-INT(($B118/F$5)))*(INDEX('D Fleet'!$K$5:$K$36,INT(($B118/F$5))+2)-INDEX('D Fleet'!$K$5:$K$36,INT(($B118/F$5))+1)),0)</f>
        <v/>
      </c>
      <c r="G118" s="276">
        <f>IFERROR(INDEX('D Fleet'!$E$5:$E$62,MATCH(G$3-$B118,'D Fleet'!$B$5:$B$62,0)),0)*IFERROR(INDEX('D Fleet'!$K$5:$K$36,INT(($B118/G$5))+1)+(($B118/G$5)-INT(($B118/G$5)))*(INDEX('D Fleet'!$K$5:$K$36,INT(($B118/G$5))+2)-INDEX('D Fleet'!$K$5:$K$36,INT(($B118/G$5))+1)),0)</f>
        <v/>
      </c>
      <c r="H118" s="276">
        <f>IFERROR(INDEX('D Fleet'!$E$5:$E$62,MATCH(H$3-$B118,'D Fleet'!$B$5:$B$62,0)),0)*IFERROR(INDEX('D Fleet'!$K$5:$K$36,INT(($B118/H$5))+1)+(($B118/H$5)-INT(($B118/H$5)))*(INDEX('D Fleet'!$K$5:$K$36,INT(($B118/H$5))+2)-INDEX('D Fleet'!$K$5:$K$36,INT(($B118/H$5))+1)),0)</f>
        <v/>
      </c>
      <c r="I118" s="276">
        <f>IFERROR(INDEX('D Fleet'!$E$5:$E$62,MATCH(I$3-$B118,'D Fleet'!$B$5:$B$62,0)),0)*IFERROR(INDEX('D Fleet'!$K$5:$K$36,INT(($B118/I$5))+1)+(($B118/I$5)-INT(($B118/I$5)))*(INDEX('D Fleet'!$K$5:$K$36,INT(($B118/I$5))+2)-INDEX('D Fleet'!$K$5:$K$36,INT(($B118/I$5))+1)),0)</f>
        <v/>
      </c>
      <c r="J118" s="276">
        <f>IFERROR(INDEX('D Fleet'!$E$5:$E$62,MATCH(J$3-$B118,'D Fleet'!$B$5:$B$62,0)),0)*IFERROR(INDEX('D Fleet'!$K$5:$K$36,INT(($B118/J$5))+1)+(($B118/J$5)-INT(($B118/J$5)))*(INDEX('D Fleet'!$K$5:$K$36,INT(($B118/J$5))+2)-INDEX('D Fleet'!$K$5:$K$36,INT(($B118/J$5))+1)),0)</f>
        <v/>
      </c>
      <c r="K118" s="276">
        <f>IFERROR(INDEX('D Fleet'!$E$5:$E$62,MATCH(K$3-$B118,'D Fleet'!$B$5:$B$62,0)),0)*IFERROR(INDEX('D Fleet'!$K$5:$K$36,INT(($B118/K$5))+1)+(($B118/K$5)-INT(($B118/K$5)))*(INDEX('D Fleet'!$K$5:$K$36,INT(($B118/K$5))+2)-INDEX('D Fleet'!$K$5:$K$36,INT(($B118/K$5))+1)),0)</f>
        <v/>
      </c>
      <c r="L118" s="276">
        <f>IFERROR(INDEX('D Fleet'!$E$5:$E$62,MATCH(L$3-$B118,'D Fleet'!$B$5:$B$62,0)),0)*IFERROR(INDEX('D Fleet'!$K$5:$K$36,INT(($B118/L$5))+1)+(($B118/L$5)-INT(($B118/L$5)))*(INDEX('D Fleet'!$K$5:$K$36,INT(($B118/L$5))+2)-INDEX('D Fleet'!$K$5:$K$36,INT(($B118/L$5))+1)),0)</f>
        <v/>
      </c>
      <c r="M118" s="276">
        <f>IFERROR(INDEX('D Fleet'!$E$5:$E$62,MATCH(M$3-$B118,'D Fleet'!$B$5:$B$62,0)),0)*IFERROR(INDEX('D Fleet'!$K$5:$K$36,INT(($B118/M$5))+1)+(($B118/M$5)-INT(($B118/M$5)))*(INDEX('D Fleet'!$K$5:$K$36,INT(($B118/M$5))+2)-INDEX('D Fleet'!$K$5:$K$36,INT(($B118/M$5))+1)),0)</f>
        <v/>
      </c>
      <c r="N118" s="276">
        <f>IFERROR(INDEX('D Fleet'!$E$5:$E$62,MATCH(N$3-$B118,'D Fleet'!$B$5:$B$62,0)),0)*IFERROR(INDEX('D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Fleet'!$E$5:$E$62,MATCH(E$3-$B119,'D Fleet'!$B$5:$B$62,0)),0)*IFERROR(INDEX('D Fleet'!$K$5:$K$36,INT(($B119/E$5))+1)+(($B119/E$5)-INT(($B119/E$5)))*(INDEX('D Fleet'!$K$5:$K$36,INT(($B119/E$5))+2)-INDEX('D Fleet'!$K$5:$K$36,INT(($B119/E$5))+1)),0)</f>
        <v/>
      </c>
      <c r="F119" s="276">
        <f>IFERROR(INDEX('D Fleet'!$E$5:$E$62,MATCH(F$3-$B119,'D Fleet'!$B$5:$B$62,0)),0)*IFERROR(INDEX('D Fleet'!$K$5:$K$36,INT(($B119/F$5))+1)+(($B119/F$5)-INT(($B119/F$5)))*(INDEX('D Fleet'!$K$5:$K$36,INT(($B119/F$5))+2)-INDEX('D Fleet'!$K$5:$K$36,INT(($B119/F$5))+1)),0)</f>
        <v/>
      </c>
      <c r="G119" s="276">
        <f>IFERROR(INDEX('D Fleet'!$E$5:$E$62,MATCH(G$3-$B119,'D Fleet'!$B$5:$B$62,0)),0)*IFERROR(INDEX('D Fleet'!$K$5:$K$36,INT(($B119/G$5))+1)+(($B119/G$5)-INT(($B119/G$5)))*(INDEX('D Fleet'!$K$5:$K$36,INT(($B119/G$5))+2)-INDEX('D Fleet'!$K$5:$K$36,INT(($B119/G$5))+1)),0)</f>
        <v/>
      </c>
      <c r="H119" s="276">
        <f>IFERROR(INDEX('D Fleet'!$E$5:$E$62,MATCH(H$3-$B119,'D Fleet'!$B$5:$B$62,0)),0)*IFERROR(INDEX('D Fleet'!$K$5:$K$36,INT(($B119/H$5))+1)+(($B119/H$5)-INT(($B119/H$5)))*(INDEX('D Fleet'!$K$5:$K$36,INT(($B119/H$5))+2)-INDEX('D Fleet'!$K$5:$K$36,INT(($B119/H$5))+1)),0)</f>
        <v/>
      </c>
      <c r="I119" s="276">
        <f>IFERROR(INDEX('D Fleet'!$E$5:$E$62,MATCH(I$3-$B119,'D Fleet'!$B$5:$B$62,0)),0)*IFERROR(INDEX('D Fleet'!$K$5:$K$36,INT(($B119/I$5))+1)+(($B119/I$5)-INT(($B119/I$5)))*(INDEX('D Fleet'!$K$5:$K$36,INT(($B119/I$5))+2)-INDEX('D Fleet'!$K$5:$K$36,INT(($B119/I$5))+1)),0)</f>
        <v/>
      </c>
      <c r="J119" s="276">
        <f>IFERROR(INDEX('D Fleet'!$E$5:$E$62,MATCH(J$3-$B119,'D Fleet'!$B$5:$B$62,0)),0)*IFERROR(INDEX('D Fleet'!$K$5:$K$36,INT(($B119/J$5))+1)+(($B119/J$5)-INT(($B119/J$5)))*(INDEX('D Fleet'!$K$5:$K$36,INT(($B119/J$5))+2)-INDEX('D Fleet'!$K$5:$K$36,INT(($B119/J$5))+1)),0)</f>
        <v/>
      </c>
      <c r="K119" s="276">
        <f>IFERROR(INDEX('D Fleet'!$E$5:$E$62,MATCH(K$3-$B119,'D Fleet'!$B$5:$B$62,0)),0)*IFERROR(INDEX('D Fleet'!$K$5:$K$36,INT(($B119/K$5))+1)+(($B119/K$5)-INT(($B119/K$5)))*(INDEX('D Fleet'!$K$5:$K$36,INT(($B119/K$5))+2)-INDEX('D Fleet'!$K$5:$K$36,INT(($B119/K$5))+1)),0)</f>
        <v/>
      </c>
      <c r="L119" s="276">
        <f>IFERROR(INDEX('D Fleet'!$E$5:$E$62,MATCH(L$3-$B119,'D Fleet'!$B$5:$B$62,0)),0)*IFERROR(INDEX('D Fleet'!$K$5:$K$36,INT(($B119/L$5))+1)+(($B119/L$5)-INT(($B119/L$5)))*(INDEX('D Fleet'!$K$5:$K$36,INT(($B119/L$5))+2)-INDEX('D Fleet'!$K$5:$K$36,INT(($B119/L$5))+1)),0)</f>
        <v/>
      </c>
      <c r="M119" s="276">
        <f>IFERROR(INDEX('D Fleet'!$E$5:$E$62,MATCH(M$3-$B119,'D Fleet'!$B$5:$B$62,0)),0)*IFERROR(INDEX('D Fleet'!$K$5:$K$36,INT(($B119/M$5))+1)+(($B119/M$5)-INT(($B119/M$5)))*(INDEX('D Fleet'!$K$5:$K$36,INT(($B119/M$5))+2)-INDEX('D Fleet'!$K$5:$K$36,INT(($B119/M$5))+1)),0)</f>
        <v/>
      </c>
      <c r="N119" s="276">
        <f>IFERROR(INDEX('D Fleet'!$E$5:$E$62,MATCH(N$3-$B119,'D Fleet'!$B$5:$B$62,0)),0)*IFERROR(INDEX('D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Fleet'!$E$5:$E$62,MATCH(E$3-$B120,'D Fleet'!$B$5:$B$62,0)),0)*IFERROR(INDEX('D Fleet'!$K$5:$K$36,INT(($B120/E$5))+1)+(($B120/E$5)-INT(($B120/E$5)))*(INDEX('D Fleet'!$K$5:$K$36,INT(($B120/E$5))+2)-INDEX('D Fleet'!$K$5:$K$36,INT(($B120/E$5))+1)),0)</f>
        <v/>
      </c>
      <c r="F120" s="276">
        <f>IFERROR(INDEX('D Fleet'!$E$5:$E$62,MATCH(F$3-$B120,'D Fleet'!$B$5:$B$62,0)),0)*IFERROR(INDEX('D Fleet'!$K$5:$K$36,INT(($B120/F$5))+1)+(($B120/F$5)-INT(($B120/F$5)))*(INDEX('D Fleet'!$K$5:$K$36,INT(($B120/F$5))+2)-INDEX('D Fleet'!$K$5:$K$36,INT(($B120/F$5))+1)),0)</f>
        <v/>
      </c>
      <c r="G120" s="276">
        <f>IFERROR(INDEX('D Fleet'!$E$5:$E$62,MATCH(G$3-$B120,'D Fleet'!$B$5:$B$62,0)),0)*IFERROR(INDEX('D Fleet'!$K$5:$K$36,INT(($B120/G$5))+1)+(($B120/G$5)-INT(($B120/G$5)))*(INDEX('D Fleet'!$K$5:$K$36,INT(($B120/G$5))+2)-INDEX('D Fleet'!$K$5:$K$36,INT(($B120/G$5))+1)),0)</f>
        <v/>
      </c>
      <c r="H120" s="276">
        <f>IFERROR(INDEX('D Fleet'!$E$5:$E$62,MATCH(H$3-$B120,'D Fleet'!$B$5:$B$62,0)),0)*IFERROR(INDEX('D Fleet'!$K$5:$K$36,INT(($B120/H$5))+1)+(($B120/H$5)-INT(($B120/H$5)))*(INDEX('D Fleet'!$K$5:$K$36,INT(($B120/H$5))+2)-INDEX('D Fleet'!$K$5:$K$36,INT(($B120/H$5))+1)),0)</f>
        <v/>
      </c>
      <c r="I120" s="276">
        <f>IFERROR(INDEX('D Fleet'!$E$5:$E$62,MATCH(I$3-$B120,'D Fleet'!$B$5:$B$62,0)),0)*IFERROR(INDEX('D Fleet'!$K$5:$K$36,INT(($B120/I$5))+1)+(($B120/I$5)-INT(($B120/I$5)))*(INDEX('D Fleet'!$K$5:$K$36,INT(($B120/I$5))+2)-INDEX('D Fleet'!$K$5:$K$36,INT(($B120/I$5))+1)),0)</f>
        <v/>
      </c>
      <c r="J120" s="276">
        <f>IFERROR(INDEX('D Fleet'!$E$5:$E$62,MATCH(J$3-$B120,'D Fleet'!$B$5:$B$62,0)),0)*IFERROR(INDEX('D Fleet'!$K$5:$K$36,INT(($B120/J$5))+1)+(($B120/J$5)-INT(($B120/J$5)))*(INDEX('D Fleet'!$K$5:$K$36,INT(($B120/J$5))+2)-INDEX('D Fleet'!$K$5:$K$36,INT(($B120/J$5))+1)),0)</f>
        <v/>
      </c>
      <c r="K120" s="276">
        <f>IFERROR(INDEX('D Fleet'!$E$5:$E$62,MATCH(K$3-$B120,'D Fleet'!$B$5:$B$62,0)),0)*IFERROR(INDEX('D Fleet'!$K$5:$K$36,INT(($B120/K$5))+1)+(($B120/K$5)-INT(($B120/K$5)))*(INDEX('D Fleet'!$K$5:$K$36,INT(($B120/K$5))+2)-INDEX('D Fleet'!$K$5:$K$36,INT(($B120/K$5))+1)),0)</f>
        <v/>
      </c>
      <c r="L120" s="276">
        <f>IFERROR(INDEX('D Fleet'!$E$5:$E$62,MATCH(L$3-$B120,'D Fleet'!$B$5:$B$62,0)),0)*IFERROR(INDEX('D Fleet'!$K$5:$K$36,INT(($B120/L$5))+1)+(($B120/L$5)-INT(($B120/L$5)))*(INDEX('D Fleet'!$K$5:$K$36,INT(($B120/L$5))+2)-INDEX('D Fleet'!$K$5:$K$36,INT(($B120/L$5))+1)),0)</f>
        <v/>
      </c>
      <c r="M120" s="276">
        <f>IFERROR(INDEX('D Fleet'!$E$5:$E$62,MATCH(M$3-$B120,'D Fleet'!$B$5:$B$62,0)),0)*IFERROR(INDEX('D Fleet'!$K$5:$K$36,INT(($B120/M$5))+1)+(($B120/M$5)-INT(($B120/M$5)))*(INDEX('D Fleet'!$K$5:$K$36,INT(($B120/M$5))+2)-INDEX('D Fleet'!$K$5:$K$36,INT(($B120/M$5))+1)),0)</f>
        <v/>
      </c>
      <c r="N120" s="276">
        <f>IFERROR(INDEX('D Fleet'!$E$5:$E$62,MATCH(N$3-$B120,'D Fleet'!$B$5:$B$62,0)),0)*IFERROR(INDEX('D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Fleet'!$E$5:$E$62,MATCH(E$3-$B121,'D Fleet'!$B$5:$B$62,0)),0)*IFERROR(INDEX('D Fleet'!$K$5:$K$36,INT(($B121/E$5))+1)+(($B121/E$5)-INT(($B121/E$5)))*(INDEX('D Fleet'!$K$5:$K$36,INT(($B121/E$5))+2)-INDEX('D Fleet'!$K$5:$K$36,INT(($B121/E$5))+1)),0)</f>
        <v/>
      </c>
      <c r="F121" s="276">
        <f>IFERROR(INDEX('D Fleet'!$E$5:$E$62,MATCH(F$3-$B121,'D Fleet'!$B$5:$B$62,0)),0)*IFERROR(INDEX('D Fleet'!$K$5:$K$36,INT(($B121/F$5))+1)+(($B121/F$5)-INT(($B121/F$5)))*(INDEX('D Fleet'!$K$5:$K$36,INT(($B121/F$5))+2)-INDEX('D Fleet'!$K$5:$K$36,INT(($B121/F$5))+1)),0)</f>
        <v/>
      </c>
      <c r="G121" s="276">
        <f>IFERROR(INDEX('D Fleet'!$E$5:$E$62,MATCH(G$3-$B121,'D Fleet'!$B$5:$B$62,0)),0)*IFERROR(INDEX('D Fleet'!$K$5:$K$36,INT(($B121/G$5))+1)+(($B121/G$5)-INT(($B121/G$5)))*(INDEX('D Fleet'!$K$5:$K$36,INT(($B121/G$5))+2)-INDEX('D Fleet'!$K$5:$K$36,INT(($B121/G$5))+1)),0)</f>
        <v/>
      </c>
      <c r="H121" s="276">
        <f>IFERROR(INDEX('D Fleet'!$E$5:$E$62,MATCH(H$3-$B121,'D Fleet'!$B$5:$B$62,0)),0)*IFERROR(INDEX('D Fleet'!$K$5:$K$36,INT(($B121/H$5))+1)+(($B121/H$5)-INT(($B121/H$5)))*(INDEX('D Fleet'!$K$5:$K$36,INT(($B121/H$5))+2)-INDEX('D Fleet'!$K$5:$K$36,INT(($B121/H$5))+1)),0)</f>
        <v/>
      </c>
      <c r="I121" s="276">
        <f>IFERROR(INDEX('D Fleet'!$E$5:$E$62,MATCH(I$3-$B121,'D Fleet'!$B$5:$B$62,0)),0)*IFERROR(INDEX('D Fleet'!$K$5:$K$36,INT(($B121/I$5))+1)+(($B121/I$5)-INT(($B121/I$5)))*(INDEX('D Fleet'!$K$5:$K$36,INT(($B121/I$5))+2)-INDEX('D Fleet'!$K$5:$K$36,INT(($B121/I$5))+1)),0)</f>
        <v/>
      </c>
      <c r="J121" s="276">
        <f>IFERROR(INDEX('D Fleet'!$E$5:$E$62,MATCH(J$3-$B121,'D Fleet'!$B$5:$B$62,0)),0)*IFERROR(INDEX('D Fleet'!$K$5:$K$36,INT(($B121/J$5))+1)+(($B121/J$5)-INT(($B121/J$5)))*(INDEX('D Fleet'!$K$5:$K$36,INT(($B121/J$5))+2)-INDEX('D Fleet'!$K$5:$K$36,INT(($B121/J$5))+1)),0)</f>
        <v/>
      </c>
      <c r="K121" s="276">
        <f>IFERROR(INDEX('D Fleet'!$E$5:$E$62,MATCH(K$3-$B121,'D Fleet'!$B$5:$B$62,0)),0)*IFERROR(INDEX('D Fleet'!$K$5:$K$36,INT(($B121/K$5))+1)+(($B121/K$5)-INT(($B121/K$5)))*(INDEX('D Fleet'!$K$5:$K$36,INT(($B121/K$5))+2)-INDEX('D Fleet'!$K$5:$K$36,INT(($B121/K$5))+1)),0)</f>
        <v/>
      </c>
      <c r="L121" s="276">
        <f>IFERROR(INDEX('D Fleet'!$E$5:$E$62,MATCH(L$3-$B121,'D Fleet'!$B$5:$B$62,0)),0)*IFERROR(INDEX('D Fleet'!$K$5:$K$36,INT(($B121/L$5))+1)+(($B121/L$5)-INT(($B121/L$5)))*(INDEX('D Fleet'!$K$5:$K$36,INT(($B121/L$5))+2)-INDEX('D Fleet'!$K$5:$K$36,INT(($B121/L$5))+1)),0)</f>
        <v/>
      </c>
      <c r="M121" s="276">
        <f>IFERROR(INDEX('D Fleet'!$E$5:$E$62,MATCH(M$3-$B121,'D Fleet'!$B$5:$B$62,0)),0)*IFERROR(INDEX('D Fleet'!$K$5:$K$36,INT(($B121/M$5))+1)+(($B121/M$5)-INT(($B121/M$5)))*(INDEX('D Fleet'!$K$5:$K$36,INT(($B121/M$5))+2)-INDEX('D Fleet'!$K$5:$K$36,INT(($B121/M$5))+1)),0)</f>
        <v/>
      </c>
      <c r="N121" s="276">
        <f>IFERROR(INDEX('D Fleet'!$E$5:$E$62,MATCH(N$3-$B121,'D Fleet'!$B$5:$B$62,0)),0)*IFERROR(INDEX('D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Fleet'!$E$5:$E$62,MATCH(E$3-$B122,'D Fleet'!$B$5:$B$62,0)),0)*IFERROR(INDEX('D Fleet'!$K$5:$K$36,INT(($B122/E$5))+1)+(($B122/E$5)-INT(($B122/E$5)))*(INDEX('D Fleet'!$K$5:$K$36,INT(($B122/E$5))+2)-INDEX('D Fleet'!$K$5:$K$36,INT(($B122/E$5))+1)),0)</f>
        <v/>
      </c>
      <c r="F122" s="276">
        <f>IFERROR(INDEX('D Fleet'!$E$5:$E$62,MATCH(F$3-$B122,'D Fleet'!$B$5:$B$62,0)),0)*IFERROR(INDEX('D Fleet'!$K$5:$K$36,INT(($B122/F$5))+1)+(($B122/F$5)-INT(($B122/F$5)))*(INDEX('D Fleet'!$K$5:$K$36,INT(($B122/F$5))+2)-INDEX('D Fleet'!$K$5:$K$36,INT(($B122/F$5))+1)),0)</f>
        <v/>
      </c>
      <c r="G122" s="276">
        <f>IFERROR(INDEX('D Fleet'!$E$5:$E$62,MATCH(G$3-$B122,'D Fleet'!$B$5:$B$62,0)),0)*IFERROR(INDEX('D Fleet'!$K$5:$K$36,INT(($B122/G$5))+1)+(($B122/G$5)-INT(($B122/G$5)))*(INDEX('D Fleet'!$K$5:$K$36,INT(($B122/G$5))+2)-INDEX('D Fleet'!$K$5:$K$36,INT(($B122/G$5))+1)),0)</f>
        <v/>
      </c>
      <c r="H122" s="276">
        <f>IFERROR(INDEX('D Fleet'!$E$5:$E$62,MATCH(H$3-$B122,'D Fleet'!$B$5:$B$62,0)),0)*IFERROR(INDEX('D Fleet'!$K$5:$K$36,INT(($B122/H$5))+1)+(($B122/H$5)-INT(($B122/H$5)))*(INDEX('D Fleet'!$K$5:$K$36,INT(($B122/H$5))+2)-INDEX('D Fleet'!$K$5:$K$36,INT(($B122/H$5))+1)),0)</f>
        <v/>
      </c>
      <c r="I122" s="276">
        <f>IFERROR(INDEX('D Fleet'!$E$5:$E$62,MATCH(I$3-$B122,'D Fleet'!$B$5:$B$62,0)),0)*IFERROR(INDEX('D Fleet'!$K$5:$K$36,INT(($B122/I$5))+1)+(($B122/I$5)-INT(($B122/I$5)))*(INDEX('D Fleet'!$K$5:$K$36,INT(($B122/I$5))+2)-INDEX('D Fleet'!$K$5:$K$36,INT(($B122/I$5))+1)),0)</f>
        <v/>
      </c>
      <c r="J122" s="276">
        <f>IFERROR(INDEX('D Fleet'!$E$5:$E$62,MATCH(J$3-$B122,'D Fleet'!$B$5:$B$62,0)),0)*IFERROR(INDEX('D Fleet'!$K$5:$K$36,INT(($B122/J$5))+1)+(($B122/J$5)-INT(($B122/J$5)))*(INDEX('D Fleet'!$K$5:$K$36,INT(($B122/J$5))+2)-INDEX('D Fleet'!$K$5:$K$36,INT(($B122/J$5))+1)),0)</f>
        <v/>
      </c>
      <c r="K122" s="276">
        <f>IFERROR(INDEX('D Fleet'!$E$5:$E$62,MATCH(K$3-$B122,'D Fleet'!$B$5:$B$62,0)),0)*IFERROR(INDEX('D Fleet'!$K$5:$K$36,INT(($B122/K$5))+1)+(($B122/K$5)-INT(($B122/K$5)))*(INDEX('D Fleet'!$K$5:$K$36,INT(($B122/K$5))+2)-INDEX('D Fleet'!$K$5:$K$36,INT(($B122/K$5))+1)),0)</f>
        <v/>
      </c>
      <c r="L122" s="276">
        <f>IFERROR(INDEX('D Fleet'!$E$5:$E$62,MATCH(L$3-$B122,'D Fleet'!$B$5:$B$62,0)),0)*IFERROR(INDEX('D Fleet'!$K$5:$K$36,INT(($B122/L$5))+1)+(($B122/L$5)-INT(($B122/L$5)))*(INDEX('D Fleet'!$K$5:$K$36,INT(($B122/L$5))+2)-INDEX('D Fleet'!$K$5:$K$36,INT(($B122/L$5))+1)),0)</f>
        <v/>
      </c>
      <c r="M122" s="276">
        <f>IFERROR(INDEX('D Fleet'!$E$5:$E$62,MATCH(M$3-$B122,'D Fleet'!$B$5:$B$62,0)),0)*IFERROR(INDEX('D Fleet'!$K$5:$K$36,INT(($B122/M$5))+1)+(($B122/M$5)-INT(($B122/M$5)))*(INDEX('D Fleet'!$K$5:$K$36,INT(($B122/M$5))+2)-INDEX('D Fleet'!$K$5:$K$36,INT(($B122/M$5))+1)),0)</f>
        <v/>
      </c>
      <c r="N122" s="276">
        <f>IFERROR(INDEX('D Fleet'!$E$5:$E$62,MATCH(N$3-$B122,'D Fleet'!$B$5:$B$62,0)),0)*IFERROR(INDEX('D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Fleet'!$E$5:$E$62,MATCH(E$3-$B123,'D Fleet'!$B$5:$B$62,0)),0)*IFERROR(INDEX('D Fleet'!$K$5:$K$36,INT(($B123/E$5))+1)+(($B123/E$5)-INT(($B123/E$5)))*(INDEX('D Fleet'!$K$5:$K$36,INT(($B123/E$5))+2)-INDEX('D Fleet'!$K$5:$K$36,INT(($B123/E$5))+1)),0)</f>
        <v/>
      </c>
      <c r="F123" s="276">
        <f>IFERROR(INDEX('D Fleet'!$E$5:$E$62,MATCH(F$3-$B123,'D Fleet'!$B$5:$B$62,0)),0)*IFERROR(INDEX('D Fleet'!$K$5:$K$36,INT(($B123/F$5))+1)+(($B123/F$5)-INT(($B123/F$5)))*(INDEX('D Fleet'!$K$5:$K$36,INT(($B123/F$5))+2)-INDEX('D Fleet'!$K$5:$K$36,INT(($B123/F$5))+1)),0)</f>
        <v/>
      </c>
      <c r="G123" s="276">
        <f>IFERROR(INDEX('D Fleet'!$E$5:$E$62,MATCH(G$3-$B123,'D Fleet'!$B$5:$B$62,0)),0)*IFERROR(INDEX('D Fleet'!$K$5:$K$36,INT(($B123/G$5))+1)+(($B123/G$5)-INT(($B123/G$5)))*(INDEX('D Fleet'!$K$5:$K$36,INT(($B123/G$5))+2)-INDEX('D Fleet'!$K$5:$K$36,INT(($B123/G$5))+1)),0)</f>
        <v/>
      </c>
      <c r="H123" s="276">
        <f>IFERROR(INDEX('D Fleet'!$E$5:$E$62,MATCH(H$3-$B123,'D Fleet'!$B$5:$B$62,0)),0)*IFERROR(INDEX('D Fleet'!$K$5:$K$36,INT(($B123/H$5))+1)+(($B123/H$5)-INT(($B123/H$5)))*(INDEX('D Fleet'!$K$5:$K$36,INT(($B123/H$5))+2)-INDEX('D Fleet'!$K$5:$K$36,INT(($B123/H$5))+1)),0)</f>
        <v/>
      </c>
      <c r="I123" s="276">
        <f>IFERROR(INDEX('D Fleet'!$E$5:$E$62,MATCH(I$3-$B123,'D Fleet'!$B$5:$B$62,0)),0)*IFERROR(INDEX('D Fleet'!$K$5:$K$36,INT(($B123/I$5))+1)+(($B123/I$5)-INT(($B123/I$5)))*(INDEX('D Fleet'!$K$5:$K$36,INT(($B123/I$5))+2)-INDEX('D Fleet'!$K$5:$K$36,INT(($B123/I$5))+1)),0)</f>
        <v/>
      </c>
      <c r="J123" s="276">
        <f>IFERROR(INDEX('D Fleet'!$E$5:$E$62,MATCH(J$3-$B123,'D Fleet'!$B$5:$B$62,0)),0)*IFERROR(INDEX('D Fleet'!$K$5:$K$36,INT(($B123/J$5))+1)+(($B123/J$5)-INT(($B123/J$5)))*(INDEX('D Fleet'!$K$5:$K$36,INT(($B123/J$5))+2)-INDEX('D Fleet'!$K$5:$K$36,INT(($B123/J$5))+1)),0)</f>
        <v/>
      </c>
      <c r="K123" s="276">
        <f>IFERROR(INDEX('D Fleet'!$E$5:$E$62,MATCH(K$3-$B123,'D Fleet'!$B$5:$B$62,0)),0)*IFERROR(INDEX('D Fleet'!$K$5:$K$36,INT(($B123/K$5))+1)+(($B123/K$5)-INT(($B123/K$5)))*(INDEX('D Fleet'!$K$5:$K$36,INT(($B123/K$5))+2)-INDEX('D Fleet'!$K$5:$K$36,INT(($B123/K$5))+1)),0)</f>
        <v/>
      </c>
      <c r="L123" s="276">
        <f>IFERROR(INDEX('D Fleet'!$E$5:$E$62,MATCH(L$3-$B123,'D Fleet'!$B$5:$B$62,0)),0)*IFERROR(INDEX('D Fleet'!$K$5:$K$36,INT(($B123/L$5))+1)+(($B123/L$5)-INT(($B123/L$5)))*(INDEX('D Fleet'!$K$5:$K$36,INT(($B123/L$5))+2)-INDEX('D Fleet'!$K$5:$K$36,INT(($B123/L$5))+1)),0)</f>
        <v/>
      </c>
      <c r="M123" s="276">
        <f>IFERROR(INDEX('D Fleet'!$E$5:$E$62,MATCH(M$3-$B123,'D Fleet'!$B$5:$B$62,0)),0)*IFERROR(INDEX('D Fleet'!$K$5:$K$36,INT(($B123/M$5))+1)+(($B123/M$5)-INT(($B123/M$5)))*(INDEX('D Fleet'!$K$5:$K$36,INT(($B123/M$5))+2)-INDEX('D Fleet'!$K$5:$K$36,INT(($B123/M$5))+1)),0)</f>
        <v/>
      </c>
      <c r="N123" s="276">
        <f>IFERROR(INDEX('D Fleet'!$E$5:$E$62,MATCH(N$3-$B123,'D Fleet'!$B$5:$B$62,0)),0)*IFERROR(INDEX('D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Fleet'!$E$5:$E$62,MATCH(E$3-$B124,'D Fleet'!$B$5:$B$62,0)),0)*IFERROR(INDEX('D Fleet'!$K$5:$K$36,INT(($B124/E$5))+1)+(($B124/E$5)-INT(($B124/E$5)))*(INDEX('D Fleet'!$K$5:$K$36,INT(($B124/E$5))+2)-INDEX('D Fleet'!$K$5:$K$36,INT(($B124/E$5))+1)),0)</f>
        <v/>
      </c>
      <c r="F124" s="276">
        <f>IFERROR(INDEX('D Fleet'!$E$5:$E$62,MATCH(F$3-$B124,'D Fleet'!$B$5:$B$62,0)),0)*IFERROR(INDEX('D Fleet'!$K$5:$K$36,INT(($B124/F$5))+1)+(($B124/F$5)-INT(($B124/F$5)))*(INDEX('D Fleet'!$K$5:$K$36,INT(($B124/F$5))+2)-INDEX('D Fleet'!$K$5:$K$36,INT(($B124/F$5))+1)),0)</f>
        <v/>
      </c>
      <c r="G124" s="276">
        <f>IFERROR(INDEX('D Fleet'!$E$5:$E$62,MATCH(G$3-$B124,'D Fleet'!$B$5:$B$62,0)),0)*IFERROR(INDEX('D Fleet'!$K$5:$K$36,INT(($B124/G$5))+1)+(($B124/G$5)-INT(($B124/G$5)))*(INDEX('D Fleet'!$K$5:$K$36,INT(($B124/G$5))+2)-INDEX('D Fleet'!$K$5:$K$36,INT(($B124/G$5))+1)),0)</f>
        <v/>
      </c>
      <c r="H124" s="276">
        <f>IFERROR(INDEX('D Fleet'!$E$5:$E$62,MATCH(H$3-$B124,'D Fleet'!$B$5:$B$62,0)),0)*IFERROR(INDEX('D Fleet'!$K$5:$K$36,INT(($B124/H$5))+1)+(($B124/H$5)-INT(($B124/H$5)))*(INDEX('D Fleet'!$K$5:$K$36,INT(($B124/H$5))+2)-INDEX('D Fleet'!$K$5:$K$36,INT(($B124/H$5))+1)),0)</f>
        <v/>
      </c>
      <c r="I124" s="276">
        <f>IFERROR(INDEX('D Fleet'!$E$5:$E$62,MATCH(I$3-$B124,'D Fleet'!$B$5:$B$62,0)),0)*IFERROR(INDEX('D Fleet'!$K$5:$K$36,INT(($B124/I$5))+1)+(($B124/I$5)-INT(($B124/I$5)))*(INDEX('D Fleet'!$K$5:$K$36,INT(($B124/I$5))+2)-INDEX('D Fleet'!$K$5:$K$36,INT(($B124/I$5))+1)),0)</f>
        <v/>
      </c>
      <c r="J124" s="276">
        <f>IFERROR(INDEX('D Fleet'!$E$5:$E$62,MATCH(J$3-$B124,'D Fleet'!$B$5:$B$62,0)),0)*IFERROR(INDEX('D Fleet'!$K$5:$K$36,INT(($B124/J$5))+1)+(($B124/J$5)-INT(($B124/J$5)))*(INDEX('D Fleet'!$K$5:$K$36,INT(($B124/J$5))+2)-INDEX('D Fleet'!$K$5:$K$36,INT(($B124/J$5))+1)),0)</f>
        <v/>
      </c>
      <c r="K124" s="276">
        <f>IFERROR(INDEX('D Fleet'!$E$5:$E$62,MATCH(K$3-$B124,'D Fleet'!$B$5:$B$62,0)),0)*IFERROR(INDEX('D Fleet'!$K$5:$K$36,INT(($B124/K$5))+1)+(($B124/K$5)-INT(($B124/K$5)))*(INDEX('D Fleet'!$K$5:$K$36,INT(($B124/K$5))+2)-INDEX('D Fleet'!$K$5:$K$36,INT(($B124/K$5))+1)),0)</f>
        <v/>
      </c>
      <c r="L124" s="276">
        <f>IFERROR(INDEX('D Fleet'!$E$5:$E$62,MATCH(L$3-$B124,'D Fleet'!$B$5:$B$62,0)),0)*IFERROR(INDEX('D Fleet'!$K$5:$K$36,INT(($B124/L$5))+1)+(($B124/L$5)-INT(($B124/L$5)))*(INDEX('D Fleet'!$K$5:$K$36,INT(($B124/L$5))+2)-INDEX('D Fleet'!$K$5:$K$36,INT(($B124/L$5))+1)),0)</f>
        <v/>
      </c>
      <c r="M124" s="276">
        <f>IFERROR(INDEX('D Fleet'!$E$5:$E$62,MATCH(M$3-$B124,'D Fleet'!$B$5:$B$62,0)),0)*IFERROR(INDEX('D Fleet'!$K$5:$K$36,INT(($B124/M$5))+1)+(($B124/M$5)-INT(($B124/M$5)))*(INDEX('D Fleet'!$K$5:$K$36,INT(($B124/M$5))+2)-INDEX('D Fleet'!$K$5:$K$36,INT(($B124/M$5))+1)),0)</f>
        <v/>
      </c>
      <c r="N124" s="276">
        <f>IFERROR(INDEX('D Fleet'!$E$5:$E$62,MATCH(N$3-$B124,'D Fleet'!$B$5:$B$62,0)),0)*IFERROR(INDEX('D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Fleet'!$E$5:$E$62,MATCH(E$3-$B125,'D Fleet'!$B$5:$B$62,0)),0)*IFERROR(INDEX('D Fleet'!$K$5:$K$36,INT(($B125/E$5))+1)+(($B125/E$5)-INT(($B125/E$5)))*(INDEX('D Fleet'!$K$5:$K$36,INT(($B125/E$5))+2)-INDEX('D Fleet'!$K$5:$K$36,INT(($B125/E$5))+1)),0)</f>
        <v/>
      </c>
      <c r="F125" s="276">
        <f>IFERROR(INDEX('D Fleet'!$E$5:$E$62,MATCH(F$3-$B125,'D Fleet'!$B$5:$B$62,0)),0)*IFERROR(INDEX('D Fleet'!$K$5:$K$36,INT(($B125/F$5))+1)+(($B125/F$5)-INT(($B125/F$5)))*(INDEX('D Fleet'!$K$5:$K$36,INT(($B125/F$5))+2)-INDEX('D Fleet'!$K$5:$K$36,INT(($B125/F$5))+1)),0)</f>
        <v/>
      </c>
      <c r="G125" s="276">
        <f>IFERROR(INDEX('D Fleet'!$E$5:$E$62,MATCH(G$3-$B125,'D Fleet'!$B$5:$B$62,0)),0)*IFERROR(INDEX('D Fleet'!$K$5:$K$36,INT(($B125/G$5))+1)+(($B125/G$5)-INT(($B125/G$5)))*(INDEX('D Fleet'!$K$5:$K$36,INT(($B125/G$5))+2)-INDEX('D Fleet'!$K$5:$K$36,INT(($B125/G$5))+1)),0)</f>
        <v/>
      </c>
      <c r="H125" s="276">
        <f>IFERROR(INDEX('D Fleet'!$E$5:$E$62,MATCH(H$3-$B125,'D Fleet'!$B$5:$B$62,0)),0)*IFERROR(INDEX('D Fleet'!$K$5:$K$36,INT(($B125/H$5))+1)+(($B125/H$5)-INT(($B125/H$5)))*(INDEX('D Fleet'!$K$5:$K$36,INT(($B125/H$5))+2)-INDEX('D Fleet'!$K$5:$K$36,INT(($B125/H$5))+1)),0)</f>
        <v/>
      </c>
      <c r="I125" s="276">
        <f>IFERROR(INDEX('D Fleet'!$E$5:$E$62,MATCH(I$3-$B125,'D Fleet'!$B$5:$B$62,0)),0)*IFERROR(INDEX('D Fleet'!$K$5:$K$36,INT(($B125/I$5))+1)+(($B125/I$5)-INT(($B125/I$5)))*(INDEX('D Fleet'!$K$5:$K$36,INT(($B125/I$5))+2)-INDEX('D Fleet'!$K$5:$K$36,INT(($B125/I$5))+1)),0)</f>
        <v/>
      </c>
      <c r="J125" s="276">
        <f>IFERROR(INDEX('D Fleet'!$E$5:$E$62,MATCH(J$3-$B125,'D Fleet'!$B$5:$B$62,0)),0)*IFERROR(INDEX('D Fleet'!$K$5:$K$36,INT(($B125/J$5))+1)+(($B125/J$5)-INT(($B125/J$5)))*(INDEX('D Fleet'!$K$5:$K$36,INT(($B125/J$5))+2)-INDEX('D Fleet'!$K$5:$K$36,INT(($B125/J$5))+1)),0)</f>
        <v/>
      </c>
      <c r="K125" s="276">
        <f>IFERROR(INDEX('D Fleet'!$E$5:$E$62,MATCH(K$3-$B125,'D Fleet'!$B$5:$B$62,0)),0)*IFERROR(INDEX('D Fleet'!$K$5:$K$36,INT(($B125/K$5))+1)+(($B125/K$5)-INT(($B125/K$5)))*(INDEX('D Fleet'!$K$5:$K$36,INT(($B125/K$5))+2)-INDEX('D Fleet'!$K$5:$K$36,INT(($B125/K$5))+1)),0)</f>
        <v/>
      </c>
      <c r="L125" s="276">
        <f>IFERROR(INDEX('D Fleet'!$E$5:$E$62,MATCH(L$3-$B125,'D Fleet'!$B$5:$B$62,0)),0)*IFERROR(INDEX('D Fleet'!$K$5:$K$36,INT(($B125/L$5))+1)+(($B125/L$5)-INT(($B125/L$5)))*(INDEX('D Fleet'!$K$5:$K$36,INT(($B125/L$5))+2)-INDEX('D Fleet'!$K$5:$K$36,INT(($B125/L$5))+1)),0)</f>
        <v/>
      </c>
      <c r="M125" s="276">
        <f>IFERROR(INDEX('D Fleet'!$E$5:$E$62,MATCH(M$3-$B125,'D Fleet'!$B$5:$B$62,0)),0)*IFERROR(INDEX('D Fleet'!$K$5:$K$36,INT(($B125/M$5))+1)+(($B125/M$5)-INT(($B125/M$5)))*(INDEX('D Fleet'!$K$5:$K$36,INT(($B125/M$5))+2)-INDEX('D Fleet'!$K$5:$K$36,INT(($B125/M$5))+1)),0)</f>
        <v/>
      </c>
      <c r="N125" s="276">
        <f>IFERROR(INDEX('D Fleet'!$E$5:$E$62,MATCH(N$3-$B125,'D Fleet'!$B$5:$B$62,0)),0)*IFERROR(INDEX('D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Fleet'!$E$5:$E$62,MATCH(E$3-$B126,'D Fleet'!$B$5:$B$62,0)),0)*IFERROR(INDEX('D Fleet'!$K$5:$K$36,INT(($B126/E$5))+1)+(($B126/E$5)-INT(($B126/E$5)))*(INDEX('D Fleet'!$K$5:$K$36,INT(($B126/E$5))+2)-INDEX('D Fleet'!$K$5:$K$36,INT(($B126/E$5))+1)),0)</f>
        <v/>
      </c>
      <c r="F126" s="276">
        <f>IFERROR(INDEX('D Fleet'!$E$5:$E$62,MATCH(F$3-$B126,'D Fleet'!$B$5:$B$62,0)),0)*IFERROR(INDEX('D Fleet'!$K$5:$K$36,INT(($B126/F$5))+1)+(($B126/F$5)-INT(($B126/F$5)))*(INDEX('D Fleet'!$K$5:$K$36,INT(($B126/F$5))+2)-INDEX('D Fleet'!$K$5:$K$36,INT(($B126/F$5))+1)),0)</f>
        <v/>
      </c>
      <c r="G126" s="276">
        <f>IFERROR(INDEX('D Fleet'!$E$5:$E$62,MATCH(G$3-$B126,'D Fleet'!$B$5:$B$62,0)),0)*IFERROR(INDEX('D Fleet'!$K$5:$K$36,INT(($B126/G$5))+1)+(($B126/G$5)-INT(($B126/G$5)))*(INDEX('D Fleet'!$K$5:$K$36,INT(($B126/G$5))+2)-INDEX('D Fleet'!$K$5:$K$36,INT(($B126/G$5))+1)),0)</f>
        <v/>
      </c>
      <c r="H126" s="276">
        <f>IFERROR(INDEX('D Fleet'!$E$5:$E$62,MATCH(H$3-$B126,'D Fleet'!$B$5:$B$62,0)),0)*IFERROR(INDEX('D Fleet'!$K$5:$K$36,INT(($B126/H$5))+1)+(($B126/H$5)-INT(($B126/H$5)))*(INDEX('D Fleet'!$K$5:$K$36,INT(($B126/H$5))+2)-INDEX('D Fleet'!$K$5:$K$36,INT(($B126/H$5))+1)),0)</f>
        <v/>
      </c>
      <c r="I126" s="276">
        <f>IFERROR(INDEX('D Fleet'!$E$5:$E$62,MATCH(I$3-$B126,'D Fleet'!$B$5:$B$62,0)),0)*IFERROR(INDEX('D Fleet'!$K$5:$K$36,INT(($B126/I$5))+1)+(($B126/I$5)-INT(($B126/I$5)))*(INDEX('D Fleet'!$K$5:$K$36,INT(($B126/I$5))+2)-INDEX('D Fleet'!$K$5:$K$36,INT(($B126/I$5))+1)),0)</f>
        <v/>
      </c>
      <c r="J126" s="276">
        <f>IFERROR(INDEX('D Fleet'!$E$5:$E$62,MATCH(J$3-$B126,'D Fleet'!$B$5:$B$62,0)),0)*IFERROR(INDEX('D Fleet'!$K$5:$K$36,INT(($B126/J$5))+1)+(($B126/J$5)-INT(($B126/J$5)))*(INDEX('D Fleet'!$K$5:$K$36,INT(($B126/J$5))+2)-INDEX('D Fleet'!$K$5:$K$36,INT(($B126/J$5))+1)),0)</f>
        <v/>
      </c>
      <c r="K126" s="276">
        <f>IFERROR(INDEX('D Fleet'!$E$5:$E$62,MATCH(K$3-$B126,'D Fleet'!$B$5:$B$62,0)),0)*IFERROR(INDEX('D Fleet'!$K$5:$K$36,INT(($B126/K$5))+1)+(($B126/K$5)-INT(($B126/K$5)))*(INDEX('D Fleet'!$K$5:$K$36,INT(($B126/K$5))+2)-INDEX('D Fleet'!$K$5:$K$36,INT(($B126/K$5))+1)),0)</f>
        <v/>
      </c>
      <c r="L126" s="276">
        <f>IFERROR(INDEX('D Fleet'!$E$5:$E$62,MATCH(L$3-$B126,'D Fleet'!$B$5:$B$62,0)),0)*IFERROR(INDEX('D Fleet'!$K$5:$K$36,INT(($B126/L$5))+1)+(($B126/L$5)-INT(($B126/L$5)))*(INDEX('D Fleet'!$K$5:$K$36,INT(($B126/L$5))+2)-INDEX('D Fleet'!$K$5:$K$36,INT(($B126/L$5))+1)),0)</f>
        <v/>
      </c>
      <c r="M126" s="276">
        <f>IFERROR(INDEX('D Fleet'!$E$5:$E$62,MATCH(M$3-$B126,'D Fleet'!$B$5:$B$62,0)),0)*IFERROR(INDEX('D Fleet'!$K$5:$K$36,INT(($B126/M$5))+1)+(($B126/M$5)-INT(($B126/M$5)))*(INDEX('D Fleet'!$K$5:$K$36,INT(($B126/M$5))+2)-INDEX('D Fleet'!$K$5:$K$36,INT(($B126/M$5))+1)),0)</f>
        <v/>
      </c>
      <c r="N126" s="276">
        <f>IFERROR(INDEX('D Fleet'!$E$5:$E$62,MATCH(N$3-$B126,'D Fleet'!$B$5:$B$62,0)),0)*IFERROR(INDEX('D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Fleet'!$E$5:$E$62,MATCH(E$3-$B127,'D Fleet'!$B$5:$B$62,0)),0)*IFERROR(INDEX('D Fleet'!$K$5:$K$36,INT(($B127/E$5))+1)+(($B127/E$5)-INT(($B127/E$5)))*(INDEX('D Fleet'!$K$5:$K$36,INT(($B127/E$5))+2)-INDEX('D Fleet'!$K$5:$K$36,INT(($B127/E$5))+1)),0)</f>
        <v/>
      </c>
      <c r="F127" s="276">
        <f>IFERROR(INDEX('D Fleet'!$E$5:$E$62,MATCH(F$3-$B127,'D Fleet'!$B$5:$B$62,0)),0)*IFERROR(INDEX('D Fleet'!$K$5:$K$36,INT(($B127/F$5))+1)+(($B127/F$5)-INT(($B127/F$5)))*(INDEX('D Fleet'!$K$5:$K$36,INT(($B127/F$5))+2)-INDEX('D Fleet'!$K$5:$K$36,INT(($B127/F$5))+1)),0)</f>
        <v/>
      </c>
      <c r="G127" s="276">
        <f>IFERROR(INDEX('D Fleet'!$E$5:$E$62,MATCH(G$3-$B127,'D Fleet'!$B$5:$B$62,0)),0)*IFERROR(INDEX('D Fleet'!$K$5:$K$36,INT(($B127/G$5))+1)+(($B127/G$5)-INT(($B127/G$5)))*(INDEX('D Fleet'!$K$5:$K$36,INT(($B127/G$5))+2)-INDEX('D Fleet'!$K$5:$K$36,INT(($B127/G$5))+1)),0)</f>
        <v/>
      </c>
      <c r="H127" s="276">
        <f>IFERROR(INDEX('D Fleet'!$E$5:$E$62,MATCH(H$3-$B127,'D Fleet'!$B$5:$B$62,0)),0)*IFERROR(INDEX('D Fleet'!$K$5:$K$36,INT(($B127/H$5))+1)+(($B127/H$5)-INT(($B127/H$5)))*(INDEX('D Fleet'!$K$5:$K$36,INT(($B127/H$5))+2)-INDEX('D Fleet'!$K$5:$K$36,INT(($B127/H$5))+1)),0)</f>
        <v/>
      </c>
      <c r="I127" s="276">
        <f>IFERROR(INDEX('D Fleet'!$E$5:$E$62,MATCH(I$3-$B127,'D Fleet'!$B$5:$B$62,0)),0)*IFERROR(INDEX('D Fleet'!$K$5:$K$36,INT(($B127/I$5))+1)+(($B127/I$5)-INT(($B127/I$5)))*(INDEX('D Fleet'!$K$5:$K$36,INT(($B127/I$5))+2)-INDEX('D Fleet'!$K$5:$K$36,INT(($B127/I$5))+1)),0)</f>
        <v/>
      </c>
      <c r="J127" s="276">
        <f>IFERROR(INDEX('D Fleet'!$E$5:$E$62,MATCH(J$3-$B127,'D Fleet'!$B$5:$B$62,0)),0)*IFERROR(INDEX('D Fleet'!$K$5:$K$36,INT(($B127/J$5))+1)+(($B127/J$5)-INT(($B127/J$5)))*(INDEX('D Fleet'!$K$5:$K$36,INT(($B127/J$5))+2)-INDEX('D Fleet'!$K$5:$K$36,INT(($B127/J$5))+1)),0)</f>
        <v/>
      </c>
      <c r="K127" s="276">
        <f>IFERROR(INDEX('D Fleet'!$E$5:$E$62,MATCH(K$3-$B127,'D Fleet'!$B$5:$B$62,0)),0)*IFERROR(INDEX('D Fleet'!$K$5:$K$36,INT(($B127/K$5))+1)+(($B127/K$5)-INT(($B127/K$5)))*(INDEX('D Fleet'!$K$5:$K$36,INT(($B127/K$5))+2)-INDEX('D Fleet'!$K$5:$K$36,INT(($B127/K$5))+1)),0)</f>
        <v/>
      </c>
      <c r="L127" s="276">
        <f>IFERROR(INDEX('D Fleet'!$E$5:$E$62,MATCH(L$3-$B127,'D Fleet'!$B$5:$B$62,0)),0)*IFERROR(INDEX('D Fleet'!$K$5:$K$36,INT(($B127/L$5))+1)+(($B127/L$5)-INT(($B127/L$5)))*(INDEX('D Fleet'!$K$5:$K$36,INT(($B127/L$5))+2)-INDEX('D Fleet'!$K$5:$K$36,INT(($B127/L$5))+1)),0)</f>
        <v/>
      </c>
      <c r="M127" s="276">
        <f>IFERROR(INDEX('D Fleet'!$E$5:$E$62,MATCH(M$3-$B127,'D Fleet'!$B$5:$B$62,0)),0)*IFERROR(INDEX('D Fleet'!$K$5:$K$36,INT(($B127/M$5))+1)+(($B127/M$5)-INT(($B127/M$5)))*(INDEX('D Fleet'!$K$5:$K$36,INT(($B127/M$5))+2)-INDEX('D Fleet'!$K$5:$K$36,INT(($B127/M$5))+1)),0)</f>
        <v/>
      </c>
      <c r="N127" s="276">
        <f>IFERROR(INDEX('D Fleet'!$E$5:$E$62,MATCH(N$3-$B127,'D Fleet'!$B$5:$B$62,0)),0)*IFERROR(INDEX('D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Fleet'!$E$5:$E$62,MATCH(E$3-$B128,'D Fleet'!$B$5:$B$62,0)),0)*IFERROR(INDEX('D Fleet'!$K$5:$K$36,INT(($B128/E$5))+1)+(($B128/E$5)-INT(($B128/E$5)))*(INDEX('D Fleet'!$K$5:$K$36,INT(($B128/E$5))+2)-INDEX('D Fleet'!$K$5:$K$36,INT(($B128/E$5))+1)),0)</f>
        <v/>
      </c>
      <c r="F128" s="276">
        <f>IFERROR(INDEX('D Fleet'!$E$5:$E$62,MATCH(F$3-$B128,'D Fleet'!$B$5:$B$62,0)),0)*IFERROR(INDEX('D Fleet'!$K$5:$K$36,INT(($B128/F$5))+1)+(($B128/F$5)-INT(($B128/F$5)))*(INDEX('D Fleet'!$K$5:$K$36,INT(($B128/F$5))+2)-INDEX('D Fleet'!$K$5:$K$36,INT(($B128/F$5))+1)),0)</f>
        <v/>
      </c>
      <c r="G128" s="276">
        <f>IFERROR(INDEX('D Fleet'!$E$5:$E$62,MATCH(G$3-$B128,'D Fleet'!$B$5:$B$62,0)),0)*IFERROR(INDEX('D Fleet'!$K$5:$K$36,INT(($B128/G$5))+1)+(($B128/G$5)-INT(($B128/G$5)))*(INDEX('D Fleet'!$K$5:$K$36,INT(($B128/G$5))+2)-INDEX('D Fleet'!$K$5:$K$36,INT(($B128/G$5))+1)),0)</f>
        <v/>
      </c>
      <c r="H128" s="276">
        <f>IFERROR(INDEX('D Fleet'!$E$5:$E$62,MATCH(H$3-$B128,'D Fleet'!$B$5:$B$62,0)),0)*IFERROR(INDEX('D Fleet'!$K$5:$K$36,INT(($B128/H$5))+1)+(($B128/H$5)-INT(($B128/H$5)))*(INDEX('D Fleet'!$K$5:$K$36,INT(($B128/H$5))+2)-INDEX('D Fleet'!$K$5:$K$36,INT(($B128/H$5))+1)),0)</f>
        <v/>
      </c>
      <c r="I128" s="276">
        <f>IFERROR(INDEX('D Fleet'!$E$5:$E$62,MATCH(I$3-$B128,'D Fleet'!$B$5:$B$62,0)),0)*IFERROR(INDEX('D Fleet'!$K$5:$K$36,INT(($B128/I$5))+1)+(($B128/I$5)-INT(($B128/I$5)))*(INDEX('D Fleet'!$K$5:$K$36,INT(($B128/I$5))+2)-INDEX('D Fleet'!$K$5:$K$36,INT(($B128/I$5))+1)),0)</f>
        <v/>
      </c>
      <c r="J128" s="276">
        <f>IFERROR(INDEX('D Fleet'!$E$5:$E$62,MATCH(J$3-$B128,'D Fleet'!$B$5:$B$62,0)),0)*IFERROR(INDEX('D Fleet'!$K$5:$K$36,INT(($B128/J$5))+1)+(($B128/J$5)-INT(($B128/J$5)))*(INDEX('D Fleet'!$K$5:$K$36,INT(($B128/J$5))+2)-INDEX('D Fleet'!$K$5:$K$36,INT(($B128/J$5))+1)),0)</f>
        <v/>
      </c>
      <c r="K128" s="276">
        <f>IFERROR(INDEX('D Fleet'!$E$5:$E$62,MATCH(K$3-$B128,'D Fleet'!$B$5:$B$62,0)),0)*IFERROR(INDEX('D Fleet'!$K$5:$K$36,INT(($B128/K$5))+1)+(($B128/K$5)-INT(($B128/K$5)))*(INDEX('D Fleet'!$K$5:$K$36,INT(($B128/K$5))+2)-INDEX('D Fleet'!$K$5:$K$36,INT(($B128/K$5))+1)),0)</f>
        <v/>
      </c>
      <c r="L128" s="276">
        <f>IFERROR(INDEX('D Fleet'!$E$5:$E$62,MATCH(L$3-$B128,'D Fleet'!$B$5:$B$62,0)),0)*IFERROR(INDEX('D Fleet'!$K$5:$K$36,INT(($B128/L$5))+1)+(($B128/L$5)-INT(($B128/L$5)))*(INDEX('D Fleet'!$K$5:$K$36,INT(($B128/L$5))+2)-INDEX('D Fleet'!$K$5:$K$36,INT(($B128/L$5))+1)),0)</f>
        <v/>
      </c>
      <c r="M128" s="276">
        <f>IFERROR(INDEX('D Fleet'!$E$5:$E$62,MATCH(M$3-$B128,'D Fleet'!$B$5:$B$62,0)),0)*IFERROR(INDEX('D Fleet'!$K$5:$K$36,INT(($B128/M$5))+1)+(($B128/M$5)-INT(($B128/M$5)))*(INDEX('D Fleet'!$K$5:$K$36,INT(($B128/M$5))+2)-INDEX('D Fleet'!$K$5:$K$36,INT(($B128/M$5))+1)),0)</f>
        <v/>
      </c>
      <c r="N128" s="276">
        <f>IFERROR(INDEX('D Fleet'!$E$5:$E$62,MATCH(N$3-$B128,'D Fleet'!$B$5:$B$62,0)),0)*IFERROR(INDEX('D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Fleet'!$E$5:$E$62,MATCH(E$3-$B129,'D Fleet'!$B$5:$B$62,0)),0)*IFERROR(INDEX('D Fleet'!$K$5:$K$36,INT(($B129/E$5))+1)+(($B129/E$5)-INT(($B129/E$5)))*(INDEX('D Fleet'!$K$5:$K$36,INT(($B129/E$5))+2)-INDEX('D Fleet'!$K$5:$K$36,INT(($B129/E$5))+1)),0)</f>
        <v/>
      </c>
      <c r="F129" s="276">
        <f>IFERROR(INDEX('D Fleet'!$E$5:$E$62,MATCH(F$3-$B129,'D Fleet'!$B$5:$B$62,0)),0)*IFERROR(INDEX('D Fleet'!$K$5:$K$36,INT(($B129/F$5))+1)+(($B129/F$5)-INT(($B129/F$5)))*(INDEX('D Fleet'!$K$5:$K$36,INT(($B129/F$5))+2)-INDEX('D Fleet'!$K$5:$K$36,INT(($B129/F$5))+1)),0)</f>
        <v/>
      </c>
      <c r="G129" s="276">
        <f>IFERROR(INDEX('D Fleet'!$E$5:$E$62,MATCH(G$3-$B129,'D Fleet'!$B$5:$B$62,0)),0)*IFERROR(INDEX('D Fleet'!$K$5:$K$36,INT(($B129/G$5))+1)+(($B129/G$5)-INT(($B129/G$5)))*(INDEX('D Fleet'!$K$5:$K$36,INT(($B129/G$5))+2)-INDEX('D Fleet'!$K$5:$K$36,INT(($B129/G$5))+1)),0)</f>
        <v/>
      </c>
      <c r="H129" s="276">
        <f>IFERROR(INDEX('D Fleet'!$E$5:$E$62,MATCH(H$3-$B129,'D Fleet'!$B$5:$B$62,0)),0)*IFERROR(INDEX('D Fleet'!$K$5:$K$36,INT(($B129/H$5))+1)+(($B129/H$5)-INT(($B129/H$5)))*(INDEX('D Fleet'!$K$5:$K$36,INT(($B129/H$5))+2)-INDEX('D Fleet'!$K$5:$K$36,INT(($B129/H$5))+1)),0)</f>
        <v/>
      </c>
      <c r="I129" s="276">
        <f>IFERROR(INDEX('D Fleet'!$E$5:$E$62,MATCH(I$3-$B129,'D Fleet'!$B$5:$B$62,0)),0)*IFERROR(INDEX('D Fleet'!$K$5:$K$36,INT(($B129/I$5))+1)+(($B129/I$5)-INT(($B129/I$5)))*(INDEX('D Fleet'!$K$5:$K$36,INT(($B129/I$5))+2)-INDEX('D Fleet'!$K$5:$K$36,INT(($B129/I$5))+1)),0)</f>
        <v/>
      </c>
      <c r="J129" s="276">
        <f>IFERROR(INDEX('D Fleet'!$E$5:$E$62,MATCH(J$3-$B129,'D Fleet'!$B$5:$B$62,0)),0)*IFERROR(INDEX('D Fleet'!$K$5:$K$36,INT(($B129/J$5))+1)+(($B129/J$5)-INT(($B129/J$5)))*(INDEX('D Fleet'!$K$5:$K$36,INT(($B129/J$5))+2)-INDEX('D Fleet'!$K$5:$K$36,INT(($B129/J$5))+1)),0)</f>
        <v/>
      </c>
      <c r="K129" s="276">
        <f>IFERROR(INDEX('D Fleet'!$E$5:$E$62,MATCH(K$3-$B129,'D Fleet'!$B$5:$B$62,0)),0)*IFERROR(INDEX('D Fleet'!$K$5:$K$36,INT(($B129/K$5))+1)+(($B129/K$5)-INT(($B129/K$5)))*(INDEX('D Fleet'!$K$5:$K$36,INT(($B129/K$5))+2)-INDEX('D Fleet'!$K$5:$K$36,INT(($B129/K$5))+1)),0)</f>
        <v/>
      </c>
      <c r="L129" s="276">
        <f>IFERROR(INDEX('D Fleet'!$E$5:$E$62,MATCH(L$3-$B129,'D Fleet'!$B$5:$B$62,0)),0)*IFERROR(INDEX('D Fleet'!$K$5:$K$36,INT(($B129/L$5))+1)+(($B129/L$5)-INT(($B129/L$5)))*(INDEX('D Fleet'!$K$5:$K$36,INT(($B129/L$5))+2)-INDEX('D Fleet'!$K$5:$K$36,INT(($B129/L$5))+1)),0)</f>
        <v/>
      </c>
      <c r="M129" s="276">
        <f>IFERROR(INDEX('D Fleet'!$E$5:$E$62,MATCH(M$3-$B129,'D Fleet'!$B$5:$B$62,0)),0)*IFERROR(INDEX('D Fleet'!$K$5:$K$36,INT(($B129/M$5))+1)+(($B129/M$5)-INT(($B129/M$5)))*(INDEX('D Fleet'!$K$5:$K$36,INT(($B129/M$5))+2)-INDEX('D Fleet'!$K$5:$K$36,INT(($B129/M$5))+1)),0)</f>
        <v/>
      </c>
      <c r="N129" s="276">
        <f>IFERROR(INDEX('D Fleet'!$E$5:$E$62,MATCH(N$3-$B129,'D Fleet'!$B$5:$B$62,0)),0)*IFERROR(INDEX('D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Fleet'!$E$5:$E$62,MATCH(E$3-$B130,'D Fleet'!$B$5:$B$62,0)),0)*IFERROR(INDEX('D Fleet'!$K$5:$K$36,INT(($B130/E$5))+1)+(($B130/E$5)-INT(($B130/E$5)))*(INDEX('D Fleet'!$K$5:$K$36,INT(($B130/E$5))+2)-INDEX('D Fleet'!$K$5:$K$36,INT(($B130/E$5))+1)),0)</f>
        <v/>
      </c>
      <c r="F130" s="276">
        <f>IFERROR(INDEX('D Fleet'!$E$5:$E$62,MATCH(F$3-$B130,'D Fleet'!$B$5:$B$62,0)),0)*IFERROR(INDEX('D Fleet'!$K$5:$K$36,INT(($B130/F$5))+1)+(($B130/F$5)-INT(($B130/F$5)))*(INDEX('D Fleet'!$K$5:$K$36,INT(($B130/F$5))+2)-INDEX('D Fleet'!$K$5:$K$36,INT(($B130/F$5))+1)),0)</f>
        <v/>
      </c>
      <c r="G130" s="276">
        <f>IFERROR(INDEX('D Fleet'!$E$5:$E$62,MATCH(G$3-$B130,'D Fleet'!$B$5:$B$62,0)),0)*IFERROR(INDEX('D Fleet'!$K$5:$K$36,INT(($B130/G$5))+1)+(($B130/G$5)-INT(($B130/G$5)))*(INDEX('D Fleet'!$K$5:$K$36,INT(($B130/G$5))+2)-INDEX('D Fleet'!$K$5:$K$36,INT(($B130/G$5))+1)),0)</f>
        <v/>
      </c>
      <c r="H130" s="276">
        <f>IFERROR(INDEX('D Fleet'!$E$5:$E$62,MATCH(H$3-$B130,'D Fleet'!$B$5:$B$62,0)),0)*IFERROR(INDEX('D Fleet'!$K$5:$K$36,INT(($B130/H$5))+1)+(($B130/H$5)-INT(($B130/H$5)))*(INDEX('D Fleet'!$K$5:$K$36,INT(($B130/H$5))+2)-INDEX('D Fleet'!$K$5:$K$36,INT(($B130/H$5))+1)),0)</f>
        <v/>
      </c>
      <c r="I130" s="276">
        <f>IFERROR(INDEX('D Fleet'!$E$5:$E$62,MATCH(I$3-$B130,'D Fleet'!$B$5:$B$62,0)),0)*IFERROR(INDEX('D Fleet'!$K$5:$K$36,INT(($B130/I$5))+1)+(($B130/I$5)-INT(($B130/I$5)))*(INDEX('D Fleet'!$K$5:$K$36,INT(($B130/I$5))+2)-INDEX('D Fleet'!$K$5:$K$36,INT(($B130/I$5))+1)),0)</f>
        <v/>
      </c>
      <c r="J130" s="276">
        <f>IFERROR(INDEX('D Fleet'!$E$5:$E$62,MATCH(J$3-$B130,'D Fleet'!$B$5:$B$62,0)),0)*IFERROR(INDEX('D Fleet'!$K$5:$K$36,INT(($B130/J$5))+1)+(($B130/J$5)-INT(($B130/J$5)))*(INDEX('D Fleet'!$K$5:$K$36,INT(($B130/J$5))+2)-INDEX('D Fleet'!$K$5:$K$36,INT(($B130/J$5))+1)),0)</f>
        <v/>
      </c>
      <c r="K130" s="276">
        <f>IFERROR(INDEX('D Fleet'!$E$5:$E$62,MATCH(K$3-$B130,'D Fleet'!$B$5:$B$62,0)),0)*IFERROR(INDEX('D Fleet'!$K$5:$K$36,INT(($B130/K$5))+1)+(($B130/K$5)-INT(($B130/K$5)))*(INDEX('D Fleet'!$K$5:$K$36,INT(($B130/K$5))+2)-INDEX('D Fleet'!$K$5:$K$36,INT(($B130/K$5))+1)),0)</f>
        <v/>
      </c>
      <c r="L130" s="276">
        <f>IFERROR(INDEX('D Fleet'!$E$5:$E$62,MATCH(L$3-$B130,'D Fleet'!$B$5:$B$62,0)),0)*IFERROR(INDEX('D Fleet'!$K$5:$K$36,INT(($B130/L$5))+1)+(($B130/L$5)-INT(($B130/L$5)))*(INDEX('D Fleet'!$K$5:$K$36,INT(($B130/L$5))+2)-INDEX('D Fleet'!$K$5:$K$36,INT(($B130/L$5))+1)),0)</f>
        <v/>
      </c>
      <c r="M130" s="276">
        <f>IFERROR(INDEX('D Fleet'!$E$5:$E$62,MATCH(M$3-$B130,'D Fleet'!$B$5:$B$62,0)),0)*IFERROR(INDEX('D Fleet'!$K$5:$K$36,INT(($B130/M$5))+1)+(($B130/M$5)-INT(($B130/M$5)))*(INDEX('D Fleet'!$K$5:$K$36,INT(($B130/M$5))+2)-INDEX('D Fleet'!$K$5:$K$36,INT(($B130/M$5))+1)),0)</f>
        <v/>
      </c>
      <c r="N130" s="276">
        <f>IFERROR(INDEX('D Fleet'!$E$5:$E$62,MATCH(N$3-$B130,'D Fleet'!$B$5:$B$62,0)),0)*IFERROR(INDEX('D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Fleet'!$E$5:$E$62,MATCH(E$3-$B131,'D Fleet'!$B$5:$B$62,0)),0)*IFERROR(INDEX('D Fleet'!$K$5:$K$36,INT(($B131/E$5))+1)+(($B131/E$5)-INT(($B131/E$5)))*(INDEX('D Fleet'!$K$5:$K$36,INT(($B131/E$5))+2)-INDEX('D Fleet'!$K$5:$K$36,INT(($B131/E$5))+1)),0)</f>
        <v/>
      </c>
      <c r="F131" s="276">
        <f>IFERROR(INDEX('D Fleet'!$E$5:$E$62,MATCH(F$3-$B131,'D Fleet'!$B$5:$B$62,0)),0)*IFERROR(INDEX('D Fleet'!$K$5:$K$36,INT(($B131/F$5))+1)+(($B131/F$5)-INT(($B131/F$5)))*(INDEX('D Fleet'!$K$5:$K$36,INT(($B131/F$5))+2)-INDEX('D Fleet'!$K$5:$K$36,INT(($B131/F$5))+1)),0)</f>
        <v/>
      </c>
      <c r="G131" s="276">
        <f>IFERROR(INDEX('D Fleet'!$E$5:$E$62,MATCH(G$3-$B131,'D Fleet'!$B$5:$B$62,0)),0)*IFERROR(INDEX('D Fleet'!$K$5:$K$36,INT(($B131/G$5))+1)+(($B131/G$5)-INT(($B131/G$5)))*(INDEX('D Fleet'!$K$5:$K$36,INT(($B131/G$5))+2)-INDEX('D Fleet'!$K$5:$K$36,INT(($B131/G$5))+1)),0)</f>
        <v/>
      </c>
      <c r="H131" s="276">
        <f>IFERROR(INDEX('D Fleet'!$E$5:$E$62,MATCH(H$3-$B131,'D Fleet'!$B$5:$B$62,0)),0)*IFERROR(INDEX('D Fleet'!$K$5:$K$36,INT(($B131/H$5))+1)+(($B131/H$5)-INT(($B131/H$5)))*(INDEX('D Fleet'!$K$5:$K$36,INT(($B131/H$5))+2)-INDEX('D Fleet'!$K$5:$K$36,INT(($B131/H$5))+1)),0)</f>
        <v/>
      </c>
      <c r="I131" s="276">
        <f>IFERROR(INDEX('D Fleet'!$E$5:$E$62,MATCH(I$3-$B131,'D Fleet'!$B$5:$B$62,0)),0)*IFERROR(INDEX('D Fleet'!$K$5:$K$36,INT(($B131/I$5))+1)+(($B131/I$5)-INT(($B131/I$5)))*(INDEX('D Fleet'!$K$5:$K$36,INT(($B131/I$5))+2)-INDEX('D Fleet'!$K$5:$K$36,INT(($B131/I$5))+1)),0)</f>
        <v/>
      </c>
      <c r="J131" s="276">
        <f>IFERROR(INDEX('D Fleet'!$E$5:$E$62,MATCH(J$3-$B131,'D Fleet'!$B$5:$B$62,0)),0)*IFERROR(INDEX('D Fleet'!$K$5:$K$36,INT(($B131/J$5))+1)+(($B131/J$5)-INT(($B131/J$5)))*(INDEX('D Fleet'!$K$5:$K$36,INT(($B131/J$5))+2)-INDEX('D Fleet'!$K$5:$K$36,INT(($B131/J$5))+1)),0)</f>
        <v/>
      </c>
      <c r="K131" s="276">
        <f>IFERROR(INDEX('D Fleet'!$E$5:$E$62,MATCH(K$3-$B131,'D Fleet'!$B$5:$B$62,0)),0)*IFERROR(INDEX('D Fleet'!$K$5:$K$36,INT(($B131/K$5))+1)+(($B131/K$5)-INT(($B131/K$5)))*(INDEX('D Fleet'!$K$5:$K$36,INT(($B131/K$5))+2)-INDEX('D Fleet'!$K$5:$K$36,INT(($B131/K$5))+1)),0)</f>
        <v/>
      </c>
      <c r="L131" s="276">
        <f>IFERROR(INDEX('D Fleet'!$E$5:$E$62,MATCH(L$3-$B131,'D Fleet'!$B$5:$B$62,0)),0)*IFERROR(INDEX('D Fleet'!$K$5:$K$36,INT(($B131/L$5))+1)+(($B131/L$5)-INT(($B131/L$5)))*(INDEX('D Fleet'!$K$5:$K$36,INT(($B131/L$5))+2)-INDEX('D Fleet'!$K$5:$K$36,INT(($B131/L$5))+1)),0)</f>
        <v/>
      </c>
      <c r="M131" s="276">
        <f>IFERROR(INDEX('D Fleet'!$E$5:$E$62,MATCH(M$3-$B131,'D Fleet'!$B$5:$B$62,0)),0)*IFERROR(INDEX('D Fleet'!$K$5:$K$36,INT(($B131/M$5))+1)+(($B131/M$5)-INT(($B131/M$5)))*(INDEX('D Fleet'!$K$5:$K$36,INT(($B131/M$5))+2)-INDEX('D Fleet'!$K$5:$K$36,INT(($B131/M$5))+1)),0)</f>
        <v/>
      </c>
      <c r="N131" s="276">
        <f>IFERROR(INDEX('D Fleet'!$E$5:$E$62,MATCH(N$3-$B131,'D Fleet'!$B$5:$B$62,0)),0)*IFERROR(INDEX('D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Fleet'!$E$5:$E$62,MATCH(E$3-$B132,'D Fleet'!$B$5:$B$62,0)),0)*IFERROR(INDEX('D Fleet'!$K$5:$K$36,INT(($B132/E$5))+1)+(($B132/E$5)-INT(($B132/E$5)))*(INDEX('D Fleet'!$K$5:$K$36,INT(($B132/E$5))+2)-INDEX('D Fleet'!$K$5:$K$36,INT(($B132/E$5))+1)),0)</f>
        <v/>
      </c>
      <c r="F132" s="276">
        <f>IFERROR(INDEX('D Fleet'!$E$5:$E$62,MATCH(F$3-$B132,'D Fleet'!$B$5:$B$62,0)),0)*IFERROR(INDEX('D Fleet'!$K$5:$K$36,INT(($B132/F$5))+1)+(($B132/F$5)-INT(($B132/F$5)))*(INDEX('D Fleet'!$K$5:$K$36,INT(($B132/F$5))+2)-INDEX('D Fleet'!$K$5:$K$36,INT(($B132/F$5))+1)),0)</f>
        <v/>
      </c>
      <c r="G132" s="276">
        <f>IFERROR(INDEX('D Fleet'!$E$5:$E$62,MATCH(G$3-$B132,'D Fleet'!$B$5:$B$62,0)),0)*IFERROR(INDEX('D Fleet'!$K$5:$K$36,INT(($B132/G$5))+1)+(($B132/G$5)-INT(($B132/G$5)))*(INDEX('D Fleet'!$K$5:$K$36,INT(($B132/G$5))+2)-INDEX('D Fleet'!$K$5:$K$36,INT(($B132/G$5))+1)),0)</f>
        <v/>
      </c>
      <c r="H132" s="276">
        <f>IFERROR(INDEX('D Fleet'!$E$5:$E$62,MATCH(H$3-$B132,'D Fleet'!$B$5:$B$62,0)),0)*IFERROR(INDEX('D Fleet'!$K$5:$K$36,INT(($B132/H$5))+1)+(($B132/H$5)-INT(($B132/H$5)))*(INDEX('D Fleet'!$K$5:$K$36,INT(($B132/H$5))+2)-INDEX('D Fleet'!$K$5:$K$36,INT(($B132/H$5))+1)),0)</f>
        <v/>
      </c>
      <c r="I132" s="276">
        <f>IFERROR(INDEX('D Fleet'!$E$5:$E$62,MATCH(I$3-$B132,'D Fleet'!$B$5:$B$62,0)),0)*IFERROR(INDEX('D Fleet'!$K$5:$K$36,INT(($B132/I$5))+1)+(($B132/I$5)-INT(($B132/I$5)))*(INDEX('D Fleet'!$K$5:$K$36,INT(($B132/I$5))+2)-INDEX('D Fleet'!$K$5:$K$36,INT(($B132/I$5))+1)),0)</f>
        <v/>
      </c>
      <c r="J132" s="276">
        <f>IFERROR(INDEX('D Fleet'!$E$5:$E$62,MATCH(J$3-$B132,'D Fleet'!$B$5:$B$62,0)),0)*IFERROR(INDEX('D Fleet'!$K$5:$K$36,INT(($B132/J$5))+1)+(($B132/J$5)-INT(($B132/J$5)))*(INDEX('D Fleet'!$K$5:$K$36,INT(($B132/J$5))+2)-INDEX('D Fleet'!$K$5:$K$36,INT(($B132/J$5))+1)),0)</f>
        <v/>
      </c>
      <c r="K132" s="276">
        <f>IFERROR(INDEX('D Fleet'!$E$5:$E$62,MATCH(K$3-$B132,'D Fleet'!$B$5:$B$62,0)),0)*IFERROR(INDEX('D Fleet'!$K$5:$K$36,INT(($B132/K$5))+1)+(($B132/K$5)-INT(($B132/K$5)))*(INDEX('D Fleet'!$K$5:$K$36,INT(($B132/K$5))+2)-INDEX('D Fleet'!$K$5:$K$36,INT(($B132/K$5))+1)),0)</f>
        <v/>
      </c>
      <c r="L132" s="276">
        <f>IFERROR(INDEX('D Fleet'!$E$5:$E$62,MATCH(L$3-$B132,'D Fleet'!$B$5:$B$62,0)),0)*IFERROR(INDEX('D Fleet'!$K$5:$K$36,INT(($B132/L$5))+1)+(($B132/L$5)-INT(($B132/L$5)))*(INDEX('D Fleet'!$K$5:$K$36,INT(($B132/L$5))+2)-INDEX('D Fleet'!$K$5:$K$36,INT(($B132/L$5))+1)),0)</f>
        <v/>
      </c>
      <c r="M132" s="276">
        <f>IFERROR(INDEX('D Fleet'!$E$5:$E$62,MATCH(M$3-$B132,'D Fleet'!$B$5:$B$62,0)),0)*IFERROR(INDEX('D Fleet'!$K$5:$K$36,INT(($B132/M$5))+1)+(($B132/M$5)-INT(($B132/M$5)))*(INDEX('D Fleet'!$K$5:$K$36,INT(($B132/M$5))+2)-INDEX('D Fleet'!$K$5:$K$36,INT(($B132/M$5))+1)),0)</f>
        <v/>
      </c>
      <c r="N132" s="276">
        <f>IFERROR(INDEX('D Fleet'!$E$5:$E$62,MATCH(N$3-$B132,'D Fleet'!$B$5:$B$62,0)),0)*IFERROR(INDEX('D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Fleet'!$E$5:$E$62,MATCH(E$3-$B133,'D Fleet'!$B$5:$B$62,0)),0)*IFERROR(INDEX('D Fleet'!$K$5:$K$36,INT(($B133/E$5))+1)+(($B133/E$5)-INT(($B133/E$5)))*(INDEX('D Fleet'!$K$5:$K$36,INT(($B133/E$5))+2)-INDEX('D Fleet'!$K$5:$K$36,INT(($B133/E$5))+1)),0)</f>
        <v/>
      </c>
      <c r="F133" s="276">
        <f>IFERROR(INDEX('D Fleet'!$E$5:$E$62,MATCH(F$3-$B133,'D Fleet'!$B$5:$B$62,0)),0)*IFERROR(INDEX('D Fleet'!$K$5:$K$36,INT(($B133/F$5))+1)+(($B133/F$5)-INT(($B133/F$5)))*(INDEX('D Fleet'!$K$5:$K$36,INT(($B133/F$5))+2)-INDEX('D Fleet'!$K$5:$K$36,INT(($B133/F$5))+1)),0)</f>
        <v/>
      </c>
      <c r="G133" s="276">
        <f>IFERROR(INDEX('D Fleet'!$E$5:$E$62,MATCH(G$3-$B133,'D Fleet'!$B$5:$B$62,0)),0)*IFERROR(INDEX('D Fleet'!$K$5:$K$36,INT(($B133/G$5))+1)+(($B133/G$5)-INT(($B133/G$5)))*(INDEX('D Fleet'!$K$5:$K$36,INT(($B133/G$5))+2)-INDEX('D Fleet'!$K$5:$K$36,INT(($B133/G$5))+1)),0)</f>
        <v/>
      </c>
      <c r="H133" s="276">
        <f>IFERROR(INDEX('D Fleet'!$E$5:$E$62,MATCH(H$3-$B133,'D Fleet'!$B$5:$B$62,0)),0)*IFERROR(INDEX('D Fleet'!$K$5:$K$36,INT(($B133/H$5))+1)+(($B133/H$5)-INT(($B133/H$5)))*(INDEX('D Fleet'!$K$5:$K$36,INT(($B133/H$5))+2)-INDEX('D Fleet'!$K$5:$K$36,INT(($B133/H$5))+1)),0)</f>
        <v/>
      </c>
      <c r="I133" s="276">
        <f>IFERROR(INDEX('D Fleet'!$E$5:$E$62,MATCH(I$3-$B133,'D Fleet'!$B$5:$B$62,0)),0)*IFERROR(INDEX('D Fleet'!$K$5:$K$36,INT(($B133/I$5))+1)+(($B133/I$5)-INT(($B133/I$5)))*(INDEX('D Fleet'!$K$5:$K$36,INT(($B133/I$5))+2)-INDEX('D Fleet'!$K$5:$K$36,INT(($B133/I$5))+1)),0)</f>
        <v/>
      </c>
      <c r="J133" s="276">
        <f>IFERROR(INDEX('D Fleet'!$E$5:$E$62,MATCH(J$3-$B133,'D Fleet'!$B$5:$B$62,0)),0)*IFERROR(INDEX('D Fleet'!$K$5:$K$36,INT(($B133/J$5))+1)+(($B133/J$5)-INT(($B133/J$5)))*(INDEX('D Fleet'!$K$5:$K$36,INT(($B133/J$5))+2)-INDEX('D Fleet'!$K$5:$K$36,INT(($B133/J$5))+1)),0)</f>
        <v/>
      </c>
      <c r="K133" s="276">
        <f>IFERROR(INDEX('D Fleet'!$E$5:$E$62,MATCH(K$3-$B133,'D Fleet'!$B$5:$B$62,0)),0)*IFERROR(INDEX('D Fleet'!$K$5:$K$36,INT(($B133/K$5))+1)+(($B133/K$5)-INT(($B133/K$5)))*(INDEX('D Fleet'!$K$5:$K$36,INT(($B133/K$5))+2)-INDEX('D Fleet'!$K$5:$K$36,INT(($B133/K$5))+1)),0)</f>
        <v/>
      </c>
      <c r="L133" s="276">
        <f>IFERROR(INDEX('D Fleet'!$E$5:$E$62,MATCH(L$3-$B133,'D Fleet'!$B$5:$B$62,0)),0)*IFERROR(INDEX('D Fleet'!$K$5:$K$36,INT(($B133/L$5))+1)+(($B133/L$5)-INT(($B133/L$5)))*(INDEX('D Fleet'!$K$5:$K$36,INT(($B133/L$5))+2)-INDEX('D Fleet'!$K$5:$K$36,INT(($B133/L$5))+1)),0)</f>
        <v/>
      </c>
      <c r="M133" s="276">
        <f>IFERROR(INDEX('D Fleet'!$E$5:$E$62,MATCH(M$3-$B133,'D Fleet'!$B$5:$B$62,0)),0)*IFERROR(INDEX('D Fleet'!$K$5:$K$36,INT(($B133/M$5))+1)+(($B133/M$5)-INT(($B133/M$5)))*(INDEX('D Fleet'!$K$5:$K$36,INT(($B133/M$5))+2)-INDEX('D Fleet'!$K$5:$K$36,INT(($B133/M$5))+1)),0)</f>
        <v/>
      </c>
      <c r="N133" s="276">
        <f>IFERROR(INDEX('D Fleet'!$E$5:$E$62,MATCH(N$3-$B133,'D Fleet'!$B$5:$B$62,0)),0)*IFERROR(INDEX('D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Fleet'!$E$5:$E$62,MATCH(E$3-$B134,'D Fleet'!$B$5:$B$62,0)),0)*IFERROR(INDEX('D Fleet'!$K$5:$K$36,INT(($B134/E$5))+1)+(($B134/E$5)-INT(($B134/E$5)))*(INDEX('D Fleet'!$K$5:$K$36,INT(($B134/E$5))+2)-INDEX('D Fleet'!$K$5:$K$36,INT(($B134/E$5))+1)),0)</f>
        <v/>
      </c>
      <c r="F134" s="276">
        <f>IFERROR(INDEX('D Fleet'!$E$5:$E$62,MATCH(F$3-$B134,'D Fleet'!$B$5:$B$62,0)),0)*IFERROR(INDEX('D Fleet'!$K$5:$K$36,INT(($B134/F$5))+1)+(($B134/F$5)-INT(($B134/F$5)))*(INDEX('D Fleet'!$K$5:$K$36,INT(($B134/F$5))+2)-INDEX('D Fleet'!$K$5:$K$36,INT(($B134/F$5))+1)),0)</f>
        <v/>
      </c>
      <c r="G134" s="276">
        <f>IFERROR(INDEX('D Fleet'!$E$5:$E$62,MATCH(G$3-$B134,'D Fleet'!$B$5:$B$62,0)),0)*IFERROR(INDEX('D Fleet'!$K$5:$K$36,INT(($B134/G$5))+1)+(($B134/G$5)-INT(($B134/G$5)))*(INDEX('D Fleet'!$K$5:$K$36,INT(($B134/G$5))+2)-INDEX('D Fleet'!$K$5:$K$36,INT(($B134/G$5))+1)),0)</f>
        <v/>
      </c>
      <c r="H134" s="276">
        <f>IFERROR(INDEX('D Fleet'!$E$5:$E$62,MATCH(H$3-$B134,'D Fleet'!$B$5:$B$62,0)),0)*IFERROR(INDEX('D Fleet'!$K$5:$K$36,INT(($B134/H$5))+1)+(($B134/H$5)-INT(($B134/H$5)))*(INDEX('D Fleet'!$K$5:$K$36,INT(($B134/H$5))+2)-INDEX('D Fleet'!$K$5:$K$36,INT(($B134/H$5))+1)),0)</f>
        <v/>
      </c>
      <c r="I134" s="276">
        <f>IFERROR(INDEX('D Fleet'!$E$5:$E$62,MATCH(I$3-$B134,'D Fleet'!$B$5:$B$62,0)),0)*IFERROR(INDEX('D Fleet'!$K$5:$K$36,INT(($B134/I$5))+1)+(($B134/I$5)-INT(($B134/I$5)))*(INDEX('D Fleet'!$K$5:$K$36,INT(($B134/I$5))+2)-INDEX('D Fleet'!$K$5:$K$36,INT(($B134/I$5))+1)),0)</f>
        <v/>
      </c>
      <c r="J134" s="276">
        <f>IFERROR(INDEX('D Fleet'!$E$5:$E$62,MATCH(J$3-$B134,'D Fleet'!$B$5:$B$62,0)),0)*IFERROR(INDEX('D Fleet'!$K$5:$K$36,INT(($B134/J$5))+1)+(($B134/J$5)-INT(($B134/J$5)))*(INDEX('D Fleet'!$K$5:$K$36,INT(($B134/J$5))+2)-INDEX('D Fleet'!$K$5:$K$36,INT(($B134/J$5))+1)),0)</f>
        <v/>
      </c>
      <c r="K134" s="276">
        <f>IFERROR(INDEX('D Fleet'!$E$5:$E$62,MATCH(K$3-$B134,'D Fleet'!$B$5:$B$62,0)),0)*IFERROR(INDEX('D Fleet'!$K$5:$K$36,INT(($B134/K$5))+1)+(($B134/K$5)-INT(($B134/K$5)))*(INDEX('D Fleet'!$K$5:$K$36,INT(($B134/K$5))+2)-INDEX('D Fleet'!$K$5:$K$36,INT(($B134/K$5))+1)),0)</f>
        <v/>
      </c>
      <c r="L134" s="276">
        <f>IFERROR(INDEX('D Fleet'!$E$5:$E$62,MATCH(L$3-$B134,'D Fleet'!$B$5:$B$62,0)),0)*IFERROR(INDEX('D Fleet'!$K$5:$K$36,INT(($B134/L$5))+1)+(($B134/L$5)-INT(($B134/L$5)))*(INDEX('D Fleet'!$K$5:$K$36,INT(($B134/L$5))+2)-INDEX('D Fleet'!$K$5:$K$36,INT(($B134/L$5))+1)),0)</f>
        <v/>
      </c>
      <c r="M134" s="276">
        <f>IFERROR(INDEX('D Fleet'!$E$5:$E$62,MATCH(M$3-$B134,'D Fleet'!$B$5:$B$62,0)),0)*IFERROR(INDEX('D Fleet'!$K$5:$K$36,INT(($B134/M$5))+1)+(($B134/M$5)-INT(($B134/M$5)))*(INDEX('D Fleet'!$K$5:$K$36,INT(($B134/M$5))+2)-INDEX('D Fleet'!$K$5:$K$36,INT(($B134/M$5))+1)),0)</f>
        <v/>
      </c>
      <c r="N134" s="276">
        <f>IFERROR(INDEX('D Fleet'!$E$5:$E$62,MATCH(N$3-$B134,'D Fleet'!$B$5:$B$62,0)),0)*IFERROR(INDEX('D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Fleet'!$E$5:$E$62,MATCH(E$3-$B135,'D Fleet'!$B$5:$B$62,0)),0)*IFERROR(INDEX('D Fleet'!$K$5:$K$36,INT(($B135/E$5))+1)+(($B135/E$5)-INT(($B135/E$5)))*(INDEX('D Fleet'!$K$5:$K$36,INT(($B135/E$5))+2)-INDEX('D Fleet'!$K$5:$K$36,INT(($B135/E$5))+1)),0)</f>
        <v/>
      </c>
      <c r="F135" s="276">
        <f>IFERROR(INDEX('D Fleet'!$E$5:$E$62,MATCH(F$3-$B135,'D Fleet'!$B$5:$B$62,0)),0)*IFERROR(INDEX('D Fleet'!$K$5:$K$36,INT(($B135/F$5))+1)+(($B135/F$5)-INT(($B135/F$5)))*(INDEX('D Fleet'!$K$5:$K$36,INT(($B135/F$5))+2)-INDEX('D Fleet'!$K$5:$K$36,INT(($B135/F$5))+1)),0)</f>
        <v/>
      </c>
      <c r="G135" s="276">
        <f>IFERROR(INDEX('D Fleet'!$E$5:$E$62,MATCH(G$3-$B135,'D Fleet'!$B$5:$B$62,0)),0)*IFERROR(INDEX('D Fleet'!$K$5:$K$36,INT(($B135/G$5))+1)+(($B135/G$5)-INT(($B135/G$5)))*(INDEX('D Fleet'!$K$5:$K$36,INT(($B135/G$5))+2)-INDEX('D Fleet'!$K$5:$K$36,INT(($B135/G$5))+1)),0)</f>
        <v/>
      </c>
      <c r="H135" s="276">
        <f>IFERROR(INDEX('D Fleet'!$E$5:$E$62,MATCH(H$3-$B135,'D Fleet'!$B$5:$B$62,0)),0)*IFERROR(INDEX('D Fleet'!$K$5:$K$36,INT(($B135/H$5))+1)+(($B135/H$5)-INT(($B135/H$5)))*(INDEX('D Fleet'!$K$5:$K$36,INT(($B135/H$5))+2)-INDEX('D Fleet'!$K$5:$K$36,INT(($B135/H$5))+1)),0)</f>
        <v/>
      </c>
      <c r="I135" s="276">
        <f>IFERROR(INDEX('D Fleet'!$E$5:$E$62,MATCH(I$3-$B135,'D Fleet'!$B$5:$B$62,0)),0)*IFERROR(INDEX('D Fleet'!$K$5:$K$36,INT(($B135/I$5))+1)+(($B135/I$5)-INT(($B135/I$5)))*(INDEX('D Fleet'!$K$5:$K$36,INT(($B135/I$5))+2)-INDEX('D Fleet'!$K$5:$K$36,INT(($B135/I$5))+1)),0)</f>
        <v/>
      </c>
      <c r="J135" s="276">
        <f>IFERROR(INDEX('D Fleet'!$E$5:$E$62,MATCH(J$3-$B135,'D Fleet'!$B$5:$B$62,0)),0)*IFERROR(INDEX('D Fleet'!$K$5:$K$36,INT(($B135/J$5))+1)+(($B135/J$5)-INT(($B135/J$5)))*(INDEX('D Fleet'!$K$5:$K$36,INT(($B135/J$5))+2)-INDEX('D Fleet'!$K$5:$K$36,INT(($B135/J$5))+1)),0)</f>
        <v/>
      </c>
      <c r="K135" s="276">
        <f>IFERROR(INDEX('D Fleet'!$E$5:$E$62,MATCH(K$3-$B135,'D Fleet'!$B$5:$B$62,0)),0)*IFERROR(INDEX('D Fleet'!$K$5:$K$36,INT(($B135/K$5))+1)+(($B135/K$5)-INT(($B135/K$5)))*(INDEX('D Fleet'!$K$5:$K$36,INT(($B135/K$5))+2)-INDEX('D Fleet'!$K$5:$K$36,INT(($B135/K$5))+1)),0)</f>
        <v/>
      </c>
      <c r="L135" s="276">
        <f>IFERROR(INDEX('D Fleet'!$E$5:$E$62,MATCH(L$3-$B135,'D Fleet'!$B$5:$B$62,0)),0)*IFERROR(INDEX('D Fleet'!$K$5:$K$36,INT(($B135/L$5))+1)+(($B135/L$5)-INT(($B135/L$5)))*(INDEX('D Fleet'!$K$5:$K$36,INT(($B135/L$5))+2)-INDEX('D Fleet'!$K$5:$K$36,INT(($B135/L$5))+1)),0)</f>
        <v/>
      </c>
      <c r="M135" s="276">
        <f>IFERROR(INDEX('D Fleet'!$E$5:$E$62,MATCH(M$3-$B135,'D Fleet'!$B$5:$B$62,0)),0)*IFERROR(INDEX('D Fleet'!$K$5:$K$36,INT(($B135/M$5))+1)+(($B135/M$5)-INT(($B135/M$5)))*(INDEX('D Fleet'!$K$5:$K$36,INT(($B135/M$5))+2)-INDEX('D Fleet'!$K$5:$K$36,INT(($B135/M$5))+1)),0)</f>
        <v/>
      </c>
      <c r="N135" s="276">
        <f>IFERROR(INDEX('D Fleet'!$E$5:$E$62,MATCH(N$3-$B135,'D Fleet'!$B$5:$B$62,0)),0)*IFERROR(INDEX('D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Fleet'!$E$5:$E$62,MATCH(E$3-$B136,'D Fleet'!$B$5:$B$62,0)),0)*IFERROR(INDEX('D Fleet'!$K$5:$K$36,INT(($B136/E$5))+1)+(($B136/E$5)-INT(($B136/E$5)))*(INDEX('D Fleet'!$K$5:$K$36,INT(($B136/E$5))+2)-INDEX('D Fleet'!$K$5:$K$36,INT(($B136/E$5))+1)),0)</f>
        <v/>
      </c>
      <c r="F136" s="276">
        <f>IFERROR(INDEX('D Fleet'!$E$5:$E$62,MATCH(F$3-$B136,'D Fleet'!$B$5:$B$62,0)),0)*IFERROR(INDEX('D Fleet'!$K$5:$K$36,INT(($B136/F$5))+1)+(($B136/F$5)-INT(($B136/F$5)))*(INDEX('D Fleet'!$K$5:$K$36,INT(($B136/F$5))+2)-INDEX('D Fleet'!$K$5:$K$36,INT(($B136/F$5))+1)),0)</f>
        <v/>
      </c>
      <c r="G136" s="276">
        <f>IFERROR(INDEX('D Fleet'!$E$5:$E$62,MATCH(G$3-$B136,'D Fleet'!$B$5:$B$62,0)),0)*IFERROR(INDEX('D Fleet'!$K$5:$K$36,INT(($B136/G$5))+1)+(($B136/G$5)-INT(($B136/G$5)))*(INDEX('D Fleet'!$K$5:$K$36,INT(($B136/G$5))+2)-INDEX('D Fleet'!$K$5:$K$36,INT(($B136/G$5))+1)),0)</f>
        <v/>
      </c>
      <c r="H136" s="276">
        <f>IFERROR(INDEX('D Fleet'!$E$5:$E$62,MATCH(H$3-$B136,'D Fleet'!$B$5:$B$62,0)),0)*IFERROR(INDEX('D Fleet'!$K$5:$K$36,INT(($B136/H$5))+1)+(($B136/H$5)-INT(($B136/H$5)))*(INDEX('D Fleet'!$K$5:$K$36,INT(($B136/H$5))+2)-INDEX('D Fleet'!$K$5:$K$36,INT(($B136/H$5))+1)),0)</f>
        <v/>
      </c>
      <c r="I136" s="276">
        <f>IFERROR(INDEX('D Fleet'!$E$5:$E$62,MATCH(I$3-$B136,'D Fleet'!$B$5:$B$62,0)),0)*IFERROR(INDEX('D Fleet'!$K$5:$K$36,INT(($B136/I$5))+1)+(($B136/I$5)-INT(($B136/I$5)))*(INDEX('D Fleet'!$K$5:$K$36,INT(($B136/I$5))+2)-INDEX('D Fleet'!$K$5:$K$36,INT(($B136/I$5))+1)),0)</f>
        <v/>
      </c>
      <c r="J136" s="276">
        <f>IFERROR(INDEX('D Fleet'!$E$5:$E$62,MATCH(J$3-$B136,'D Fleet'!$B$5:$B$62,0)),0)*IFERROR(INDEX('D Fleet'!$K$5:$K$36,INT(($B136/J$5))+1)+(($B136/J$5)-INT(($B136/J$5)))*(INDEX('D Fleet'!$K$5:$K$36,INT(($B136/J$5))+2)-INDEX('D Fleet'!$K$5:$K$36,INT(($B136/J$5))+1)),0)</f>
        <v/>
      </c>
      <c r="K136" s="276">
        <f>IFERROR(INDEX('D Fleet'!$E$5:$E$62,MATCH(K$3-$B136,'D Fleet'!$B$5:$B$62,0)),0)*IFERROR(INDEX('D Fleet'!$K$5:$K$36,INT(($B136/K$5))+1)+(($B136/K$5)-INT(($B136/K$5)))*(INDEX('D Fleet'!$K$5:$K$36,INT(($B136/K$5))+2)-INDEX('D Fleet'!$K$5:$K$36,INT(($B136/K$5))+1)),0)</f>
        <v/>
      </c>
      <c r="L136" s="276">
        <f>IFERROR(INDEX('D Fleet'!$E$5:$E$62,MATCH(L$3-$B136,'D Fleet'!$B$5:$B$62,0)),0)*IFERROR(INDEX('D Fleet'!$K$5:$K$36,INT(($B136/L$5))+1)+(($B136/L$5)-INT(($B136/L$5)))*(INDEX('D Fleet'!$K$5:$K$36,INT(($B136/L$5))+2)-INDEX('D Fleet'!$K$5:$K$36,INT(($B136/L$5))+1)),0)</f>
        <v/>
      </c>
      <c r="M136" s="276">
        <f>IFERROR(INDEX('D Fleet'!$E$5:$E$62,MATCH(M$3-$B136,'D Fleet'!$B$5:$B$62,0)),0)*IFERROR(INDEX('D Fleet'!$K$5:$K$36,INT(($B136/M$5))+1)+(($B136/M$5)-INT(($B136/M$5)))*(INDEX('D Fleet'!$K$5:$K$36,INT(($B136/M$5))+2)-INDEX('D Fleet'!$K$5:$K$36,INT(($B136/M$5))+1)),0)</f>
        <v/>
      </c>
      <c r="N136" s="276">
        <f>IFERROR(INDEX('D Fleet'!$E$5:$E$62,MATCH(N$3-$B136,'D Fleet'!$B$5:$B$62,0)),0)*IFERROR(INDEX('D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Fleet'!$E$5:$E$62,MATCH(E$3-$B137,'D Fleet'!$B$5:$B$62,0)),0)*IFERROR(INDEX('D Fleet'!$K$5:$K$36,INT(($B137/E$5))+1)+(($B137/E$5)-INT(($B137/E$5)))*(INDEX('D Fleet'!$K$5:$K$36,INT(($B137/E$5))+2)-INDEX('D Fleet'!$K$5:$K$36,INT(($B137/E$5))+1)),0)</f>
        <v/>
      </c>
      <c r="F137" s="276">
        <f>IFERROR(INDEX('D Fleet'!$E$5:$E$62,MATCH(F$3-$B137,'D Fleet'!$B$5:$B$62,0)),0)*IFERROR(INDEX('D Fleet'!$K$5:$K$36,INT(($B137/F$5))+1)+(($B137/F$5)-INT(($B137/F$5)))*(INDEX('D Fleet'!$K$5:$K$36,INT(($B137/F$5))+2)-INDEX('D Fleet'!$K$5:$K$36,INT(($B137/F$5))+1)),0)</f>
        <v/>
      </c>
      <c r="G137" s="276">
        <f>IFERROR(INDEX('D Fleet'!$E$5:$E$62,MATCH(G$3-$B137,'D Fleet'!$B$5:$B$62,0)),0)*IFERROR(INDEX('D Fleet'!$K$5:$K$36,INT(($B137/G$5))+1)+(($B137/G$5)-INT(($B137/G$5)))*(INDEX('D Fleet'!$K$5:$K$36,INT(($B137/G$5))+2)-INDEX('D Fleet'!$K$5:$K$36,INT(($B137/G$5))+1)),0)</f>
        <v/>
      </c>
      <c r="H137" s="276">
        <f>IFERROR(INDEX('D Fleet'!$E$5:$E$62,MATCH(H$3-$B137,'D Fleet'!$B$5:$B$62,0)),0)*IFERROR(INDEX('D Fleet'!$K$5:$K$36,INT(($B137/H$5))+1)+(($B137/H$5)-INT(($B137/H$5)))*(INDEX('D Fleet'!$K$5:$K$36,INT(($B137/H$5))+2)-INDEX('D Fleet'!$K$5:$K$36,INT(($B137/H$5))+1)),0)</f>
        <v/>
      </c>
      <c r="I137" s="276">
        <f>IFERROR(INDEX('D Fleet'!$E$5:$E$62,MATCH(I$3-$B137,'D Fleet'!$B$5:$B$62,0)),0)*IFERROR(INDEX('D Fleet'!$K$5:$K$36,INT(($B137/I$5))+1)+(($B137/I$5)-INT(($B137/I$5)))*(INDEX('D Fleet'!$K$5:$K$36,INT(($B137/I$5))+2)-INDEX('D Fleet'!$K$5:$K$36,INT(($B137/I$5))+1)),0)</f>
        <v/>
      </c>
      <c r="J137" s="276">
        <f>IFERROR(INDEX('D Fleet'!$E$5:$E$62,MATCH(J$3-$B137,'D Fleet'!$B$5:$B$62,0)),0)*IFERROR(INDEX('D Fleet'!$K$5:$K$36,INT(($B137/J$5))+1)+(($B137/J$5)-INT(($B137/J$5)))*(INDEX('D Fleet'!$K$5:$K$36,INT(($B137/J$5))+2)-INDEX('D Fleet'!$K$5:$K$36,INT(($B137/J$5))+1)),0)</f>
        <v/>
      </c>
      <c r="K137" s="276">
        <f>IFERROR(INDEX('D Fleet'!$E$5:$E$62,MATCH(K$3-$B137,'D Fleet'!$B$5:$B$62,0)),0)*IFERROR(INDEX('D Fleet'!$K$5:$K$36,INT(($B137/K$5))+1)+(($B137/K$5)-INT(($B137/K$5)))*(INDEX('D Fleet'!$K$5:$K$36,INT(($B137/K$5))+2)-INDEX('D Fleet'!$K$5:$K$36,INT(($B137/K$5))+1)),0)</f>
        <v/>
      </c>
      <c r="L137" s="276">
        <f>IFERROR(INDEX('D Fleet'!$E$5:$E$62,MATCH(L$3-$B137,'D Fleet'!$B$5:$B$62,0)),0)*IFERROR(INDEX('D Fleet'!$K$5:$K$36,INT(($B137/L$5))+1)+(($B137/L$5)-INT(($B137/L$5)))*(INDEX('D Fleet'!$K$5:$K$36,INT(($B137/L$5))+2)-INDEX('D Fleet'!$K$5:$K$36,INT(($B137/L$5))+1)),0)</f>
        <v/>
      </c>
      <c r="M137" s="276">
        <f>IFERROR(INDEX('D Fleet'!$E$5:$E$62,MATCH(M$3-$B137,'D Fleet'!$B$5:$B$62,0)),0)*IFERROR(INDEX('D Fleet'!$K$5:$K$36,INT(($B137/M$5))+1)+(($B137/M$5)-INT(($B137/M$5)))*(INDEX('D Fleet'!$K$5:$K$36,INT(($B137/M$5))+2)-INDEX('D Fleet'!$K$5:$K$36,INT(($B137/M$5))+1)),0)</f>
        <v/>
      </c>
      <c r="N137" s="276">
        <f>IFERROR(INDEX('D Fleet'!$E$5:$E$62,MATCH(N$3-$B137,'D Fleet'!$B$5:$B$62,0)),0)*IFERROR(INDEX('D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Fleet'!$E$5:$E$62,MATCH(E$3-$B138,'D Fleet'!$B$5:$B$62,0)),0)*IFERROR(INDEX('D Fleet'!$K$5:$K$36,INT(($B138/E$5))+1)+(($B138/E$5)-INT(($B138/E$5)))*(INDEX('D Fleet'!$K$5:$K$36,INT(($B138/E$5))+2)-INDEX('D Fleet'!$K$5:$K$36,INT(($B138/E$5))+1)),0)</f>
        <v/>
      </c>
      <c r="F138" s="276">
        <f>IFERROR(INDEX('D Fleet'!$E$5:$E$62,MATCH(F$3-$B138,'D Fleet'!$B$5:$B$62,0)),0)*IFERROR(INDEX('D Fleet'!$K$5:$K$36,INT(($B138/F$5))+1)+(($B138/F$5)-INT(($B138/F$5)))*(INDEX('D Fleet'!$K$5:$K$36,INT(($B138/F$5))+2)-INDEX('D Fleet'!$K$5:$K$36,INT(($B138/F$5))+1)),0)</f>
        <v/>
      </c>
      <c r="G138" s="276">
        <f>IFERROR(INDEX('D Fleet'!$E$5:$E$62,MATCH(G$3-$B138,'D Fleet'!$B$5:$B$62,0)),0)*IFERROR(INDEX('D Fleet'!$K$5:$K$36,INT(($B138/G$5))+1)+(($B138/G$5)-INT(($B138/G$5)))*(INDEX('D Fleet'!$K$5:$K$36,INT(($B138/G$5))+2)-INDEX('D Fleet'!$K$5:$K$36,INT(($B138/G$5))+1)),0)</f>
        <v/>
      </c>
      <c r="H138" s="276">
        <f>IFERROR(INDEX('D Fleet'!$E$5:$E$62,MATCH(H$3-$B138,'D Fleet'!$B$5:$B$62,0)),0)*IFERROR(INDEX('D Fleet'!$K$5:$K$36,INT(($B138/H$5))+1)+(($B138/H$5)-INT(($B138/H$5)))*(INDEX('D Fleet'!$K$5:$K$36,INT(($B138/H$5))+2)-INDEX('D Fleet'!$K$5:$K$36,INT(($B138/H$5))+1)),0)</f>
        <v/>
      </c>
      <c r="I138" s="276">
        <f>IFERROR(INDEX('D Fleet'!$E$5:$E$62,MATCH(I$3-$B138,'D Fleet'!$B$5:$B$62,0)),0)*IFERROR(INDEX('D Fleet'!$K$5:$K$36,INT(($B138/I$5))+1)+(($B138/I$5)-INT(($B138/I$5)))*(INDEX('D Fleet'!$K$5:$K$36,INT(($B138/I$5))+2)-INDEX('D Fleet'!$K$5:$K$36,INT(($B138/I$5))+1)),0)</f>
        <v/>
      </c>
      <c r="J138" s="276">
        <f>IFERROR(INDEX('D Fleet'!$E$5:$E$62,MATCH(J$3-$B138,'D Fleet'!$B$5:$B$62,0)),0)*IFERROR(INDEX('D Fleet'!$K$5:$K$36,INT(($B138/J$5))+1)+(($B138/J$5)-INT(($B138/J$5)))*(INDEX('D Fleet'!$K$5:$K$36,INT(($B138/J$5))+2)-INDEX('D Fleet'!$K$5:$K$36,INT(($B138/J$5))+1)),0)</f>
        <v/>
      </c>
      <c r="K138" s="276">
        <f>IFERROR(INDEX('D Fleet'!$E$5:$E$62,MATCH(K$3-$B138,'D Fleet'!$B$5:$B$62,0)),0)*IFERROR(INDEX('D Fleet'!$K$5:$K$36,INT(($B138/K$5))+1)+(($B138/K$5)-INT(($B138/K$5)))*(INDEX('D Fleet'!$K$5:$K$36,INT(($B138/K$5))+2)-INDEX('D Fleet'!$K$5:$K$36,INT(($B138/K$5))+1)),0)</f>
        <v/>
      </c>
      <c r="L138" s="276">
        <f>IFERROR(INDEX('D Fleet'!$E$5:$E$62,MATCH(L$3-$B138,'D Fleet'!$B$5:$B$62,0)),0)*IFERROR(INDEX('D Fleet'!$K$5:$K$36,INT(($B138/L$5))+1)+(($B138/L$5)-INT(($B138/L$5)))*(INDEX('D Fleet'!$K$5:$K$36,INT(($B138/L$5))+2)-INDEX('D Fleet'!$K$5:$K$36,INT(($B138/L$5))+1)),0)</f>
        <v/>
      </c>
      <c r="M138" s="276">
        <f>IFERROR(INDEX('D Fleet'!$E$5:$E$62,MATCH(M$3-$B138,'D Fleet'!$B$5:$B$62,0)),0)*IFERROR(INDEX('D Fleet'!$K$5:$K$36,INT(($B138/M$5))+1)+(($B138/M$5)-INT(($B138/M$5)))*(INDEX('D Fleet'!$K$5:$K$36,INT(($B138/M$5))+2)-INDEX('D Fleet'!$K$5:$K$36,INT(($B138/M$5))+1)),0)</f>
        <v/>
      </c>
      <c r="N138" s="276">
        <f>IFERROR(INDEX('D Fleet'!$E$5:$E$62,MATCH(N$3-$B138,'D Fleet'!$B$5:$B$62,0)),0)*IFERROR(INDEX('D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Fleet'!$E$5:$E$62,MATCH(E$3-$B139,'D Fleet'!$B$5:$B$62,0)),0)*IFERROR(INDEX('D Fleet'!$K$5:$K$36,INT(($B139/E$5))+1)+(($B139/E$5)-INT(($B139/E$5)))*(INDEX('D Fleet'!$K$5:$K$36,INT(($B139/E$5))+2)-INDEX('D Fleet'!$K$5:$K$36,INT(($B139/E$5))+1)),0)</f>
        <v/>
      </c>
      <c r="F139" s="276">
        <f>IFERROR(INDEX('D Fleet'!$E$5:$E$62,MATCH(F$3-$B139,'D Fleet'!$B$5:$B$62,0)),0)*IFERROR(INDEX('D Fleet'!$K$5:$K$36,INT(($B139/F$5))+1)+(($B139/F$5)-INT(($B139/F$5)))*(INDEX('D Fleet'!$K$5:$K$36,INT(($B139/F$5))+2)-INDEX('D Fleet'!$K$5:$K$36,INT(($B139/F$5))+1)),0)</f>
        <v/>
      </c>
      <c r="G139" s="276">
        <f>IFERROR(INDEX('D Fleet'!$E$5:$E$62,MATCH(G$3-$B139,'D Fleet'!$B$5:$B$62,0)),0)*IFERROR(INDEX('D Fleet'!$K$5:$K$36,INT(($B139/G$5))+1)+(($B139/G$5)-INT(($B139/G$5)))*(INDEX('D Fleet'!$K$5:$K$36,INT(($B139/G$5))+2)-INDEX('D Fleet'!$K$5:$K$36,INT(($B139/G$5))+1)),0)</f>
        <v/>
      </c>
      <c r="H139" s="276">
        <f>IFERROR(INDEX('D Fleet'!$E$5:$E$62,MATCH(H$3-$B139,'D Fleet'!$B$5:$B$62,0)),0)*IFERROR(INDEX('D Fleet'!$K$5:$K$36,INT(($B139/H$5))+1)+(($B139/H$5)-INT(($B139/H$5)))*(INDEX('D Fleet'!$K$5:$K$36,INT(($B139/H$5))+2)-INDEX('D Fleet'!$K$5:$K$36,INT(($B139/H$5))+1)),0)</f>
        <v/>
      </c>
      <c r="I139" s="276">
        <f>IFERROR(INDEX('D Fleet'!$E$5:$E$62,MATCH(I$3-$B139,'D Fleet'!$B$5:$B$62,0)),0)*IFERROR(INDEX('D Fleet'!$K$5:$K$36,INT(($B139/I$5))+1)+(($B139/I$5)-INT(($B139/I$5)))*(INDEX('D Fleet'!$K$5:$K$36,INT(($B139/I$5))+2)-INDEX('D Fleet'!$K$5:$K$36,INT(($B139/I$5))+1)),0)</f>
        <v/>
      </c>
      <c r="J139" s="276">
        <f>IFERROR(INDEX('D Fleet'!$E$5:$E$62,MATCH(J$3-$B139,'D Fleet'!$B$5:$B$62,0)),0)*IFERROR(INDEX('D Fleet'!$K$5:$K$36,INT(($B139/J$5))+1)+(($B139/J$5)-INT(($B139/J$5)))*(INDEX('D Fleet'!$K$5:$K$36,INT(($B139/J$5))+2)-INDEX('D Fleet'!$K$5:$K$36,INT(($B139/J$5))+1)),0)</f>
        <v/>
      </c>
      <c r="K139" s="276">
        <f>IFERROR(INDEX('D Fleet'!$E$5:$E$62,MATCH(K$3-$B139,'D Fleet'!$B$5:$B$62,0)),0)*IFERROR(INDEX('D Fleet'!$K$5:$K$36,INT(($B139/K$5))+1)+(($B139/K$5)-INT(($B139/K$5)))*(INDEX('D Fleet'!$K$5:$K$36,INT(($B139/K$5))+2)-INDEX('D Fleet'!$K$5:$K$36,INT(($B139/K$5))+1)),0)</f>
        <v/>
      </c>
      <c r="L139" s="276">
        <f>IFERROR(INDEX('D Fleet'!$E$5:$E$62,MATCH(L$3-$B139,'D Fleet'!$B$5:$B$62,0)),0)*IFERROR(INDEX('D Fleet'!$K$5:$K$36,INT(($B139/L$5))+1)+(($B139/L$5)-INT(($B139/L$5)))*(INDEX('D Fleet'!$K$5:$K$36,INT(($B139/L$5))+2)-INDEX('D Fleet'!$K$5:$K$36,INT(($B139/L$5))+1)),0)</f>
        <v/>
      </c>
      <c r="M139" s="276">
        <f>IFERROR(INDEX('D Fleet'!$E$5:$E$62,MATCH(M$3-$B139,'D Fleet'!$B$5:$B$62,0)),0)*IFERROR(INDEX('D Fleet'!$K$5:$K$36,INT(($B139/M$5))+1)+(($B139/M$5)-INT(($B139/M$5)))*(INDEX('D Fleet'!$K$5:$K$36,INT(($B139/M$5))+2)-INDEX('D Fleet'!$K$5:$K$36,INT(($B139/M$5))+1)),0)</f>
        <v/>
      </c>
      <c r="N139" s="276">
        <f>IFERROR(INDEX('D Fleet'!$E$5:$E$62,MATCH(N$3-$B139,'D Fleet'!$B$5:$B$62,0)),0)*IFERROR(INDEX('D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Fleet'!$E$5:$E$62,MATCH(E$3-$B140,'D Fleet'!$B$5:$B$62,0)),0)*IFERROR(INDEX('D Fleet'!$K$5:$K$36,INT(($B140/E$5))+1)+(($B140/E$5)-INT(($B140/E$5)))*(INDEX('D Fleet'!$K$5:$K$36,INT(($B140/E$5))+2)-INDEX('D Fleet'!$K$5:$K$36,INT(($B140/E$5))+1)),0)</f>
        <v/>
      </c>
      <c r="F140" s="276">
        <f>IFERROR(INDEX('D Fleet'!$E$5:$E$62,MATCH(F$3-$B140,'D Fleet'!$B$5:$B$62,0)),0)*IFERROR(INDEX('D Fleet'!$K$5:$K$36,INT(($B140/F$5))+1)+(($B140/F$5)-INT(($B140/F$5)))*(INDEX('D Fleet'!$K$5:$K$36,INT(($B140/F$5))+2)-INDEX('D Fleet'!$K$5:$K$36,INT(($B140/F$5))+1)),0)</f>
        <v/>
      </c>
      <c r="G140" s="276">
        <f>IFERROR(INDEX('D Fleet'!$E$5:$E$62,MATCH(G$3-$B140,'D Fleet'!$B$5:$B$62,0)),0)*IFERROR(INDEX('D Fleet'!$K$5:$K$36,INT(($B140/G$5))+1)+(($B140/G$5)-INT(($B140/G$5)))*(INDEX('D Fleet'!$K$5:$K$36,INT(($B140/G$5))+2)-INDEX('D Fleet'!$K$5:$K$36,INT(($B140/G$5))+1)),0)</f>
        <v/>
      </c>
      <c r="H140" s="276">
        <f>IFERROR(INDEX('D Fleet'!$E$5:$E$62,MATCH(H$3-$B140,'D Fleet'!$B$5:$B$62,0)),0)*IFERROR(INDEX('D Fleet'!$K$5:$K$36,INT(($B140/H$5))+1)+(($B140/H$5)-INT(($B140/H$5)))*(INDEX('D Fleet'!$K$5:$K$36,INT(($B140/H$5))+2)-INDEX('D Fleet'!$K$5:$K$36,INT(($B140/H$5))+1)),0)</f>
        <v/>
      </c>
      <c r="I140" s="276">
        <f>IFERROR(INDEX('D Fleet'!$E$5:$E$62,MATCH(I$3-$B140,'D Fleet'!$B$5:$B$62,0)),0)*IFERROR(INDEX('D Fleet'!$K$5:$K$36,INT(($B140/I$5))+1)+(($B140/I$5)-INT(($B140/I$5)))*(INDEX('D Fleet'!$K$5:$K$36,INT(($B140/I$5))+2)-INDEX('D Fleet'!$K$5:$K$36,INT(($B140/I$5))+1)),0)</f>
        <v/>
      </c>
      <c r="J140" s="276">
        <f>IFERROR(INDEX('D Fleet'!$E$5:$E$62,MATCH(J$3-$B140,'D Fleet'!$B$5:$B$62,0)),0)*IFERROR(INDEX('D Fleet'!$K$5:$K$36,INT(($B140/J$5))+1)+(($B140/J$5)-INT(($B140/J$5)))*(INDEX('D Fleet'!$K$5:$K$36,INT(($B140/J$5))+2)-INDEX('D Fleet'!$K$5:$K$36,INT(($B140/J$5))+1)),0)</f>
        <v/>
      </c>
      <c r="K140" s="276">
        <f>IFERROR(INDEX('D Fleet'!$E$5:$E$62,MATCH(K$3-$B140,'D Fleet'!$B$5:$B$62,0)),0)*IFERROR(INDEX('D Fleet'!$K$5:$K$36,INT(($B140/K$5))+1)+(($B140/K$5)-INT(($B140/K$5)))*(INDEX('D Fleet'!$K$5:$K$36,INT(($B140/K$5))+2)-INDEX('D Fleet'!$K$5:$K$36,INT(($B140/K$5))+1)),0)</f>
        <v/>
      </c>
      <c r="L140" s="276">
        <f>IFERROR(INDEX('D Fleet'!$E$5:$E$62,MATCH(L$3-$B140,'D Fleet'!$B$5:$B$62,0)),0)*IFERROR(INDEX('D Fleet'!$K$5:$K$36,INT(($B140/L$5))+1)+(($B140/L$5)-INT(($B140/L$5)))*(INDEX('D Fleet'!$K$5:$K$36,INT(($B140/L$5))+2)-INDEX('D Fleet'!$K$5:$K$36,INT(($B140/L$5))+1)),0)</f>
        <v/>
      </c>
      <c r="M140" s="276">
        <f>IFERROR(INDEX('D Fleet'!$E$5:$E$62,MATCH(M$3-$B140,'D Fleet'!$B$5:$B$62,0)),0)*IFERROR(INDEX('D Fleet'!$K$5:$K$36,INT(($B140/M$5))+1)+(($B140/M$5)-INT(($B140/M$5)))*(INDEX('D Fleet'!$K$5:$K$36,INT(($B140/M$5))+2)-INDEX('D Fleet'!$K$5:$K$36,INT(($B140/M$5))+1)),0)</f>
        <v/>
      </c>
      <c r="N140" s="276">
        <f>IFERROR(INDEX('D Fleet'!$E$5:$E$62,MATCH(N$3-$B140,'D Fleet'!$B$5:$B$62,0)),0)*IFERROR(INDEX('D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Fleet'!$E$5:$E$62,MATCH(E$3-$B141,'D Fleet'!$B$5:$B$62,0)),0)*IFERROR(INDEX('D Fleet'!$K$5:$K$36,INT(($B141/E$5))+1)+(($B141/E$5)-INT(($B141/E$5)))*(INDEX('D Fleet'!$K$5:$K$36,INT(($B141/E$5))+2)-INDEX('D Fleet'!$K$5:$K$36,INT(($B141/E$5))+1)),0)</f>
        <v/>
      </c>
      <c r="F141" s="276">
        <f>IFERROR(INDEX('D Fleet'!$E$5:$E$62,MATCH(F$3-$B141,'D Fleet'!$B$5:$B$62,0)),0)*IFERROR(INDEX('D Fleet'!$K$5:$K$36,INT(($B141/F$5))+1)+(($B141/F$5)-INT(($B141/F$5)))*(INDEX('D Fleet'!$K$5:$K$36,INT(($B141/F$5))+2)-INDEX('D Fleet'!$K$5:$K$36,INT(($B141/F$5))+1)),0)</f>
        <v/>
      </c>
      <c r="G141" s="276">
        <f>IFERROR(INDEX('D Fleet'!$E$5:$E$62,MATCH(G$3-$B141,'D Fleet'!$B$5:$B$62,0)),0)*IFERROR(INDEX('D Fleet'!$K$5:$K$36,INT(($B141/G$5))+1)+(($B141/G$5)-INT(($B141/G$5)))*(INDEX('D Fleet'!$K$5:$K$36,INT(($B141/G$5))+2)-INDEX('D Fleet'!$K$5:$K$36,INT(($B141/G$5))+1)),0)</f>
        <v/>
      </c>
      <c r="H141" s="276">
        <f>IFERROR(INDEX('D Fleet'!$E$5:$E$62,MATCH(H$3-$B141,'D Fleet'!$B$5:$B$62,0)),0)*IFERROR(INDEX('D Fleet'!$K$5:$K$36,INT(($B141/H$5))+1)+(($B141/H$5)-INT(($B141/H$5)))*(INDEX('D Fleet'!$K$5:$K$36,INT(($B141/H$5))+2)-INDEX('D Fleet'!$K$5:$K$36,INT(($B141/H$5))+1)),0)</f>
        <v/>
      </c>
      <c r="I141" s="276">
        <f>IFERROR(INDEX('D Fleet'!$E$5:$E$62,MATCH(I$3-$B141,'D Fleet'!$B$5:$B$62,0)),0)*IFERROR(INDEX('D Fleet'!$K$5:$K$36,INT(($B141/I$5))+1)+(($B141/I$5)-INT(($B141/I$5)))*(INDEX('D Fleet'!$K$5:$K$36,INT(($B141/I$5))+2)-INDEX('D Fleet'!$K$5:$K$36,INT(($B141/I$5))+1)),0)</f>
        <v/>
      </c>
      <c r="J141" s="276">
        <f>IFERROR(INDEX('D Fleet'!$E$5:$E$62,MATCH(J$3-$B141,'D Fleet'!$B$5:$B$62,0)),0)*IFERROR(INDEX('D Fleet'!$K$5:$K$36,INT(($B141/J$5))+1)+(($B141/J$5)-INT(($B141/J$5)))*(INDEX('D Fleet'!$K$5:$K$36,INT(($B141/J$5))+2)-INDEX('D Fleet'!$K$5:$K$36,INT(($B141/J$5))+1)),0)</f>
        <v/>
      </c>
      <c r="K141" s="276">
        <f>IFERROR(INDEX('D Fleet'!$E$5:$E$62,MATCH(K$3-$B141,'D Fleet'!$B$5:$B$62,0)),0)*IFERROR(INDEX('D Fleet'!$K$5:$K$36,INT(($B141/K$5))+1)+(($B141/K$5)-INT(($B141/K$5)))*(INDEX('D Fleet'!$K$5:$K$36,INT(($B141/K$5))+2)-INDEX('D Fleet'!$K$5:$K$36,INT(($B141/K$5))+1)),0)</f>
        <v/>
      </c>
      <c r="L141" s="276">
        <f>IFERROR(INDEX('D Fleet'!$E$5:$E$62,MATCH(L$3-$B141,'D Fleet'!$B$5:$B$62,0)),0)*IFERROR(INDEX('D Fleet'!$K$5:$K$36,INT(($B141/L$5))+1)+(($B141/L$5)-INT(($B141/L$5)))*(INDEX('D Fleet'!$K$5:$K$36,INT(($B141/L$5))+2)-INDEX('D Fleet'!$K$5:$K$36,INT(($B141/L$5))+1)),0)</f>
        <v/>
      </c>
      <c r="M141" s="276">
        <f>IFERROR(INDEX('D Fleet'!$E$5:$E$62,MATCH(M$3-$B141,'D Fleet'!$B$5:$B$62,0)),0)*IFERROR(INDEX('D Fleet'!$K$5:$K$36,INT(($B141/M$5))+1)+(($B141/M$5)-INT(($B141/M$5)))*(INDEX('D Fleet'!$K$5:$K$36,INT(($B141/M$5))+2)-INDEX('D Fleet'!$K$5:$K$36,INT(($B141/M$5))+1)),0)</f>
        <v/>
      </c>
      <c r="N141" s="276">
        <f>IFERROR(INDEX('D Fleet'!$E$5:$E$62,MATCH(N$3-$B141,'D Fleet'!$B$5:$B$62,0)),0)*IFERROR(INDEX('D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Fleet'!$E$5:$E$62,MATCH(E$3-$B142,'D Fleet'!$B$5:$B$62,0)),0)*IFERROR(INDEX('D Fleet'!$K$5:$K$36,INT(($B142/E$5))+1)+(($B142/E$5)-INT(($B142/E$5)))*(INDEX('D Fleet'!$K$5:$K$36,INT(($B142/E$5))+2)-INDEX('D Fleet'!$K$5:$K$36,INT(($B142/E$5))+1)),0)</f>
        <v/>
      </c>
      <c r="F142" s="276">
        <f>IFERROR(INDEX('D Fleet'!$E$5:$E$62,MATCH(F$3-$B142,'D Fleet'!$B$5:$B$62,0)),0)*IFERROR(INDEX('D Fleet'!$K$5:$K$36,INT(($B142/F$5))+1)+(($B142/F$5)-INT(($B142/F$5)))*(INDEX('D Fleet'!$K$5:$K$36,INT(($B142/F$5))+2)-INDEX('D Fleet'!$K$5:$K$36,INT(($B142/F$5))+1)),0)</f>
        <v/>
      </c>
      <c r="G142" s="276">
        <f>IFERROR(INDEX('D Fleet'!$E$5:$E$62,MATCH(G$3-$B142,'D Fleet'!$B$5:$B$62,0)),0)*IFERROR(INDEX('D Fleet'!$K$5:$K$36,INT(($B142/G$5))+1)+(($B142/G$5)-INT(($B142/G$5)))*(INDEX('D Fleet'!$K$5:$K$36,INT(($B142/G$5))+2)-INDEX('D Fleet'!$K$5:$K$36,INT(($B142/G$5))+1)),0)</f>
        <v/>
      </c>
      <c r="H142" s="276">
        <f>IFERROR(INDEX('D Fleet'!$E$5:$E$62,MATCH(H$3-$B142,'D Fleet'!$B$5:$B$62,0)),0)*IFERROR(INDEX('D Fleet'!$K$5:$K$36,INT(($B142/H$5))+1)+(($B142/H$5)-INT(($B142/H$5)))*(INDEX('D Fleet'!$K$5:$K$36,INT(($B142/H$5))+2)-INDEX('D Fleet'!$K$5:$K$36,INT(($B142/H$5))+1)),0)</f>
        <v/>
      </c>
      <c r="I142" s="276">
        <f>IFERROR(INDEX('D Fleet'!$E$5:$E$62,MATCH(I$3-$B142,'D Fleet'!$B$5:$B$62,0)),0)*IFERROR(INDEX('D Fleet'!$K$5:$K$36,INT(($B142/I$5))+1)+(($B142/I$5)-INT(($B142/I$5)))*(INDEX('D Fleet'!$K$5:$K$36,INT(($B142/I$5))+2)-INDEX('D Fleet'!$K$5:$K$36,INT(($B142/I$5))+1)),0)</f>
        <v/>
      </c>
      <c r="J142" s="276">
        <f>IFERROR(INDEX('D Fleet'!$E$5:$E$62,MATCH(J$3-$B142,'D Fleet'!$B$5:$B$62,0)),0)*IFERROR(INDEX('D Fleet'!$K$5:$K$36,INT(($B142/J$5))+1)+(($B142/J$5)-INT(($B142/J$5)))*(INDEX('D Fleet'!$K$5:$K$36,INT(($B142/J$5))+2)-INDEX('D Fleet'!$K$5:$K$36,INT(($B142/J$5))+1)),0)</f>
        <v/>
      </c>
      <c r="K142" s="276">
        <f>IFERROR(INDEX('D Fleet'!$E$5:$E$62,MATCH(K$3-$B142,'D Fleet'!$B$5:$B$62,0)),0)*IFERROR(INDEX('D Fleet'!$K$5:$K$36,INT(($B142/K$5))+1)+(($B142/K$5)-INT(($B142/K$5)))*(INDEX('D Fleet'!$K$5:$K$36,INT(($B142/K$5))+2)-INDEX('D Fleet'!$K$5:$K$36,INT(($B142/K$5))+1)),0)</f>
        <v/>
      </c>
      <c r="L142" s="276">
        <f>IFERROR(INDEX('D Fleet'!$E$5:$E$62,MATCH(L$3-$B142,'D Fleet'!$B$5:$B$62,0)),0)*IFERROR(INDEX('D Fleet'!$K$5:$K$36,INT(($B142/L$5))+1)+(($B142/L$5)-INT(($B142/L$5)))*(INDEX('D Fleet'!$K$5:$K$36,INT(($B142/L$5))+2)-INDEX('D Fleet'!$K$5:$K$36,INT(($B142/L$5))+1)),0)</f>
        <v/>
      </c>
      <c r="M142" s="276">
        <f>IFERROR(INDEX('D Fleet'!$E$5:$E$62,MATCH(M$3-$B142,'D Fleet'!$B$5:$B$62,0)),0)*IFERROR(INDEX('D Fleet'!$K$5:$K$36,INT(($B142/M$5))+1)+(($B142/M$5)-INT(($B142/M$5)))*(INDEX('D Fleet'!$K$5:$K$36,INT(($B142/M$5))+2)-INDEX('D Fleet'!$K$5:$K$36,INT(($B142/M$5))+1)),0)</f>
        <v/>
      </c>
      <c r="N142" s="276">
        <f>IFERROR(INDEX('D Fleet'!$E$5:$E$62,MATCH(N$3-$B142,'D Fleet'!$B$5:$B$62,0)),0)*IFERROR(INDEX('D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Fleet'!$E$5:$E$62,MATCH(E$3-$B143,'D Fleet'!$B$5:$B$62,0)),0)*IFERROR(INDEX('D Fleet'!$K$5:$K$36,INT(($B143/E$5))+1)+(($B143/E$5)-INT(($B143/E$5)))*(INDEX('D Fleet'!$K$5:$K$36,INT(($B143/E$5))+2)-INDEX('D Fleet'!$K$5:$K$36,INT(($B143/E$5))+1)),0)</f>
        <v/>
      </c>
      <c r="F143" s="276">
        <f>IFERROR(INDEX('D Fleet'!$E$5:$E$62,MATCH(F$3-$B143,'D Fleet'!$B$5:$B$62,0)),0)*IFERROR(INDEX('D Fleet'!$K$5:$K$36,INT(($B143/F$5))+1)+(($B143/F$5)-INT(($B143/F$5)))*(INDEX('D Fleet'!$K$5:$K$36,INT(($B143/F$5))+2)-INDEX('D Fleet'!$K$5:$K$36,INT(($B143/F$5))+1)),0)</f>
        <v/>
      </c>
      <c r="G143" s="276">
        <f>IFERROR(INDEX('D Fleet'!$E$5:$E$62,MATCH(G$3-$B143,'D Fleet'!$B$5:$B$62,0)),0)*IFERROR(INDEX('D Fleet'!$K$5:$K$36,INT(($B143/G$5))+1)+(($B143/G$5)-INT(($B143/G$5)))*(INDEX('D Fleet'!$K$5:$K$36,INT(($B143/G$5))+2)-INDEX('D Fleet'!$K$5:$K$36,INT(($B143/G$5))+1)),0)</f>
        <v/>
      </c>
      <c r="H143" s="276">
        <f>IFERROR(INDEX('D Fleet'!$E$5:$E$62,MATCH(H$3-$B143,'D Fleet'!$B$5:$B$62,0)),0)*IFERROR(INDEX('D Fleet'!$K$5:$K$36,INT(($B143/H$5))+1)+(($B143/H$5)-INT(($B143/H$5)))*(INDEX('D Fleet'!$K$5:$K$36,INT(($B143/H$5))+2)-INDEX('D Fleet'!$K$5:$K$36,INT(($B143/H$5))+1)),0)</f>
        <v/>
      </c>
      <c r="I143" s="276">
        <f>IFERROR(INDEX('D Fleet'!$E$5:$E$62,MATCH(I$3-$B143,'D Fleet'!$B$5:$B$62,0)),0)*IFERROR(INDEX('D Fleet'!$K$5:$K$36,INT(($B143/I$5))+1)+(($B143/I$5)-INT(($B143/I$5)))*(INDEX('D Fleet'!$K$5:$K$36,INT(($B143/I$5))+2)-INDEX('D Fleet'!$K$5:$K$36,INT(($B143/I$5))+1)),0)</f>
        <v/>
      </c>
      <c r="J143" s="276">
        <f>IFERROR(INDEX('D Fleet'!$E$5:$E$62,MATCH(J$3-$B143,'D Fleet'!$B$5:$B$62,0)),0)*IFERROR(INDEX('D Fleet'!$K$5:$K$36,INT(($B143/J$5))+1)+(($B143/J$5)-INT(($B143/J$5)))*(INDEX('D Fleet'!$K$5:$K$36,INT(($B143/J$5))+2)-INDEX('D Fleet'!$K$5:$K$36,INT(($B143/J$5))+1)),0)</f>
        <v/>
      </c>
      <c r="K143" s="276">
        <f>IFERROR(INDEX('D Fleet'!$E$5:$E$62,MATCH(K$3-$B143,'D Fleet'!$B$5:$B$62,0)),0)*IFERROR(INDEX('D Fleet'!$K$5:$K$36,INT(($B143/K$5))+1)+(($B143/K$5)-INT(($B143/K$5)))*(INDEX('D Fleet'!$K$5:$K$36,INT(($B143/K$5))+2)-INDEX('D Fleet'!$K$5:$K$36,INT(($B143/K$5))+1)),0)</f>
        <v/>
      </c>
      <c r="L143" s="276">
        <f>IFERROR(INDEX('D Fleet'!$E$5:$E$62,MATCH(L$3-$B143,'D Fleet'!$B$5:$B$62,0)),0)*IFERROR(INDEX('D Fleet'!$K$5:$K$36,INT(($B143/L$5))+1)+(($B143/L$5)-INT(($B143/L$5)))*(INDEX('D Fleet'!$K$5:$K$36,INT(($B143/L$5))+2)-INDEX('D Fleet'!$K$5:$K$36,INT(($B143/L$5))+1)),0)</f>
        <v/>
      </c>
      <c r="M143" s="276">
        <f>IFERROR(INDEX('D Fleet'!$E$5:$E$62,MATCH(M$3-$B143,'D Fleet'!$B$5:$B$62,0)),0)*IFERROR(INDEX('D Fleet'!$K$5:$K$36,INT(($B143/M$5))+1)+(($B143/M$5)-INT(($B143/M$5)))*(INDEX('D Fleet'!$K$5:$K$36,INT(($B143/M$5))+2)-INDEX('D Fleet'!$K$5:$K$36,INT(($B143/M$5))+1)),0)</f>
        <v/>
      </c>
      <c r="N143" s="276">
        <f>IFERROR(INDEX('D Fleet'!$E$5:$E$62,MATCH(N$3-$B143,'D Fleet'!$B$5:$B$62,0)),0)*IFERROR(INDEX('D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Fleet'!$E$5:$E$62,MATCH(E$3-$B144,'D Fleet'!$B$5:$B$62,0)),0)*IFERROR(INDEX('D Fleet'!$K$5:$K$36,INT(($B144/E$5))+1)+(($B144/E$5)-INT(($B144/E$5)))*(INDEX('D Fleet'!$K$5:$K$36,INT(($B144/E$5))+2)-INDEX('D Fleet'!$K$5:$K$36,INT(($B144/E$5))+1)),0)</f>
        <v/>
      </c>
      <c r="F144" s="276">
        <f>IFERROR(INDEX('D Fleet'!$E$5:$E$62,MATCH(F$3-$B144,'D Fleet'!$B$5:$B$62,0)),0)*IFERROR(INDEX('D Fleet'!$K$5:$K$36,INT(($B144/F$5))+1)+(($B144/F$5)-INT(($B144/F$5)))*(INDEX('D Fleet'!$K$5:$K$36,INT(($B144/F$5))+2)-INDEX('D Fleet'!$K$5:$K$36,INT(($B144/F$5))+1)),0)</f>
        <v/>
      </c>
      <c r="G144" s="276">
        <f>IFERROR(INDEX('D Fleet'!$E$5:$E$62,MATCH(G$3-$B144,'D Fleet'!$B$5:$B$62,0)),0)*IFERROR(INDEX('D Fleet'!$K$5:$K$36,INT(($B144/G$5))+1)+(($B144/G$5)-INT(($B144/G$5)))*(INDEX('D Fleet'!$K$5:$K$36,INT(($B144/G$5))+2)-INDEX('D Fleet'!$K$5:$K$36,INT(($B144/G$5))+1)),0)</f>
        <v/>
      </c>
      <c r="H144" s="276">
        <f>IFERROR(INDEX('D Fleet'!$E$5:$E$62,MATCH(H$3-$B144,'D Fleet'!$B$5:$B$62,0)),0)*IFERROR(INDEX('D Fleet'!$K$5:$K$36,INT(($B144/H$5))+1)+(($B144/H$5)-INT(($B144/H$5)))*(INDEX('D Fleet'!$K$5:$K$36,INT(($B144/H$5))+2)-INDEX('D Fleet'!$K$5:$K$36,INT(($B144/H$5))+1)),0)</f>
        <v/>
      </c>
      <c r="I144" s="276">
        <f>IFERROR(INDEX('D Fleet'!$E$5:$E$62,MATCH(I$3-$B144,'D Fleet'!$B$5:$B$62,0)),0)*IFERROR(INDEX('D Fleet'!$K$5:$K$36,INT(($B144/I$5))+1)+(($B144/I$5)-INT(($B144/I$5)))*(INDEX('D Fleet'!$K$5:$K$36,INT(($B144/I$5))+2)-INDEX('D Fleet'!$K$5:$K$36,INT(($B144/I$5))+1)),0)</f>
        <v/>
      </c>
      <c r="J144" s="276">
        <f>IFERROR(INDEX('D Fleet'!$E$5:$E$62,MATCH(J$3-$B144,'D Fleet'!$B$5:$B$62,0)),0)*IFERROR(INDEX('D Fleet'!$K$5:$K$36,INT(($B144/J$5))+1)+(($B144/J$5)-INT(($B144/J$5)))*(INDEX('D Fleet'!$K$5:$K$36,INT(($B144/J$5))+2)-INDEX('D Fleet'!$K$5:$K$36,INT(($B144/J$5))+1)),0)</f>
        <v/>
      </c>
      <c r="K144" s="276">
        <f>IFERROR(INDEX('D Fleet'!$E$5:$E$62,MATCH(K$3-$B144,'D Fleet'!$B$5:$B$62,0)),0)*IFERROR(INDEX('D Fleet'!$K$5:$K$36,INT(($B144/K$5))+1)+(($B144/K$5)-INT(($B144/K$5)))*(INDEX('D Fleet'!$K$5:$K$36,INT(($B144/K$5))+2)-INDEX('D Fleet'!$K$5:$K$36,INT(($B144/K$5))+1)),0)</f>
        <v/>
      </c>
      <c r="L144" s="276">
        <f>IFERROR(INDEX('D Fleet'!$E$5:$E$62,MATCH(L$3-$B144,'D Fleet'!$B$5:$B$62,0)),0)*IFERROR(INDEX('D Fleet'!$K$5:$K$36,INT(($B144/L$5))+1)+(($B144/L$5)-INT(($B144/L$5)))*(INDEX('D Fleet'!$K$5:$K$36,INT(($B144/L$5))+2)-INDEX('D Fleet'!$K$5:$K$36,INT(($B144/L$5))+1)),0)</f>
        <v/>
      </c>
      <c r="M144" s="276">
        <f>IFERROR(INDEX('D Fleet'!$E$5:$E$62,MATCH(M$3-$B144,'D Fleet'!$B$5:$B$62,0)),0)*IFERROR(INDEX('D Fleet'!$K$5:$K$36,INT(($B144/M$5))+1)+(($B144/M$5)-INT(($B144/M$5)))*(INDEX('D Fleet'!$K$5:$K$36,INT(($B144/M$5))+2)-INDEX('D Fleet'!$K$5:$K$36,INT(($B144/M$5))+1)),0)</f>
        <v/>
      </c>
      <c r="N144" s="276">
        <f>IFERROR(INDEX('D Fleet'!$E$5:$E$62,MATCH(N$3-$B144,'D Fleet'!$B$5:$B$62,0)),0)*IFERROR(INDEX('D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Fleet'!$F$5:$F$62,MATCH(E$3-$B145,'D Fleet'!$B$5:$B$62,0)),0)*IFERROR(INDEX('D Fleet'!$K$5:$K$36,INT(($B145/E$5))+1)+(($B145/E$5)-INT(($B145/E$5)))*(INDEX('D Fleet'!$K$5:$K$36,INT(($B145/E$5))+2)-INDEX('D Fleet'!$K$5:$K$36,INT(($B145/E$5))+1)),0)</f>
        <v/>
      </c>
      <c r="F145" s="276">
        <f>IFERROR(INDEX('D Fleet'!$F$5:$F$62,MATCH(F$3-$B145,'D Fleet'!$B$5:$B$62,0)),0)*IFERROR(INDEX('D Fleet'!$K$5:$K$36,INT(($B145/F$5))+1)+(($B145/F$5)-INT(($B145/F$5)))*(INDEX('D Fleet'!$K$5:$K$36,INT(($B145/F$5))+2)-INDEX('D Fleet'!$K$5:$K$36,INT(($B145/F$5))+1)),0)</f>
        <v/>
      </c>
      <c r="G145" s="276">
        <f>IFERROR(INDEX('D Fleet'!$F$5:$F$62,MATCH(G$3-$B145,'D Fleet'!$B$5:$B$62,0)),0)*IFERROR(INDEX('D Fleet'!$K$5:$K$36,INT(($B145/G$5))+1)+(($B145/G$5)-INT(($B145/G$5)))*(INDEX('D Fleet'!$K$5:$K$36,INT(($B145/G$5))+2)-INDEX('D Fleet'!$K$5:$K$36,INT(($B145/G$5))+1)),0)</f>
        <v/>
      </c>
      <c r="H145" s="276">
        <f>IFERROR(INDEX('D Fleet'!$F$5:$F$62,MATCH(H$3-$B145,'D Fleet'!$B$5:$B$62,0)),0)*IFERROR(INDEX('D Fleet'!$K$5:$K$36,INT(($B145/H$5))+1)+(($B145/H$5)-INT(($B145/H$5)))*(INDEX('D Fleet'!$K$5:$K$36,INT(($B145/H$5))+2)-INDEX('D Fleet'!$K$5:$K$36,INT(($B145/H$5))+1)),0)</f>
        <v/>
      </c>
      <c r="I145" s="276">
        <f>IFERROR(INDEX('D Fleet'!$F$5:$F$62,MATCH(I$3-$B145,'D Fleet'!$B$5:$B$62,0)),0)*IFERROR(INDEX('D Fleet'!$K$5:$K$36,INT(($B145/I$5))+1)+(($B145/I$5)-INT(($B145/I$5)))*(INDEX('D Fleet'!$K$5:$K$36,INT(($B145/I$5))+2)-INDEX('D Fleet'!$K$5:$K$36,INT(($B145/I$5))+1)),0)</f>
        <v/>
      </c>
      <c r="J145" s="276">
        <f>IFERROR(INDEX('D Fleet'!$F$5:$F$62,MATCH(J$3-$B145,'D Fleet'!$B$5:$B$62,0)),0)*IFERROR(INDEX('D Fleet'!$K$5:$K$36,INT(($B145/J$5))+1)+(($B145/J$5)-INT(($B145/J$5)))*(INDEX('D Fleet'!$K$5:$K$36,INT(($B145/J$5))+2)-INDEX('D Fleet'!$K$5:$K$36,INT(($B145/J$5))+1)),0)</f>
        <v/>
      </c>
      <c r="K145" s="276">
        <f>IFERROR(INDEX('D Fleet'!$F$5:$F$62,MATCH(K$3-$B145,'D Fleet'!$B$5:$B$62,0)),0)*IFERROR(INDEX('D Fleet'!$K$5:$K$36,INT(($B145/K$5))+1)+(($B145/K$5)-INT(($B145/K$5)))*(INDEX('D Fleet'!$K$5:$K$36,INT(($B145/K$5))+2)-INDEX('D Fleet'!$K$5:$K$36,INT(($B145/K$5))+1)),0)</f>
        <v/>
      </c>
      <c r="L145" s="276">
        <f>IFERROR(INDEX('D Fleet'!$F$5:$F$62,MATCH(L$3-$B145,'D Fleet'!$B$5:$B$62,0)),0)*IFERROR(INDEX('D Fleet'!$K$5:$K$36,INT(($B145/L$5))+1)+(($B145/L$5)-INT(($B145/L$5)))*(INDEX('D Fleet'!$K$5:$K$36,INT(($B145/L$5))+2)-INDEX('D Fleet'!$K$5:$K$36,INT(($B145/L$5))+1)),0)</f>
        <v/>
      </c>
      <c r="M145" s="276">
        <f>IFERROR(INDEX('D Fleet'!$F$5:$F$62,MATCH(M$3-$B145,'D Fleet'!$B$5:$B$62,0)),0)*IFERROR(INDEX('D Fleet'!$K$5:$K$36,INT(($B145/M$5))+1)+(($B145/M$5)-INT(($B145/M$5)))*(INDEX('D Fleet'!$K$5:$K$36,INT(($B145/M$5))+2)-INDEX('D Fleet'!$K$5:$K$36,INT(($B145/M$5))+1)),0)</f>
        <v/>
      </c>
      <c r="N145" s="276">
        <f>IFERROR(INDEX('D Fleet'!$F$5:$F$62,MATCH(N$3-$B145,'D Fleet'!$B$5:$B$62,0)),0)*IFERROR(INDEX('D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Fleet'!$F$5:$F$62,MATCH(E$3-$B146,'D Fleet'!$B$5:$B$62,0)),0)*IFERROR(INDEX('D Fleet'!$K$5:$K$36,INT(($B146/E$5))+1)+(($B146/E$5)-INT(($B146/E$5)))*(INDEX('D Fleet'!$K$5:$K$36,INT(($B146/E$5))+2)-INDEX('D Fleet'!$K$5:$K$36,INT(($B146/E$5))+1)),0)</f>
        <v/>
      </c>
      <c r="F146" s="276">
        <f>IFERROR(INDEX('D Fleet'!$F$5:$F$62,MATCH(F$3-$B146,'D Fleet'!$B$5:$B$62,0)),0)*IFERROR(INDEX('D Fleet'!$K$5:$K$36,INT(($B146/F$5))+1)+(($B146/F$5)-INT(($B146/F$5)))*(INDEX('D Fleet'!$K$5:$K$36,INT(($B146/F$5))+2)-INDEX('D Fleet'!$K$5:$K$36,INT(($B146/F$5))+1)),0)</f>
        <v/>
      </c>
      <c r="G146" s="276">
        <f>IFERROR(INDEX('D Fleet'!$F$5:$F$62,MATCH(G$3-$B146,'D Fleet'!$B$5:$B$62,0)),0)*IFERROR(INDEX('D Fleet'!$K$5:$K$36,INT(($B146/G$5))+1)+(($B146/G$5)-INT(($B146/G$5)))*(INDEX('D Fleet'!$K$5:$K$36,INT(($B146/G$5))+2)-INDEX('D Fleet'!$K$5:$K$36,INT(($B146/G$5))+1)),0)</f>
        <v/>
      </c>
      <c r="H146" s="276">
        <f>IFERROR(INDEX('D Fleet'!$F$5:$F$62,MATCH(H$3-$B146,'D Fleet'!$B$5:$B$62,0)),0)*IFERROR(INDEX('D Fleet'!$K$5:$K$36,INT(($B146/H$5))+1)+(($B146/H$5)-INT(($B146/H$5)))*(INDEX('D Fleet'!$K$5:$K$36,INT(($B146/H$5))+2)-INDEX('D Fleet'!$K$5:$K$36,INT(($B146/H$5))+1)),0)</f>
        <v/>
      </c>
      <c r="I146" s="276">
        <f>IFERROR(INDEX('D Fleet'!$F$5:$F$62,MATCH(I$3-$B146,'D Fleet'!$B$5:$B$62,0)),0)*IFERROR(INDEX('D Fleet'!$K$5:$K$36,INT(($B146/I$5))+1)+(($B146/I$5)-INT(($B146/I$5)))*(INDEX('D Fleet'!$K$5:$K$36,INT(($B146/I$5))+2)-INDEX('D Fleet'!$K$5:$K$36,INT(($B146/I$5))+1)),0)</f>
        <v/>
      </c>
      <c r="J146" s="276">
        <f>IFERROR(INDEX('D Fleet'!$F$5:$F$62,MATCH(J$3-$B146,'D Fleet'!$B$5:$B$62,0)),0)*IFERROR(INDEX('D Fleet'!$K$5:$K$36,INT(($B146/J$5))+1)+(($B146/J$5)-INT(($B146/J$5)))*(INDEX('D Fleet'!$K$5:$K$36,INT(($B146/J$5))+2)-INDEX('D Fleet'!$K$5:$K$36,INT(($B146/J$5))+1)),0)</f>
        <v/>
      </c>
      <c r="K146" s="276">
        <f>IFERROR(INDEX('D Fleet'!$F$5:$F$62,MATCH(K$3-$B146,'D Fleet'!$B$5:$B$62,0)),0)*IFERROR(INDEX('D Fleet'!$K$5:$K$36,INT(($B146/K$5))+1)+(($B146/K$5)-INT(($B146/K$5)))*(INDEX('D Fleet'!$K$5:$K$36,INT(($B146/K$5))+2)-INDEX('D Fleet'!$K$5:$K$36,INT(($B146/K$5))+1)),0)</f>
        <v/>
      </c>
      <c r="L146" s="276">
        <f>IFERROR(INDEX('D Fleet'!$F$5:$F$62,MATCH(L$3-$B146,'D Fleet'!$B$5:$B$62,0)),0)*IFERROR(INDEX('D Fleet'!$K$5:$K$36,INT(($B146/L$5))+1)+(($B146/L$5)-INT(($B146/L$5)))*(INDEX('D Fleet'!$K$5:$K$36,INT(($B146/L$5))+2)-INDEX('D Fleet'!$K$5:$K$36,INT(($B146/L$5))+1)),0)</f>
        <v/>
      </c>
      <c r="M146" s="276">
        <f>IFERROR(INDEX('D Fleet'!$F$5:$F$62,MATCH(M$3-$B146,'D Fleet'!$B$5:$B$62,0)),0)*IFERROR(INDEX('D Fleet'!$K$5:$K$36,INT(($B146/M$5))+1)+(($B146/M$5)-INT(($B146/M$5)))*(INDEX('D Fleet'!$K$5:$K$36,INT(($B146/M$5))+2)-INDEX('D Fleet'!$K$5:$K$36,INT(($B146/M$5))+1)),0)</f>
        <v/>
      </c>
      <c r="N146" s="276">
        <f>IFERROR(INDEX('D Fleet'!$F$5:$F$62,MATCH(N$3-$B146,'D Fleet'!$B$5:$B$62,0)),0)*IFERROR(INDEX('D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Fleet'!$F$5:$F$62,MATCH(E$3-$B147,'D Fleet'!$B$5:$B$62,0)),0)*IFERROR(INDEX('D Fleet'!$K$5:$K$36,INT(($B147/E$5))+1)+(($B147/E$5)-INT(($B147/E$5)))*(INDEX('D Fleet'!$K$5:$K$36,INT(($B147/E$5))+2)-INDEX('D Fleet'!$K$5:$K$36,INT(($B147/E$5))+1)),0)</f>
        <v/>
      </c>
      <c r="F147" s="276">
        <f>IFERROR(INDEX('D Fleet'!$F$5:$F$62,MATCH(F$3-$B147,'D Fleet'!$B$5:$B$62,0)),0)*IFERROR(INDEX('D Fleet'!$K$5:$K$36,INT(($B147/F$5))+1)+(($B147/F$5)-INT(($B147/F$5)))*(INDEX('D Fleet'!$K$5:$K$36,INT(($B147/F$5))+2)-INDEX('D Fleet'!$K$5:$K$36,INT(($B147/F$5))+1)),0)</f>
        <v/>
      </c>
      <c r="G147" s="276">
        <f>IFERROR(INDEX('D Fleet'!$F$5:$F$62,MATCH(G$3-$B147,'D Fleet'!$B$5:$B$62,0)),0)*IFERROR(INDEX('D Fleet'!$K$5:$K$36,INT(($B147/G$5))+1)+(($B147/G$5)-INT(($B147/G$5)))*(INDEX('D Fleet'!$K$5:$K$36,INT(($B147/G$5))+2)-INDEX('D Fleet'!$K$5:$K$36,INT(($B147/G$5))+1)),0)</f>
        <v/>
      </c>
      <c r="H147" s="276">
        <f>IFERROR(INDEX('D Fleet'!$F$5:$F$62,MATCH(H$3-$B147,'D Fleet'!$B$5:$B$62,0)),0)*IFERROR(INDEX('D Fleet'!$K$5:$K$36,INT(($B147/H$5))+1)+(($B147/H$5)-INT(($B147/H$5)))*(INDEX('D Fleet'!$K$5:$K$36,INT(($B147/H$5))+2)-INDEX('D Fleet'!$K$5:$K$36,INT(($B147/H$5))+1)),0)</f>
        <v/>
      </c>
      <c r="I147" s="276">
        <f>IFERROR(INDEX('D Fleet'!$F$5:$F$62,MATCH(I$3-$B147,'D Fleet'!$B$5:$B$62,0)),0)*IFERROR(INDEX('D Fleet'!$K$5:$K$36,INT(($B147/I$5))+1)+(($B147/I$5)-INT(($B147/I$5)))*(INDEX('D Fleet'!$K$5:$K$36,INT(($B147/I$5))+2)-INDEX('D Fleet'!$K$5:$K$36,INT(($B147/I$5))+1)),0)</f>
        <v/>
      </c>
      <c r="J147" s="276">
        <f>IFERROR(INDEX('D Fleet'!$F$5:$F$62,MATCH(J$3-$B147,'D Fleet'!$B$5:$B$62,0)),0)*IFERROR(INDEX('D Fleet'!$K$5:$K$36,INT(($B147/J$5))+1)+(($B147/J$5)-INT(($B147/J$5)))*(INDEX('D Fleet'!$K$5:$K$36,INT(($B147/J$5))+2)-INDEX('D Fleet'!$K$5:$K$36,INT(($B147/J$5))+1)),0)</f>
        <v/>
      </c>
      <c r="K147" s="276">
        <f>IFERROR(INDEX('D Fleet'!$F$5:$F$62,MATCH(K$3-$B147,'D Fleet'!$B$5:$B$62,0)),0)*IFERROR(INDEX('D Fleet'!$K$5:$K$36,INT(($B147/K$5))+1)+(($B147/K$5)-INT(($B147/K$5)))*(INDEX('D Fleet'!$K$5:$K$36,INT(($B147/K$5))+2)-INDEX('D Fleet'!$K$5:$K$36,INT(($B147/K$5))+1)),0)</f>
        <v/>
      </c>
      <c r="L147" s="276">
        <f>IFERROR(INDEX('D Fleet'!$F$5:$F$62,MATCH(L$3-$B147,'D Fleet'!$B$5:$B$62,0)),0)*IFERROR(INDEX('D Fleet'!$K$5:$K$36,INT(($B147/L$5))+1)+(($B147/L$5)-INT(($B147/L$5)))*(INDEX('D Fleet'!$K$5:$K$36,INT(($B147/L$5))+2)-INDEX('D Fleet'!$K$5:$K$36,INT(($B147/L$5))+1)),0)</f>
        <v/>
      </c>
      <c r="M147" s="276">
        <f>IFERROR(INDEX('D Fleet'!$F$5:$F$62,MATCH(M$3-$B147,'D Fleet'!$B$5:$B$62,0)),0)*IFERROR(INDEX('D Fleet'!$K$5:$K$36,INT(($B147/M$5))+1)+(($B147/M$5)-INT(($B147/M$5)))*(INDEX('D Fleet'!$K$5:$K$36,INT(($B147/M$5))+2)-INDEX('D Fleet'!$K$5:$K$36,INT(($B147/M$5))+1)),0)</f>
        <v/>
      </c>
      <c r="N147" s="276">
        <f>IFERROR(INDEX('D Fleet'!$F$5:$F$62,MATCH(N$3-$B147,'D Fleet'!$B$5:$B$62,0)),0)*IFERROR(INDEX('D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Fleet'!$F$5:$F$62,MATCH(E$3-$B148,'D Fleet'!$B$5:$B$62,0)),0)*IFERROR(INDEX('D Fleet'!$K$5:$K$36,INT(($B148/E$5))+1)+(($B148/E$5)-INT(($B148/E$5)))*(INDEX('D Fleet'!$K$5:$K$36,INT(($B148/E$5))+2)-INDEX('D Fleet'!$K$5:$K$36,INT(($B148/E$5))+1)),0)</f>
        <v/>
      </c>
      <c r="F148" s="276">
        <f>IFERROR(INDEX('D Fleet'!$F$5:$F$62,MATCH(F$3-$B148,'D Fleet'!$B$5:$B$62,0)),0)*IFERROR(INDEX('D Fleet'!$K$5:$K$36,INT(($B148/F$5))+1)+(($B148/F$5)-INT(($B148/F$5)))*(INDEX('D Fleet'!$K$5:$K$36,INT(($B148/F$5))+2)-INDEX('D Fleet'!$K$5:$K$36,INT(($B148/F$5))+1)),0)</f>
        <v/>
      </c>
      <c r="G148" s="276">
        <f>IFERROR(INDEX('D Fleet'!$F$5:$F$62,MATCH(G$3-$B148,'D Fleet'!$B$5:$B$62,0)),0)*IFERROR(INDEX('D Fleet'!$K$5:$K$36,INT(($B148/G$5))+1)+(($B148/G$5)-INT(($B148/G$5)))*(INDEX('D Fleet'!$K$5:$K$36,INT(($B148/G$5))+2)-INDEX('D Fleet'!$K$5:$K$36,INT(($B148/G$5))+1)),0)</f>
        <v/>
      </c>
      <c r="H148" s="276">
        <f>IFERROR(INDEX('D Fleet'!$F$5:$F$62,MATCH(H$3-$B148,'D Fleet'!$B$5:$B$62,0)),0)*IFERROR(INDEX('D Fleet'!$K$5:$K$36,INT(($B148/H$5))+1)+(($B148/H$5)-INT(($B148/H$5)))*(INDEX('D Fleet'!$K$5:$K$36,INT(($B148/H$5))+2)-INDEX('D Fleet'!$K$5:$K$36,INT(($B148/H$5))+1)),0)</f>
        <v/>
      </c>
      <c r="I148" s="276">
        <f>IFERROR(INDEX('D Fleet'!$F$5:$F$62,MATCH(I$3-$B148,'D Fleet'!$B$5:$B$62,0)),0)*IFERROR(INDEX('D Fleet'!$K$5:$K$36,INT(($B148/I$5))+1)+(($B148/I$5)-INT(($B148/I$5)))*(INDEX('D Fleet'!$K$5:$K$36,INT(($B148/I$5))+2)-INDEX('D Fleet'!$K$5:$K$36,INT(($B148/I$5))+1)),0)</f>
        <v/>
      </c>
      <c r="J148" s="276">
        <f>IFERROR(INDEX('D Fleet'!$F$5:$F$62,MATCH(J$3-$B148,'D Fleet'!$B$5:$B$62,0)),0)*IFERROR(INDEX('D Fleet'!$K$5:$K$36,INT(($B148/J$5))+1)+(($B148/J$5)-INT(($B148/J$5)))*(INDEX('D Fleet'!$K$5:$K$36,INT(($B148/J$5))+2)-INDEX('D Fleet'!$K$5:$K$36,INT(($B148/J$5))+1)),0)</f>
        <v/>
      </c>
      <c r="K148" s="276">
        <f>IFERROR(INDEX('D Fleet'!$F$5:$F$62,MATCH(K$3-$B148,'D Fleet'!$B$5:$B$62,0)),0)*IFERROR(INDEX('D Fleet'!$K$5:$K$36,INT(($B148/K$5))+1)+(($B148/K$5)-INT(($B148/K$5)))*(INDEX('D Fleet'!$K$5:$K$36,INT(($B148/K$5))+2)-INDEX('D Fleet'!$K$5:$K$36,INT(($B148/K$5))+1)),0)</f>
        <v/>
      </c>
      <c r="L148" s="276">
        <f>IFERROR(INDEX('D Fleet'!$F$5:$F$62,MATCH(L$3-$B148,'D Fleet'!$B$5:$B$62,0)),0)*IFERROR(INDEX('D Fleet'!$K$5:$K$36,INT(($B148/L$5))+1)+(($B148/L$5)-INT(($B148/L$5)))*(INDEX('D Fleet'!$K$5:$K$36,INT(($B148/L$5))+2)-INDEX('D Fleet'!$K$5:$K$36,INT(($B148/L$5))+1)),0)</f>
        <v/>
      </c>
      <c r="M148" s="276">
        <f>IFERROR(INDEX('D Fleet'!$F$5:$F$62,MATCH(M$3-$B148,'D Fleet'!$B$5:$B$62,0)),0)*IFERROR(INDEX('D Fleet'!$K$5:$K$36,INT(($B148/M$5))+1)+(($B148/M$5)-INT(($B148/M$5)))*(INDEX('D Fleet'!$K$5:$K$36,INT(($B148/M$5))+2)-INDEX('D Fleet'!$K$5:$K$36,INT(($B148/M$5))+1)),0)</f>
        <v/>
      </c>
      <c r="N148" s="276">
        <f>IFERROR(INDEX('D Fleet'!$F$5:$F$62,MATCH(N$3-$B148,'D Fleet'!$B$5:$B$62,0)),0)*IFERROR(INDEX('D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Fleet'!$F$5:$F$62,MATCH(E$3-$B149,'D Fleet'!$B$5:$B$62,0)),0)*IFERROR(INDEX('D Fleet'!$K$5:$K$36,INT(($B149/E$5))+1)+(($B149/E$5)-INT(($B149/E$5)))*(INDEX('D Fleet'!$K$5:$K$36,INT(($B149/E$5))+2)-INDEX('D Fleet'!$K$5:$K$36,INT(($B149/E$5))+1)),0)</f>
        <v/>
      </c>
      <c r="F149" s="276">
        <f>IFERROR(INDEX('D Fleet'!$F$5:$F$62,MATCH(F$3-$B149,'D Fleet'!$B$5:$B$62,0)),0)*IFERROR(INDEX('D Fleet'!$K$5:$K$36,INT(($B149/F$5))+1)+(($B149/F$5)-INT(($B149/F$5)))*(INDEX('D Fleet'!$K$5:$K$36,INT(($B149/F$5))+2)-INDEX('D Fleet'!$K$5:$K$36,INT(($B149/F$5))+1)),0)</f>
        <v/>
      </c>
      <c r="G149" s="276">
        <f>IFERROR(INDEX('D Fleet'!$F$5:$F$62,MATCH(G$3-$B149,'D Fleet'!$B$5:$B$62,0)),0)*IFERROR(INDEX('D Fleet'!$K$5:$K$36,INT(($B149/G$5))+1)+(($B149/G$5)-INT(($B149/G$5)))*(INDEX('D Fleet'!$K$5:$K$36,INT(($B149/G$5))+2)-INDEX('D Fleet'!$K$5:$K$36,INT(($B149/G$5))+1)),0)</f>
        <v/>
      </c>
      <c r="H149" s="276">
        <f>IFERROR(INDEX('D Fleet'!$F$5:$F$62,MATCH(H$3-$B149,'D Fleet'!$B$5:$B$62,0)),0)*IFERROR(INDEX('D Fleet'!$K$5:$K$36,INT(($B149/H$5))+1)+(($B149/H$5)-INT(($B149/H$5)))*(INDEX('D Fleet'!$K$5:$K$36,INT(($B149/H$5))+2)-INDEX('D Fleet'!$K$5:$K$36,INT(($B149/H$5))+1)),0)</f>
        <v/>
      </c>
      <c r="I149" s="276">
        <f>IFERROR(INDEX('D Fleet'!$F$5:$F$62,MATCH(I$3-$B149,'D Fleet'!$B$5:$B$62,0)),0)*IFERROR(INDEX('D Fleet'!$K$5:$K$36,INT(($B149/I$5))+1)+(($B149/I$5)-INT(($B149/I$5)))*(INDEX('D Fleet'!$K$5:$K$36,INT(($B149/I$5))+2)-INDEX('D Fleet'!$K$5:$K$36,INT(($B149/I$5))+1)),0)</f>
        <v/>
      </c>
      <c r="J149" s="276">
        <f>IFERROR(INDEX('D Fleet'!$F$5:$F$62,MATCH(J$3-$B149,'D Fleet'!$B$5:$B$62,0)),0)*IFERROR(INDEX('D Fleet'!$K$5:$K$36,INT(($B149/J$5))+1)+(($B149/J$5)-INT(($B149/J$5)))*(INDEX('D Fleet'!$K$5:$K$36,INT(($B149/J$5))+2)-INDEX('D Fleet'!$K$5:$K$36,INT(($B149/J$5))+1)),0)</f>
        <v/>
      </c>
      <c r="K149" s="276">
        <f>IFERROR(INDEX('D Fleet'!$F$5:$F$62,MATCH(K$3-$B149,'D Fleet'!$B$5:$B$62,0)),0)*IFERROR(INDEX('D Fleet'!$K$5:$K$36,INT(($B149/K$5))+1)+(($B149/K$5)-INT(($B149/K$5)))*(INDEX('D Fleet'!$K$5:$K$36,INT(($B149/K$5))+2)-INDEX('D Fleet'!$K$5:$K$36,INT(($B149/K$5))+1)),0)</f>
        <v/>
      </c>
      <c r="L149" s="276">
        <f>IFERROR(INDEX('D Fleet'!$F$5:$F$62,MATCH(L$3-$B149,'D Fleet'!$B$5:$B$62,0)),0)*IFERROR(INDEX('D Fleet'!$K$5:$K$36,INT(($B149/L$5))+1)+(($B149/L$5)-INT(($B149/L$5)))*(INDEX('D Fleet'!$K$5:$K$36,INT(($B149/L$5))+2)-INDEX('D Fleet'!$K$5:$K$36,INT(($B149/L$5))+1)),0)</f>
        <v/>
      </c>
      <c r="M149" s="276">
        <f>IFERROR(INDEX('D Fleet'!$F$5:$F$62,MATCH(M$3-$B149,'D Fleet'!$B$5:$B$62,0)),0)*IFERROR(INDEX('D Fleet'!$K$5:$K$36,INT(($B149/M$5))+1)+(($B149/M$5)-INT(($B149/M$5)))*(INDEX('D Fleet'!$K$5:$K$36,INT(($B149/M$5))+2)-INDEX('D Fleet'!$K$5:$K$36,INT(($B149/M$5))+1)),0)</f>
        <v/>
      </c>
      <c r="N149" s="276">
        <f>IFERROR(INDEX('D Fleet'!$F$5:$F$62,MATCH(N$3-$B149,'D Fleet'!$B$5:$B$62,0)),0)*IFERROR(INDEX('D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Fleet'!$F$5:$F$62,MATCH(E$3-$B150,'D Fleet'!$B$5:$B$62,0)),0)*IFERROR(INDEX('D Fleet'!$K$5:$K$36,INT(($B150/E$5))+1)+(($B150/E$5)-INT(($B150/E$5)))*(INDEX('D Fleet'!$K$5:$K$36,INT(($B150/E$5))+2)-INDEX('D Fleet'!$K$5:$K$36,INT(($B150/E$5))+1)),0)</f>
        <v/>
      </c>
      <c r="F150" s="276">
        <f>IFERROR(INDEX('D Fleet'!$F$5:$F$62,MATCH(F$3-$B150,'D Fleet'!$B$5:$B$62,0)),0)*IFERROR(INDEX('D Fleet'!$K$5:$K$36,INT(($B150/F$5))+1)+(($B150/F$5)-INT(($B150/F$5)))*(INDEX('D Fleet'!$K$5:$K$36,INT(($B150/F$5))+2)-INDEX('D Fleet'!$K$5:$K$36,INT(($B150/F$5))+1)),0)</f>
        <v/>
      </c>
      <c r="G150" s="276">
        <f>IFERROR(INDEX('D Fleet'!$F$5:$F$62,MATCH(G$3-$B150,'D Fleet'!$B$5:$B$62,0)),0)*IFERROR(INDEX('D Fleet'!$K$5:$K$36,INT(($B150/G$5))+1)+(($B150/G$5)-INT(($B150/G$5)))*(INDEX('D Fleet'!$K$5:$K$36,INT(($B150/G$5))+2)-INDEX('D Fleet'!$K$5:$K$36,INT(($B150/G$5))+1)),0)</f>
        <v/>
      </c>
      <c r="H150" s="276">
        <f>IFERROR(INDEX('D Fleet'!$F$5:$F$62,MATCH(H$3-$B150,'D Fleet'!$B$5:$B$62,0)),0)*IFERROR(INDEX('D Fleet'!$K$5:$K$36,INT(($B150/H$5))+1)+(($B150/H$5)-INT(($B150/H$5)))*(INDEX('D Fleet'!$K$5:$K$36,INT(($B150/H$5))+2)-INDEX('D Fleet'!$K$5:$K$36,INT(($B150/H$5))+1)),0)</f>
        <v/>
      </c>
      <c r="I150" s="276">
        <f>IFERROR(INDEX('D Fleet'!$F$5:$F$62,MATCH(I$3-$B150,'D Fleet'!$B$5:$B$62,0)),0)*IFERROR(INDEX('D Fleet'!$K$5:$K$36,INT(($B150/I$5))+1)+(($B150/I$5)-INT(($B150/I$5)))*(INDEX('D Fleet'!$K$5:$K$36,INT(($B150/I$5))+2)-INDEX('D Fleet'!$K$5:$K$36,INT(($B150/I$5))+1)),0)</f>
        <v/>
      </c>
      <c r="J150" s="276">
        <f>IFERROR(INDEX('D Fleet'!$F$5:$F$62,MATCH(J$3-$B150,'D Fleet'!$B$5:$B$62,0)),0)*IFERROR(INDEX('D Fleet'!$K$5:$K$36,INT(($B150/J$5))+1)+(($B150/J$5)-INT(($B150/J$5)))*(INDEX('D Fleet'!$K$5:$K$36,INT(($B150/J$5))+2)-INDEX('D Fleet'!$K$5:$K$36,INT(($B150/J$5))+1)),0)</f>
        <v/>
      </c>
      <c r="K150" s="276">
        <f>IFERROR(INDEX('D Fleet'!$F$5:$F$62,MATCH(K$3-$B150,'D Fleet'!$B$5:$B$62,0)),0)*IFERROR(INDEX('D Fleet'!$K$5:$K$36,INT(($B150/K$5))+1)+(($B150/K$5)-INT(($B150/K$5)))*(INDEX('D Fleet'!$K$5:$K$36,INT(($B150/K$5))+2)-INDEX('D Fleet'!$K$5:$K$36,INT(($B150/K$5))+1)),0)</f>
        <v/>
      </c>
      <c r="L150" s="276">
        <f>IFERROR(INDEX('D Fleet'!$F$5:$F$62,MATCH(L$3-$B150,'D Fleet'!$B$5:$B$62,0)),0)*IFERROR(INDEX('D Fleet'!$K$5:$K$36,INT(($B150/L$5))+1)+(($B150/L$5)-INT(($B150/L$5)))*(INDEX('D Fleet'!$K$5:$K$36,INT(($B150/L$5))+2)-INDEX('D Fleet'!$K$5:$K$36,INT(($B150/L$5))+1)),0)</f>
        <v/>
      </c>
      <c r="M150" s="276">
        <f>IFERROR(INDEX('D Fleet'!$F$5:$F$62,MATCH(M$3-$B150,'D Fleet'!$B$5:$B$62,0)),0)*IFERROR(INDEX('D Fleet'!$K$5:$K$36,INT(($B150/M$5))+1)+(($B150/M$5)-INT(($B150/M$5)))*(INDEX('D Fleet'!$K$5:$K$36,INT(($B150/M$5))+2)-INDEX('D Fleet'!$K$5:$K$36,INT(($B150/M$5))+1)),0)</f>
        <v/>
      </c>
      <c r="N150" s="276">
        <f>IFERROR(INDEX('D Fleet'!$F$5:$F$62,MATCH(N$3-$B150,'D Fleet'!$B$5:$B$62,0)),0)*IFERROR(INDEX('D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Fleet'!$F$5:$F$62,MATCH(E$3-$B151,'D Fleet'!$B$5:$B$62,0)),0)*IFERROR(INDEX('D Fleet'!$K$5:$K$36,INT(($B151/E$5))+1)+(($B151/E$5)-INT(($B151/E$5)))*(INDEX('D Fleet'!$K$5:$K$36,INT(($B151/E$5))+2)-INDEX('D Fleet'!$K$5:$K$36,INT(($B151/E$5))+1)),0)</f>
        <v/>
      </c>
      <c r="F151" s="276">
        <f>IFERROR(INDEX('D Fleet'!$F$5:$F$62,MATCH(F$3-$B151,'D Fleet'!$B$5:$B$62,0)),0)*IFERROR(INDEX('D Fleet'!$K$5:$K$36,INT(($B151/F$5))+1)+(($B151/F$5)-INT(($B151/F$5)))*(INDEX('D Fleet'!$K$5:$K$36,INT(($B151/F$5))+2)-INDEX('D Fleet'!$K$5:$K$36,INT(($B151/F$5))+1)),0)</f>
        <v/>
      </c>
      <c r="G151" s="276">
        <f>IFERROR(INDEX('D Fleet'!$F$5:$F$62,MATCH(G$3-$B151,'D Fleet'!$B$5:$B$62,0)),0)*IFERROR(INDEX('D Fleet'!$K$5:$K$36,INT(($B151/G$5))+1)+(($B151/G$5)-INT(($B151/G$5)))*(INDEX('D Fleet'!$K$5:$K$36,INT(($B151/G$5))+2)-INDEX('D Fleet'!$K$5:$K$36,INT(($B151/G$5))+1)),0)</f>
        <v/>
      </c>
      <c r="H151" s="276">
        <f>IFERROR(INDEX('D Fleet'!$F$5:$F$62,MATCH(H$3-$B151,'D Fleet'!$B$5:$B$62,0)),0)*IFERROR(INDEX('D Fleet'!$K$5:$K$36,INT(($B151/H$5))+1)+(($B151/H$5)-INT(($B151/H$5)))*(INDEX('D Fleet'!$K$5:$K$36,INT(($B151/H$5))+2)-INDEX('D Fleet'!$K$5:$K$36,INT(($B151/H$5))+1)),0)</f>
        <v/>
      </c>
      <c r="I151" s="276">
        <f>IFERROR(INDEX('D Fleet'!$F$5:$F$62,MATCH(I$3-$B151,'D Fleet'!$B$5:$B$62,0)),0)*IFERROR(INDEX('D Fleet'!$K$5:$K$36,INT(($B151/I$5))+1)+(($B151/I$5)-INT(($B151/I$5)))*(INDEX('D Fleet'!$K$5:$K$36,INT(($B151/I$5))+2)-INDEX('D Fleet'!$K$5:$K$36,INT(($B151/I$5))+1)),0)</f>
        <v/>
      </c>
      <c r="J151" s="276">
        <f>IFERROR(INDEX('D Fleet'!$F$5:$F$62,MATCH(J$3-$B151,'D Fleet'!$B$5:$B$62,0)),0)*IFERROR(INDEX('D Fleet'!$K$5:$K$36,INT(($B151/J$5))+1)+(($B151/J$5)-INT(($B151/J$5)))*(INDEX('D Fleet'!$K$5:$K$36,INT(($B151/J$5))+2)-INDEX('D Fleet'!$K$5:$K$36,INT(($B151/J$5))+1)),0)</f>
        <v/>
      </c>
      <c r="K151" s="276">
        <f>IFERROR(INDEX('D Fleet'!$F$5:$F$62,MATCH(K$3-$B151,'D Fleet'!$B$5:$B$62,0)),0)*IFERROR(INDEX('D Fleet'!$K$5:$K$36,INT(($B151/K$5))+1)+(($B151/K$5)-INT(($B151/K$5)))*(INDEX('D Fleet'!$K$5:$K$36,INT(($B151/K$5))+2)-INDEX('D Fleet'!$K$5:$K$36,INT(($B151/K$5))+1)),0)</f>
        <v/>
      </c>
      <c r="L151" s="276">
        <f>IFERROR(INDEX('D Fleet'!$F$5:$F$62,MATCH(L$3-$B151,'D Fleet'!$B$5:$B$62,0)),0)*IFERROR(INDEX('D Fleet'!$K$5:$K$36,INT(($B151/L$5))+1)+(($B151/L$5)-INT(($B151/L$5)))*(INDEX('D Fleet'!$K$5:$K$36,INT(($B151/L$5))+2)-INDEX('D Fleet'!$K$5:$K$36,INT(($B151/L$5))+1)),0)</f>
        <v/>
      </c>
      <c r="M151" s="276">
        <f>IFERROR(INDEX('D Fleet'!$F$5:$F$62,MATCH(M$3-$B151,'D Fleet'!$B$5:$B$62,0)),0)*IFERROR(INDEX('D Fleet'!$K$5:$K$36,INT(($B151/M$5))+1)+(($B151/M$5)-INT(($B151/M$5)))*(INDEX('D Fleet'!$K$5:$K$36,INT(($B151/M$5))+2)-INDEX('D Fleet'!$K$5:$K$36,INT(($B151/M$5))+1)),0)</f>
        <v/>
      </c>
      <c r="N151" s="276">
        <f>IFERROR(INDEX('D Fleet'!$F$5:$F$62,MATCH(N$3-$B151,'D Fleet'!$B$5:$B$62,0)),0)*IFERROR(INDEX('D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Fleet'!$F$5:$F$62,MATCH(E$3-$B152,'D Fleet'!$B$5:$B$62,0)),0)*IFERROR(INDEX('D Fleet'!$K$5:$K$36,INT(($B152/E$5))+1)+(($B152/E$5)-INT(($B152/E$5)))*(INDEX('D Fleet'!$K$5:$K$36,INT(($B152/E$5))+2)-INDEX('D Fleet'!$K$5:$K$36,INT(($B152/E$5))+1)),0)</f>
        <v/>
      </c>
      <c r="F152" s="276">
        <f>IFERROR(INDEX('D Fleet'!$F$5:$F$62,MATCH(F$3-$B152,'D Fleet'!$B$5:$B$62,0)),0)*IFERROR(INDEX('D Fleet'!$K$5:$K$36,INT(($B152/F$5))+1)+(($B152/F$5)-INT(($B152/F$5)))*(INDEX('D Fleet'!$K$5:$K$36,INT(($B152/F$5))+2)-INDEX('D Fleet'!$K$5:$K$36,INT(($B152/F$5))+1)),0)</f>
        <v/>
      </c>
      <c r="G152" s="276">
        <f>IFERROR(INDEX('D Fleet'!$F$5:$F$62,MATCH(G$3-$B152,'D Fleet'!$B$5:$B$62,0)),0)*IFERROR(INDEX('D Fleet'!$K$5:$K$36,INT(($B152/G$5))+1)+(($B152/G$5)-INT(($B152/G$5)))*(INDEX('D Fleet'!$K$5:$K$36,INT(($B152/G$5))+2)-INDEX('D Fleet'!$K$5:$K$36,INT(($B152/G$5))+1)),0)</f>
        <v/>
      </c>
      <c r="H152" s="276">
        <f>IFERROR(INDEX('D Fleet'!$F$5:$F$62,MATCH(H$3-$B152,'D Fleet'!$B$5:$B$62,0)),0)*IFERROR(INDEX('D Fleet'!$K$5:$K$36,INT(($B152/H$5))+1)+(($B152/H$5)-INT(($B152/H$5)))*(INDEX('D Fleet'!$K$5:$K$36,INT(($B152/H$5))+2)-INDEX('D Fleet'!$K$5:$K$36,INT(($B152/H$5))+1)),0)</f>
        <v/>
      </c>
      <c r="I152" s="276">
        <f>IFERROR(INDEX('D Fleet'!$F$5:$F$62,MATCH(I$3-$B152,'D Fleet'!$B$5:$B$62,0)),0)*IFERROR(INDEX('D Fleet'!$K$5:$K$36,INT(($B152/I$5))+1)+(($B152/I$5)-INT(($B152/I$5)))*(INDEX('D Fleet'!$K$5:$K$36,INT(($B152/I$5))+2)-INDEX('D Fleet'!$K$5:$K$36,INT(($B152/I$5))+1)),0)</f>
        <v/>
      </c>
      <c r="J152" s="276">
        <f>IFERROR(INDEX('D Fleet'!$F$5:$F$62,MATCH(J$3-$B152,'D Fleet'!$B$5:$B$62,0)),0)*IFERROR(INDEX('D Fleet'!$K$5:$K$36,INT(($B152/J$5))+1)+(($B152/J$5)-INT(($B152/J$5)))*(INDEX('D Fleet'!$K$5:$K$36,INT(($B152/J$5))+2)-INDEX('D Fleet'!$K$5:$K$36,INT(($B152/J$5))+1)),0)</f>
        <v/>
      </c>
      <c r="K152" s="276">
        <f>IFERROR(INDEX('D Fleet'!$F$5:$F$62,MATCH(K$3-$B152,'D Fleet'!$B$5:$B$62,0)),0)*IFERROR(INDEX('D Fleet'!$K$5:$K$36,INT(($B152/K$5))+1)+(($B152/K$5)-INT(($B152/K$5)))*(INDEX('D Fleet'!$K$5:$K$36,INT(($B152/K$5))+2)-INDEX('D Fleet'!$K$5:$K$36,INT(($B152/K$5))+1)),0)</f>
        <v/>
      </c>
      <c r="L152" s="276">
        <f>IFERROR(INDEX('D Fleet'!$F$5:$F$62,MATCH(L$3-$B152,'D Fleet'!$B$5:$B$62,0)),0)*IFERROR(INDEX('D Fleet'!$K$5:$K$36,INT(($B152/L$5))+1)+(($B152/L$5)-INT(($B152/L$5)))*(INDEX('D Fleet'!$K$5:$K$36,INT(($B152/L$5))+2)-INDEX('D Fleet'!$K$5:$K$36,INT(($B152/L$5))+1)),0)</f>
        <v/>
      </c>
      <c r="M152" s="276">
        <f>IFERROR(INDEX('D Fleet'!$F$5:$F$62,MATCH(M$3-$B152,'D Fleet'!$B$5:$B$62,0)),0)*IFERROR(INDEX('D Fleet'!$K$5:$K$36,INT(($B152/M$5))+1)+(($B152/M$5)-INT(($B152/M$5)))*(INDEX('D Fleet'!$K$5:$K$36,INT(($B152/M$5))+2)-INDEX('D Fleet'!$K$5:$K$36,INT(($B152/M$5))+1)),0)</f>
        <v/>
      </c>
      <c r="N152" s="276">
        <f>IFERROR(INDEX('D Fleet'!$F$5:$F$62,MATCH(N$3-$B152,'D Fleet'!$B$5:$B$62,0)),0)*IFERROR(INDEX('D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Fleet'!$F$5:$F$62,MATCH(E$3-$B153,'D Fleet'!$B$5:$B$62,0)),0)*IFERROR(INDEX('D Fleet'!$K$5:$K$36,INT(($B153/E$5))+1)+(($B153/E$5)-INT(($B153/E$5)))*(INDEX('D Fleet'!$K$5:$K$36,INT(($B153/E$5))+2)-INDEX('D Fleet'!$K$5:$K$36,INT(($B153/E$5))+1)),0)</f>
        <v/>
      </c>
      <c r="F153" s="276">
        <f>IFERROR(INDEX('D Fleet'!$F$5:$F$62,MATCH(F$3-$B153,'D Fleet'!$B$5:$B$62,0)),0)*IFERROR(INDEX('D Fleet'!$K$5:$K$36,INT(($B153/F$5))+1)+(($B153/F$5)-INT(($B153/F$5)))*(INDEX('D Fleet'!$K$5:$K$36,INT(($B153/F$5))+2)-INDEX('D Fleet'!$K$5:$K$36,INT(($B153/F$5))+1)),0)</f>
        <v/>
      </c>
      <c r="G153" s="276">
        <f>IFERROR(INDEX('D Fleet'!$F$5:$F$62,MATCH(G$3-$B153,'D Fleet'!$B$5:$B$62,0)),0)*IFERROR(INDEX('D Fleet'!$K$5:$K$36,INT(($B153/G$5))+1)+(($B153/G$5)-INT(($B153/G$5)))*(INDEX('D Fleet'!$K$5:$K$36,INT(($B153/G$5))+2)-INDEX('D Fleet'!$K$5:$K$36,INT(($B153/G$5))+1)),0)</f>
        <v/>
      </c>
      <c r="H153" s="276">
        <f>IFERROR(INDEX('D Fleet'!$F$5:$F$62,MATCH(H$3-$B153,'D Fleet'!$B$5:$B$62,0)),0)*IFERROR(INDEX('D Fleet'!$K$5:$K$36,INT(($B153/H$5))+1)+(($B153/H$5)-INT(($B153/H$5)))*(INDEX('D Fleet'!$K$5:$K$36,INT(($B153/H$5))+2)-INDEX('D Fleet'!$K$5:$K$36,INT(($B153/H$5))+1)),0)</f>
        <v/>
      </c>
      <c r="I153" s="276">
        <f>IFERROR(INDEX('D Fleet'!$F$5:$F$62,MATCH(I$3-$B153,'D Fleet'!$B$5:$B$62,0)),0)*IFERROR(INDEX('D Fleet'!$K$5:$K$36,INT(($B153/I$5))+1)+(($B153/I$5)-INT(($B153/I$5)))*(INDEX('D Fleet'!$K$5:$K$36,INT(($B153/I$5))+2)-INDEX('D Fleet'!$K$5:$K$36,INT(($B153/I$5))+1)),0)</f>
        <v/>
      </c>
      <c r="J153" s="276">
        <f>IFERROR(INDEX('D Fleet'!$F$5:$F$62,MATCH(J$3-$B153,'D Fleet'!$B$5:$B$62,0)),0)*IFERROR(INDEX('D Fleet'!$K$5:$K$36,INT(($B153/J$5))+1)+(($B153/J$5)-INT(($B153/J$5)))*(INDEX('D Fleet'!$K$5:$K$36,INT(($B153/J$5))+2)-INDEX('D Fleet'!$K$5:$K$36,INT(($B153/J$5))+1)),0)</f>
        <v/>
      </c>
      <c r="K153" s="276">
        <f>IFERROR(INDEX('D Fleet'!$F$5:$F$62,MATCH(K$3-$B153,'D Fleet'!$B$5:$B$62,0)),0)*IFERROR(INDEX('D Fleet'!$K$5:$K$36,INT(($B153/K$5))+1)+(($B153/K$5)-INT(($B153/K$5)))*(INDEX('D Fleet'!$K$5:$K$36,INT(($B153/K$5))+2)-INDEX('D Fleet'!$K$5:$K$36,INT(($B153/K$5))+1)),0)</f>
        <v/>
      </c>
      <c r="L153" s="276">
        <f>IFERROR(INDEX('D Fleet'!$F$5:$F$62,MATCH(L$3-$B153,'D Fleet'!$B$5:$B$62,0)),0)*IFERROR(INDEX('D Fleet'!$K$5:$K$36,INT(($B153/L$5))+1)+(($B153/L$5)-INT(($B153/L$5)))*(INDEX('D Fleet'!$K$5:$K$36,INT(($B153/L$5))+2)-INDEX('D Fleet'!$K$5:$K$36,INT(($B153/L$5))+1)),0)</f>
        <v/>
      </c>
      <c r="M153" s="276">
        <f>IFERROR(INDEX('D Fleet'!$F$5:$F$62,MATCH(M$3-$B153,'D Fleet'!$B$5:$B$62,0)),0)*IFERROR(INDEX('D Fleet'!$K$5:$K$36,INT(($B153/M$5))+1)+(($B153/M$5)-INT(($B153/M$5)))*(INDEX('D Fleet'!$K$5:$K$36,INT(($B153/M$5))+2)-INDEX('D Fleet'!$K$5:$K$36,INT(($B153/M$5))+1)),0)</f>
        <v/>
      </c>
      <c r="N153" s="276">
        <f>IFERROR(INDEX('D Fleet'!$F$5:$F$62,MATCH(N$3-$B153,'D Fleet'!$B$5:$B$62,0)),0)*IFERROR(INDEX('D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Fleet'!$F$5:$F$62,MATCH(E$3-$B154,'D Fleet'!$B$5:$B$62,0)),0)*IFERROR(INDEX('D Fleet'!$K$5:$K$36,INT(($B154/E$5))+1)+(($B154/E$5)-INT(($B154/E$5)))*(INDEX('D Fleet'!$K$5:$K$36,INT(($B154/E$5))+2)-INDEX('D Fleet'!$K$5:$K$36,INT(($B154/E$5))+1)),0)</f>
        <v/>
      </c>
      <c r="F154" s="276">
        <f>IFERROR(INDEX('D Fleet'!$F$5:$F$62,MATCH(F$3-$B154,'D Fleet'!$B$5:$B$62,0)),0)*IFERROR(INDEX('D Fleet'!$K$5:$K$36,INT(($B154/F$5))+1)+(($B154/F$5)-INT(($B154/F$5)))*(INDEX('D Fleet'!$K$5:$K$36,INT(($B154/F$5))+2)-INDEX('D Fleet'!$K$5:$K$36,INT(($B154/F$5))+1)),0)</f>
        <v/>
      </c>
      <c r="G154" s="276">
        <f>IFERROR(INDEX('D Fleet'!$F$5:$F$62,MATCH(G$3-$B154,'D Fleet'!$B$5:$B$62,0)),0)*IFERROR(INDEX('D Fleet'!$K$5:$K$36,INT(($B154/G$5))+1)+(($B154/G$5)-INT(($B154/G$5)))*(INDEX('D Fleet'!$K$5:$K$36,INT(($B154/G$5))+2)-INDEX('D Fleet'!$K$5:$K$36,INT(($B154/G$5))+1)),0)</f>
        <v/>
      </c>
      <c r="H154" s="276">
        <f>IFERROR(INDEX('D Fleet'!$F$5:$F$62,MATCH(H$3-$B154,'D Fleet'!$B$5:$B$62,0)),0)*IFERROR(INDEX('D Fleet'!$K$5:$K$36,INT(($B154/H$5))+1)+(($B154/H$5)-INT(($B154/H$5)))*(INDEX('D Fleet'!$K$5:$K$36,INT(($B154/H$5))+2)-INDEX('D Fleet'!$K$5:$K$36,INT(($B154/H$5))+1)),0)</f>
        <v/>
      </c>
      <c r="I154" s="276">
        <f>IFERROR(INDEX('D Fleet'!$F$5:$F$62,MATCH(I$3-$B154,'D Fleet'!$B$5:$B$62,0)),0)*IFERROR(INDEX('D Fleet'!$K$5:$K$36,INT(($B154/I$5))+1)+(($B154/I$5)-INT(($B154/I$5)))*(INDEX('D Fleet'!$K$5:$K$36,INT(($B154/I$5))+2)-INDEX('D Fleet'!$K$5:$K$36,INT(($B154/I$5))+1)),0)</f>
        <v/>
      </c>
      <c r="J154" s="276">
        <f>IFERROR(INDEX('D Fleet'!$F$5:$F$62,MATCH(J$3-$B154,'D Fleet'!$B$5:$B$62,0)),0)*IFERROR(INDEX('D Fleet'!$K$5:$K$36,INT(($B154/J$5))+1)+(($B154/J$5)-INT(($B154/J$5)))*(INDEX('D Fleet'!$K$5:$K$36,INT(($B154/J$5))+2)-INDEX('D Fleet'!$K$5:$K$36,INT(($B154/J$5))+1)),0)</f>
        <v/>
      </c>
      <c r="K154" s="276">
        <f>IFERROR(INDEX('D Fleet'!$F$5:$F$62,MATCH(K$3-$B154,'D Fleet'!$B$5:$B$62,0)),0)*IFERROR(INDEX('D Fleet'!$K$5:$K$36,INT(($B154/K$5))+1)+(($B154/K$5)-INT(($B154/K$5)))*(INDEX('D Fleet'!$K$5:$K$36,INT(($B154/K$5))+2)-INDEX('D Fleet'!$K$5:$K$36,INT(($B154/K$5))+1)),0)</f>
        <v/>
      </c>
      <c r="L154" s="276">
        <f>IFERROR(INDEX('D Fleet'!$F$5:$F$62,MATCH(L$3-$B154,'D Fleet'!$B$5:$B$62,0)),0)*IFERROR(INDEX('D Fleet'!$K$5:$K$36,INT(($B154/L$5))+1)+(($B154/L$5)-INT(($B154/L$5)))*(INDEX('D Fleet'!$K$5:$K$36,INT(($B154/L$5))+2)-INDEX('D Fleet'!$K$5:$K$36,INT(($B154/L$5))+1)),0)</f>
        <v/>
      </c>
      <c r="M154" s="276">
        <f>IFERROR(INDEX('D Fleet'!$F$5:$F$62,MATCH(M$3-$B154,'D Fleet'!$B$5:$B$62,0)),0)*IFERROR(INDEX('D Fleet'!$K$5:$K$36,INT(($B154/M$5))+1)+(($B154/M$5)-INT(($B154/M$5)))*(INDEX('D Fleet'!$K$5:$K$36,INT(($B154/M$5))+2)-INDEX('D Fleet'!$K$5:$K$36,INT(($B154/M$5))+1)),0)</f>
        <v/>
      </c>
      <c r="N154" s="276">
        <f>IFERROR(INDEX('D Fleet'!$F$5:$F$62,MATCH(N$3-$B154,'D Fleet'!$B$5:$B$62,0)),0)*IFERROR(INDEX('D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Fleet'!$F$5:$F$62,MATCH(E$3-$B155,'D Fleet'!$B$5:$B$62,0)),0)*IFERROR(INDEX('D Fleet'!$K$5:$K$36,INT(($B155/E$5))+1)+(($B155/E$5)-INT(($B155/E$5)))*(INDEX('D Fleet'!$K$5:$K$36,INT(($B155/E$5))+2)-INDEX('D Fleet'!$K$5:$K$36,INT(($B155/E$5))+1)),0)</f>
        <v/>
      </c>
      <c r="F155" s="276">
        <f>IFERROR(INDEX('D Fleet'!$F$5:$F$62,MATCH(F$3-$B155,'D Fleet'!$B$5:$B$62,0)),0)*IFERROR(INDEX('D Fleet'!$K$5:$K$36,INT(($B155/F$5))+1)+(($B155/F$5)-INT(($B155/F$5)))*(INDEX('D Fleet'!$K$5:$K$36,INT(($B155/F$5))+2)-INDEX('D Fleet'!$K$5:$K$36,INT(($B155/F$5))+1)),0)</f>
        <v/>
      </c>
      <c r="G155" s="276">
        <f>IFERROR(INDEX('D Fleet'!$F$5:$F$62,MATCH(G$3-$B155,'D Fleet'!$B$5:$B$62,0)),0)*IFERROR(INDEX('D Fleet'!$K$5:$K$36,INT(($B155/G$5))+1)+(($B155/G$5)-INT(($B155/G$5)))*(INDEX('D Fleet'!$K$5:$K$36,INT(($B155/G$5))+2)-INDEX('D Fleet'!$K$5:$K$36,INT(($B155/G$5))+1)),0)</f>
        <v/>
      </c>
      <c r="H155" s="276">
        <f>IFERROR(INDEX('D Fleet'!$F$5:$F$62,MATCH(H$3-$B155,'D Fleet'!$B$5:$B$62,0)),0)*IFERROR(INDEX('D Fleet'!$K$5:$K$36,INT(($B155/H$5))+1)+(($B155/H$5)-INT(($B155/H$5)))*(INDEX('D Fleet'!$K$5:$K$36,INT(($B155/H$5))+2)-INDEX('D Fleet'!$K$5:$K$36,INT(($B155/H$5))+1)),0)</f>
        <v/>
      </c>
      <c r="I155" s="276">
        <f>IFERROR(INDEX('D Fleet'!$F$5:$F$62,MATCH(I$3-$B155,'D Fleet'!$B$5:$B$62,0)),0)*IFERROR(INDEX('D Fleet'!$K$5:$K$36,INT(($B155/I$5))+1)+(($B155/I$5)-INT(($B155/I$5)))*(INDEX('D Fleet'!$K$5:$K$36,INT(($B155/I$5))+2)-INDEX('D Fleet'!$K$5:$K$36,INT(($B155/I$5))+1)),0)</f>
        <v/>
      </c>
      <c r="J155" s="276">
        <f>IFERROR(INDEX('D Fleet'!$F$5:$F$62,MATCH(J$3-$B155,'D Fleet'!$B$5:$B$62,0)),0)*IFERROR(INDEX('D Fleet'!$K$5:$K$36,INT(($B155/J$5))+1)+(($B155/J$5)-INT(($B155/J$5)))*(INDEX('D Fleet'!$K$5:$K$36,INT(($B155/J$5))+2)-INDEX('D Fleet'!$K$5:$K$36,INT(($B155/J$5))+1)),0)</f>
        <v/>
      </c>
      <c r="K155" s="276">
        <f>IFERROR(INDEX('D Fleet'!$F$5:$F$62,MATCH(K$3-$B155,'D Fleet'!$B$5:$B$62,0)),0)*IFERROR(INDEX('D Fleet'!$K$5:$K$36,INT(($B155/K$5))+1)+(($B155/K$5)-INT(($B155/K$5)))*(INDEX('D Fleet'!$K$5:$K$36,INT(($B155/K$5))+2)-INDEX('D Fleet'!$K$5:$K$36,INT(($B155/K$5))+1)),0)</f>
        <v/>
      </c>
      <c r="L155" s="276">
        <f>IFERROR(INDEX('D Fleet'!$F$5:$F$62,MATCH(L$3-$B155,'D Fleet'!$B$5:$B$62,0)),0)*IFERROR(INDEX('D Fleet'!$K$5:$K$36,INT(($B155/L$5))+1)+(($B155/L$5)-INT(($B155/L$5)))*(INDEX('D Fleet'!$K$5:$K$36,INT(($B155/L$5))+2)-INDEX('D Fleet'!$K$5:$K$36,INT(($B155/L$5))+1)),0)</f>
        <v/>
      </c>
      <c r="M155" s="276">
        <f>IFERROR(INDEX('D Fleet'!$F$5:$F$62,MATCH(M$3-$B155,'D Fleet'!$B$5:$B$62,0)),0)*IFERROR(INDEX('D Fleet'!$K$5:$K$36,INT(($B155/M$5))+1)+(($B155/M$5)-INT(($B155/M$5)))*(INDEX('D Fleet'!$K$5:$K$36,INT(($B155/M$5))+2)-INDEX('D Fleet'!$K$5:$K$36,INT(($B155/M$5))+1)),0)</f>
        <v/>
      </c>
      <c r="N155" s="276">
        <f>IFERROR(INDEX('D Fleet'!$F$5:$F$62,MATCH(N$3-$B155,'D Fleet'!$B$5:$B$62,0)),0)*IFERROR(INDEX('D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Fleet'!$F$5:$F$62,MATCH(E$3-$B156,'D Fleet'!$B$5:$B$62,0)),0)*IFERROR(INDEX('D Fleet'!$K$5:$K$36,INT(($B156/E$5))+1)+(($B156/E$5)-INT(($B156/E$5)))*(INDEX('D Fleet'!$K$5:$K$36,INT(($B156/E$5))+2)-INDEX('D Fleet'!$K$5:$K$36,INT(($B156/E$5))+1)),0)</f>
        <v/>
      </c>
      <c r="F156" s="276">
        <f>IFERROR(INDEX('D Fleet'!$F$5:$F$62,MATCH(F$3-$B156,'D Fleet'!$B$5:$B$62,0)),0)*IFERROR(INDEX('D Fleet'!$K$5:$K$36,INT(($B156/F$5))+1)+(($B156/F$5)-INT(($B156/F$5)))*(INDEX('D Fleet'!$K$5:$K$36,INT(($B156/F$5))+2)-INDEX('D Fleet'!$K$5:$K$36,INT(($B156/F$5))+1)),0)</f>
        <v/>
      </c>
      <c r="G156" s="276">
        <f>IFERROR(INDEX('D Fleet'!$F$5:$F$62,MATCH(G$3-$B156,'D Fleet'!$B$5:$B$62,0)),0)*IFERROR(INDEX('D Fleet'!$K$5:$K$36,INT(($B156/G$5))+1)+(($B156/G$5)-INT(($B156/G$5)))*(INDEX('D Fleet'!$K$5:$K$36,INT(($B156/G$5))+2)-INDEX('D Fleet'!$K$5:$K$36,INT(($B156/G$5))+1)),0)</f>
        <v/>
      </c>
      <c r="H156" s="276">
        <f>IFERROR(INDEX('D Fleet'!$F$5:$F$62,MATCH(H$3-$B156,'D Fleet'!$B$5:$B$62,0)),0)*IFERROR(INDEX('D Fleet'!$K$5:$K$36,INT(($B156/H$5))+1)+(($B156/H$5)-INT(($B156/H$5)))*(INDEX('D Fleet'!$K$5:$K$36,INT(($B156/H$5))+2)-INDEX('D Fleet'!$K$5:$K$36,INT(($B156/H$5))+1)),0)</f>
        <v/>
      </c>
      <c r="I156" s="276">
        <f>IFERROR(INDEX('D Fleet'!$F$5:$F$62,MATCH(I$3-$B156,'D Fleet'!$B$5:$B$62,0)),0)*IFERROR(INDEX('D Fleet'!$K$5:$K$36,INT(($B156/I$5))+1)+(($B156/I$5)-INT(($B156/I$5)))*(INDEX('D Fleet'!$K$5:$K$36,INT(($B156/I$5))+2)-INDEX('D Fleet'!$K$5:$K$36,INT(($B156/I$5))+1)),0)</f>
        <v/>
      </c>
      <c r="J156" s="276">
        <f>IFERROR(INDEX('D Fleet'!$F$5:$F$62,MATCH(J$3-$B156,'D Fleet'!$B$5:$B$62,0)),0)*IFERROR(INDEX('D Fleet'!$K$5:$K$36,INT(($B156/J$5))+1)+(($B156/J$5)-INT(($B156/J$5)))*(INDEX('D Fleet'!$K$5:$K$36,INT(($B156/J$5))+2)-INDEX('D Fleet'!$K$5:$K$36,INT(($B156/J$5))+1)),0)</f>
        <v/>
      </c>
      <c r="K156" s="276">
        <f>IFERROR(INDEX('D Fleet'!$F$5:$F$62,MATCH(K$3-$B156,'D Fleet'!$B$5:$B$62,0)),0)*IFERROR(INDEX('D Fleet'!$K$5:$K$36,INT(($B156/K$5))+1)+(($B156/K$5)-INT(($B156/K$5)))*(INDEX('D Fleet'!$K$5:$K$36,INT(($B156/K$5))+2)-INDEX('D Fleet'!$K$5:$K$36,INT(($B156/K$5))+1)),0)</f>
        <v/>
      </c>
      <c r="L156" s="276">
        <f>IFERROR(INDEX('D Fleet'!$F$5:$F$62,MATCH(L$3-$B156,'D Fleet'!$B$5:$B$62,0)),0)*IFERROR(INDEX('D Fleet'!$K$5:$K$36,INT(($B156/L$5))+1)+(($B156/L$5)-INT(($B156/L$5)))*(INDEX('D Fleet'!$K$5:$K$36,INT(($B156/L$5))+2)-INDEX('D Fleet'!$K$5:$K$36,INT(($B156/L$5))+1)),0)</f>
        <v/>
      </c>
      <c r="M156" s="276">
        <f>IFERROR(INDEX('D Fleet'!$F$5:$F$62,MATCH(M$3-$B156,'D Fleet'!$B$5:$B$62,0)),0)*IFERROR(INDEX('D Fleet'!$K$5:$K$36,INT(($B156/M$5))+1)+(($B156/M$5)-INT(($B156/M$5)))*(INDEX('D Fleet'!$K$5:$K$36,INT(($B156/M$5))+2)-INDEX('D Fleet'!$K$5:$K$36,INT(($B156/M$5))+1)),0)</f>
        <v/>
      </c>
      <c r="N156" s="276">
        <f>IFERROR(INDEX('D Fleet'!$F$5:$F$62,MATCH(N$3-$B156,'D Fleet'!$B$5:$B$62,0)),0)*IFERROR(INDEX('D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Fleet'!$F$5:$F$62,MATCH(E$3-$B157,'D Fleet'!$B$5:$B$62,0)),0)*IFERROR(INDEX('D Fleet'!$K$5:$K$36,INT(($B157/E$5))+1)+(($B157/E$5)-INT(($B157/E$5)))*(INDEX('D Fleet'!$K$5:$K$36,INT(($B157/E$5))+2)-INDEX('D Fleet'!$K$5:$K$36,INT(($B157/E$5))+1)),0)</f>
        <v/>
      </c>
      <c r="F157" s="276">
        <f>IFERROR(INDEX('D Fleet'!$F$5:$F$62,MATCH(F$3-$B157,'D Fleet'!$B$5:$B$62,0)),0)*IFERROR(INDEX('D Fleet'!$K$5:$K$36,INT(($B157/F$5))+1)+(($B157/F$5)-INT(($B157/F$5)))*(INDEX('D Fleet'!$K$5:$K$36,INT(($B157/F$5))+2)-INDEX('D Fleet'!$K$5:$K$36,INT(($B157/F$5))+1)),0)</f>
        <v/>
      </c>
      <c r="G157" s="276">
        <f>IFERROR(INDEX('D Fleet'!$F$5:$F$62,MATCH(G$3-$B157,'D Fleet'!$B$5:$B$62,0)),0)*IFERROR(INDEX('D Fleet'!$K$5:$K$36,INT(($B157/G$5))+1)+(($B157/G$5)-INT(($B157/G$5)))*(INDEX('D Fleet'!$K$5:$K$36,INT(($B157/G$5))+2)-INDEX('D Fleet'!$K$5:$K$36,INT(($B157/G$5))+1)),0)</f>
        <v/>
      </c>
      <c r="H157" s="276">
        <f>IFERROR(INDEX('D Fleet'!$F$5:$F$62,MATCH(H$3-$B157,'D Fleet'!$B$5:$B$62,0)),0)*IFERROR(INDEX('D Fleet'!$K$5:$K$36,INT(($B157/H$5))+1)+(($B157/H$5)-INT(($B157/H$5)))*(INDEX('D Fleet'!$K$5:$K$36,INT(($B157/H$5))+2)-INDEX('D Fleet'!$K$5:$K$36,INT(($B157/H$5))+1)),0)</f>
        <v/>
      </c>
      <c r="I157" s="276">
        <f>IFERROR(INDEX('D Fleet'!$F$5:$F$62,MATCH(I$3-$B157,'D Fleet'!$B$5:$B$62,0)),0)*IFERROR(INDEX('D Fleet'!$K$5:$K$36,INT(($B157/I$5))+1)+(($B157/I$5)-INT(($B157/I$5)))*(INDEX('D Fleet'!$K$5:$K$36,INT(($B157/I$5))+2)-INDEX('D Fleet'!$K$5:$K$36,INT(($B157/I$5))+1)),0)</f>
        <v/>
      </c>
      <c r="J157" s="276">
        <f>IFERROR(INDEX('D Fleet'!$F$5:$F$62,MATCH(J$3-$B157,'D Fleet'!$B$5:$B$62,0)),0)*IFERROR(INDEX('D Fleet'!$K$5:$K$36,INT(($B157/J$5))+1)+(($B157/J$5)-INT(($B157/J$5)))*(INDEX('D Fleet'!$K$5:$K$36,INT(($B157/J$5))+2)-INDEX('D Fleet'!$K$5:$K$36,INT(($B157/J$5))+1)),0)</f>
        <v/>
      </c>
      <c r="K157" s="276">
        <f>IFERROR(INDEX('D Fleet'!$F$5:$F$62,MATCH(K$3-$B157,'D Fleet'!$B$5:$B$62,0)),0)*IFERROR(INDEX('D Fleet'!$K$5:$K$36,INT(($B157/K$5))+1)+(($B157/K$5)-INT(($B157/K$5)))*(INDEX('D Fleet'!$K$5:$K$36,INT(($B157/K$5))+2)-INDEX('D Fleet'!$K$5:$K$36,INT(($B157/K$5))+1)),0)</f>
        <v/>
      </c>
      <c r="L157" s="276">
        <f>IFERROR(INDEX('D Fleet'!$F$5:$F$62,MATCH(L$3-$B157,'D Fleet'!$B$5:$B$62,0)),0)*IFERROR(INDEX('D Fleet'!$K$5:$K$36,INT(($B157/L$5))+1)+(($B157/L$5)-INT(($B157/L$5)))*(INDEX('D Fleet'!$K$5:$K$36,INT(($B157/L$5))+2)-INDEX('D Fleet'!$K$5:$K$36,INT(($B157/L$5))+1)),0)</f>
        <v/>
      </c>
      <c r="M157" s="276">
        <f>IFERROR(INDEX('D Fleet'!$F$5:$F$62,MATCH(M$3-$B157,'D Fleet'!$B$5:$B$62,0)),0)*IFERROR(INDEX('D Fleet'!$K$5:$K$36,INT(($B157/M$5))+1)+(($B157/M$5)-INT(($B157/M$5)))*(INDEX('D Fleet'!$K$5:$K$36,INT(($B157/M$5))+2)-INDEX('D Fleet'!$K$5:$K$36,INT(($B157/M$5))+1)),0)</f>
        <v/>
      </c>
      <c r="N157" s="276">
        <f>IFERROR(INDEX('D Fleet'!$F$5:$F$62,MATCH(N$3-$B157,'D Fleet'!$B$5:$B$62,0)),0)*IFERROR(INDEX('D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Fleet'!$F$5:$F$62,MATCH(E$3-$B158,'D Fleet'!$B$5:$B$62,0)),0)*IFERROR(INDEX('D Fleet'!$K$5:$K$36,INT(($B158/E$5))+1)+(($B158/E$5)-INT(($B158/E$5)))*(INDEX('D Fleet'!$K$5:$K$36,INT(($B158/E$5))+2)-INDEX('D Fleet'!$K$5:$K$36,INT(($B158/E$5))+1)),0)</f>
        <v/>
      </c>
      <c r="F158" s="276">
        <f>IFERROR(INDEX('D Fleet'!$F$5:$F$62,MATCH(F$3-$B158,'D Fleet'!$B$5:$B$62,0)),0)*IFERROR(INDEX('D Fleet'!$K$5:$K$36,INT(($B158/F$5))+1)+(($B158/F$5)-INT(($B158/F$5)))*(INDEX('D Fleet'!$K$5:$K$36,INT(($B158/F$5))+2)-INDEX('D Fleet'!$K$5:$K$36,INT(($B158/F$5))+1)),0)</f>
        <v/>
      </c>
      <c r="G158" s="276">
        <f>IFERROR(INDEX('D Fleet'!$F$5:$F$62,MATCH(G$3-$B158,'D Fleet'!$B$5:$B$62,0)),0)*IFERROR(INDEX('D Fleet'!$K$5:$K$36,INT(($B158/G$5))+1)+(($B158/G$5)-INT(($B158/G$5)))*(INDEX('D Fleet'!$K$5:$K$36,INT(($B158/G$5))+2)-INDEX('D Fleet'!$K$5:$K$36,INT(($B158/G$5))+1)),0)</f>
        <v/>
      </c>
      <c r="H158" s="276">
        <f>IFERROR(INDEX('D Fleet'!$F$5:$F$62,MATCH(H$3-$B158,'D Fleet'!$B$5:$B$62,0)),0)*IFERROR(INDEX('D Fleet'!$K$5:$K$36,INT(($B158/H$5))+1)+(($B158/H$5)-INT(($B158/H$5)))*(INDEX('D Fleet'!$K$5:$K$36,INT(($B158/H$5))+2)-INDEX('D Fleet'!$K$5:$K$36,INT(($B158/H$5))+1)),0)</f>
        <v/>
      </c>
      <c r="I158" s="276">
        <f>IFERROR(INDEX('D Fleet'!$F$5:$F$62,MATCH(I$3-$B158,'D Fleet'!$B$5:$B$62,0)),0)*IFERROR(INDEX('D Fleet'!$K$5:$K$36,INT(($B158/I$5))+1)+(($B158/I$5)-INT(($B158/I$5)))*(INDEX('D Fleet'!$K$5:$K$36,INT(($B158/I$5))+2)-INDEX('D Fleet'!$K$5:$K$36,INT(($B158/I$5))+1)),0)</f>
        <v/>
      </c>
      <c r="J158" s="276">
        <f>IFERROR(INDEX('D Fleet'!$F$5:$F$62,MATCH(J$3-$B158,'D Fleet'!$B$5:$B$62,0)),0)*IFERROR(INDEX('D Fleet'!$K$5:$K$36,INT(($B158/J$5))+1)+(($B158/J$5)-INT(($B158/J$5)))*(INDEX('D Fleet'!$K$5:$K$36,INT(($B158/J$5))+2)-INDEX('D Fleet'!$K$5:$K$36,INT(($B158/J$5))+1)),0)</f>
        <v/>
      </c>
      <c r="K158" s="276">
        <f>IFERROR(INDEX('D Fleet'!$F$5:$F$62,MATCH(K$3-$B158,'D Fleet'!$B$5:$B$62,0)),0)*IFERROR(INDEX('D Fleet'!$K$5:$K$36,INT(($B158/K$5))+1)+(($B158/K$5)-INT(($B158/K$5)))*(INDEX('D Fleet'!$K$5:$K$36,INT(($B158/K$5))+2)-INDEX('D Fleet'!$K$5:$K$36,INT(($B158/K$5))+1)),0)</f>
        <v/>
      </c>
      <c r="L158" s="276">
        <f>IFERROR(INDEX('D Fleet'!$F$5:$F$62,MATCH(L$3-$B158,'D Fleet'!$B$5:$B$62,0)),0)*IFERROR(INDEX('D Fleet'!$K$5:$K$36,INT(($B158/L$5))+1)+(($B158/L$5)-INT(($B158/L$5)))*(INDEX('D Fleet'!$K$5:$K$36,INT(($B158/L$5))+2)-INDEX('D Fleet'!$K$5:$K$36,INT(($B158/L$5))+1)),0)</f>
        <v/>
      </c>
      <c r="M158" s="276">
        <f>IFERROR(INDEX('D Fleet'!$F$5:$F$62,MATCH(M$3-$B158,'D Fleet'!$B$5:$B$62,0)),0)*IFERROR(INDEX('D Fleet'!$K$5:$K$36,INT(($B158/M$5))+1)+(($B158/M$5)-INT(($B158/M$5)))*(INDEX('D Fleet'!$K$5:$K$36,INT(($B158/M$5))+2)-INDEX('D Fleet'!$K$5:$K$36,INT(($B158/M$5))+1)),0)</f>
        <v/>
      </c>
      <c r="N158" s="276">
        <f>IFERROR(INDEX('D Fleet'!$F$5:$F$62,MATCH(N$3-$B158,'D Fleet'!$B$5:$B$62,0)),0)*IFERROR(INDEX('D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Fleet'!$F$5:$F$62,MATCH(E$3-$B159,'D Fleet'!$B$5:$B$62,0)),0)*IFERROR(INDEX('D Fleet'!$K$5:$K$36,INT(($B159/E$5))+1)+(($B159/E$5)-INT(($B159/E$5)))*(INDEX('D Fleet'!$K$5:$K$36,INT(($B159/E$5))+2)-INDEX('D Fleet'!$K$5:$K$36,INT(($B159/E$5))+1)),0)</f>
        <v/>
      </c>
      <c r="F159" s="276">
        <f>IFERROR(INDEX('D Fleet'!$F$5:$F$62,MATCH(F$3-$B159,'D Fleet'!$B$5:$B$62,0)),0)*IFERROR(INDEX('D Fleet'!$K$5:$K$36,INT(($B159/F$5))+1)+(($B159/F$5)-INT(($B159/F$5)))*(INDEX('D Fleet'!$K$5:$K$36,INT(($B159/F$5))+2)-INDEX('D Fleet'!$K$5:$K$36,INT(($B159/F$5))+1)),0)</f>
        <v/>
      </c>
      <c r="G159" s="276">
        <f>IFERROR(INDEX('D Fleet'!$F$5:$F$62,MATCH(G$3-$B159,'D Fleet'!$B$5:$B$62,0)),0)*IFERROR(INDEX('D Fleet'!$K$5:$K$36,INT(($B159/G$5))+1)+(($B159/G$5)-INT(($B159/G$5)))*(INDEX('D Fleet'!$K$5:$K$36,INT(($B159/G$5))+2)-INDEX('D Fleet'!$K$5:$K$36,INT(($B159/G$5))+1)),0)</f>
        <v/>
      </c>
      <c r="H159" s="276">
        <f>IFERROR(INDEX('D Fleet'!$F$5:$F$62,MATCH(H$3-$B159,'D Fleet'!$B$5:$B$62,0)),0)*IFERROR(INDEX('D Fleet'!$K$5:$K$36,INT(($B159/H$5))+1)+(($B159/H$5)-INT(($B159/H$5)))*(INDEX('D Fleet'!$K$5:$K$36,INT(($B159/H$5))+2)-INDEX('D Fleet'!$K$5:$K$36,INT(($B159/H$5))+1)),0)</f>
        <v/>
      </c>
      <c r="I159" s="276">
        <f>IFERROR(INDEX('D Fleet'!$F$5:$F$62,MATCH(I$3-$B159,'D Fleet'!$B$5:$B$62,0)),0)*IFERROR(INDEX('D Fleet'!$K$5:$K$36,INT(($B159/I$5))+1)+(($B159/I$5)-INT(($B159/I$5)))*(INDEX('D Fleet'!$K$5:$K$36,INT(($B159/I$5))+2)-INDEX('D Fleet'!$K$5:$K$36,INT(($B159/I$5))+1)),0)</f>
        <v/>
      </c>
      <c r="J159" s="276">
        <f>IFERROR(INDEX('D Fleet'!$F$5:$F$62,MATCH(J$3-$B159,'D Fleet'!$B$5:$B$62,0)),0)*IFERROR(INDEX('D Fleet'!$K$5:$K$36,INT(($B159/J$5))+1)+(($B159/J$5)-INT(($B159/J$5)))*(INDEX('D Fleet'!$K$5:$K$36,INT(($B159/J$5))+2)-INDEX('D Fleet'!$K$5:$K$36,INT(($B159/J$5))+1)),0)</f>
        <v/>
      </c>
      <c r="K159" s="276">
        <f>IFERROR(INDEX('D Fleet'!$F$5:$F$62,MATCH(K$3-$B159,'D Fleet'!$B$5:$B$62,0)),0)*IFERROR(INDEX('D Fleet'!$K$5:$K$36,INT(($B159/K$5))+1)+(($B159/K$5)-INT(($B159/K$5)))*(INDEX('D Fleet'!$K$5:$K$36,INT(($B159/K$5))+2)-INDEX('D Fleet'!$K$5:$K$36,INT(($B159/K$5))+1)),0)</f>
        <v/>
      </c>
      <c r="L159" s="276">
        <f>IFERROR(INDEX('D Fleet'!$F$5:$F$62,MATCH(L$3-$B159,'D Fleet'!$B$5:$B$62,0)),0)*IFERROR(INDEX('D Fleet'!$K$5:$K$36,INT(($B159/L$5))+1)+(($B159/L$5)-INT(($B159/L$5)))*(INDEX('D Fleet'!$K$5:$K$36,INT(($B159/L$5))+2)-INDEX('D Fleet'!$K$5:$K$36,INT(($B159/L$5))+1)),0)</f>
        <v/>
      </c>
      <c r="M159" s="276">
        <f>IFERROR(INDEX('D Fleet'!$F$5:$F$62,MATCH(M$3-$B159,'D Fleet'!$B$5:$B$62,0)),0)*IFERROR(INDEX('D Fleet'!$K$5:$K$36,INT(($B159/M$5))+1)+(($B159/M$5)-INT(($B159/M$5)))*(INDEX('D Fleet'!$K$5:$K$36,INT(($B159/M$5))+2)-INDEX('D Fleet'!$K$5:$K$36,INT(($B159/M$5))+1)),0)</f>
        <v/>
      </c>
      <c r="N159" s="276">
        <f>IFERROR(INDEX('D Fleet'!$F$5:$F$62,MATCH(N$3-$B159,'D Fleet'!$B$5:$B$62,0)),0)*IFERROR(INDEX('D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Fleet'!$F$5:$F$62,MATCH(E$3-$B160,'D Fleet'!$B$5:$B$62,0)),0)*IFERROR(INDEX('D Fleet'!$K$5:$K$36,INT(($B160/E$5))+1)+(($B160/E$5)-INT(($B160/E$5)))*(INDEX('D Fleet'!$K$5:$K$36,INT(($B160/E$5))+2)-INDEX('D Fleet'!$K$5:$K$36,INT(($B160/E$5))+1)),0)</f>
        <v/>
      </c>
      <c r="F160" s="276">
        <f>IFERROR(INDEX('D Fleet'!$F$5:$F$62,MATCH(F$3-$B160,'D Fleet'!$B$5:$B$62,0)),0)*IFERROR(INDEX('D Fleet'!$K$5:$K$36,INT(($B160/F$5))+1)+(($B160/F$5)-INT(($B160/F$5)))*(INDEX('D Fleet'!$K$5:$K$36,INT(($B160/F$5))+2)-INDEX('D Fleet'!$K$5:$K$36,INT(($B160/F$5))+1)),0)</f>
        <v/>
      </c>
      <c r="G160" s="276">
        <f>IFERROR(INDEX('D Fleet'!$F$5:$F$62,MATCH(G$3-$B160,'D Fleet'!$B$5:$B$62,0)),0)*IFERROR(INDEX('D Fleet'!$K$5:$K$36,INT(($B160/G$5))+1)+(($B160/G$5)-INT(($B160/G$5)))*(INDEX('D Fleet'!$K$5:$K$36,INT(($B160/G$5))+2)-INDEX('D Fleet'!$K$5:$K$36,INT(($B160/G$5))+1)),0)</f>
        <v/>
      </c>
      <c r="H160" s="276">
        <f>IFERROR(INDEX('D Fleet'!$F$5:$F$62,MATCH(H$3-$B160,'D Fleet'!$B$5:$B$62,0)),0)*IFERROR(INDEX('D Fleet'!$K$5:$K$36,INT(($B160/H$5))+1)+(($B160/H$5)-INT(($B160/H$5)))*(INDEX('D Fleet'!$K$5:$K$36,INT(($B160/H$5))+2)-INDEX('D Fleet'!$K$5:$K$36,INT(($B160/H$5))+1)),0)</f>
        <v/>
      </c>
      <c r="I160" s="276">
        <f>IFERROR(INDEX('D Fleet'!$F$5:$F$62,MATCH(I$3-$B160,'D Fleet'!$B$5:$B$62,0)),0)*IFERROR(INDEX('D Fleet'!$K$5:$K$36,INT(($B160/I$5))+1)+(($B160/I$5)-INT(($B160/I$5)))*(INDEX('D Fleet'!$K$5:$K$36,INT(($B160/I$5))+2)-INDEX('D Fleet'!$K$5:$K$36,INT(($B160/I$5))+1)),0)</f>
        <v/>
      </c>
      <c r="J160" s="276">
        <f>IFERROR(INDEX('D Fleet'!$F$5:$F$62,MATCH(J$3-$B160,'D Fleet'!$B$5:$B$62,0)),0)*IFERROR(INDEX('D Fleet'!$K$5:$K$36,INT(($B160/J$5))+1)+(($B160/J$5)-INT(($B160/J$5)))*(INDEX('D Fleet'!$K$5:$K$36,INT(($B160/J$5))+2)-INDEX('D Fleet'!$K$5:$K$36,INT(($B160/J$5))+1)),0)</f>
        <v/>
      </c>
      <c r="K160" s="276">
        <f>IFERROR(INDEX('D Fleet'!$F$5:$F$62,MATCH(K$3-$B160,'D Fleet'!$B$5:$B$62,0)),0)*IFERROR(INDEX('D Fleet'!$K$5:$K$36,INT(($B160/K$5))+1)+(($B160/K$5)-INT(($B160/K$5)))*(INDEX('D Fleet'!$K$5:$K$36,INT(($B160/K$5))+2)-INDEX('D Fleet'!$K$5:$K$36,INT(($B160/K$5))+1)),0)</f>
        <v/>
      </c>
      <c r="L160" s="276">
        <f>IFERROR(INDEX('D Fleet'!$F$5:$F$62,MATCH(L$3-$B160,'D Fleet'!$B$5:$B$62,0)),0)*IFERROR(INDEX('D Fleet'!$K$5:$K$36,INT(($B160/L$5))+1)+(($B160/L$5)-INT(($B160/L$5)))*(INDEX('D Fleet'!$K$5:$K$36,INT(($B160/L$5))+2)-INDEX('D Fleet'!$K$5:$K$36,INT(($B160/L$5))+1)),0)</f>
        <v/>
      </c>
      <c r="M160" s="276">
        <f>IFERROR(INDEX('D Fleet'!$F$5:$F$62,MATCH(M$3-$B160,'D Fleet'!$B$5:$B$62,0)),0)*IFERROR(INDEX('D Fleet'!$K$5:$K$36,INT(($B160/M$5))+1)+(($B160/M$5)-INT(($B160/M$5)))*(INDEX('D Fleet'!$K$5:$K$36,INT(($B160/M$5))+2)-INDEX('D Fleet'!$K$5:$K$36,INT(($B160/M$5))+1)),0)</f>
        <v/>
      </c>
      <c r="N160" s="276">
        <f>IFERROR(INDEX('D Fleet'!$F$5:$F$62,MATCH(N$3-$B160,'D Fleet'!$B$5:$B$62,0)),0)*IFERROR(INDEX('D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Fleet'!$F$5:$F$62,MATCH(E$3-$B161,'D Fleet'!$B$5:$B$62,0)),0)*IFERROR(INDEX('D Fleet'!$K$5:$K$36,INT(($B161/E$5))+1)+(($B161/E$5)-INT(($B161/E$5)))*(INDEX('D Fleet'!$K$5:$K$36,INT(($B161/E$5))+2)-INDEX('D Fleet'!$K$5:$K$36,INT(($B161/E$5))+1)),0)</f>
        <v/>
      </c>
      <c r="F161" s="276">
        <f>IFERROR(INDEX('D Fleet'!$F$5:$F$62,MATCH(F$3-$B161,'D Fleet'!$B$5:$B$62,0)),0)*IFERROR(INDEX('D Fleet'!$K$5:$K$36,INT(($B161/F$5))+1)+(($B161/F$5)-INT(($B161/F$5)))*(INDEX('D Fleet'!$K$5:$K$36,INT(($B161/F$5))+2)-INDEX('D Fleet'!$K$5:$K$36,INT(($B161/F$5))+1)),0)</f>
        <v/>
      </c>
      <c r="G161" s="276">
        <f>IFERROR(INDEX('D Fleet'!$F$5:$F$62,MATCH(G$3-$B161,'D Fleet'!$B$5:$B$62,0)),0)*IFERROR(INDEX('D Fleet'!$K$5:$K$36,INT(($B161/G$5))+1)+(($B161/G$5)-INT(($B161/G$5)))*(INDEX('D Fleet'!$K$5:$K$36,INT(($B161/G$5))+2)-INDEX('D Fleet'!$K$5:$K$36,INT(($B161/G$5))+1)),0)</f>
        <v/>
      </c>
      <c r="H161" s="276">
        <f>IFERROR(INDEX('D Fleet'!$F$5:$F$62,MATCH(H$3-$B161,'D Fleet'!$B$5:$B$62,0)),0)*IFERROR(INDEX('D Fleet'!$K$5:$K$36,INT(($B161/H$5))+1)+(($B161/H$5)-INT(($B161/H$5)))*(INDEX('D Fleet'!$K$5:$K$36,INT(($B161/H$5))+2)-INDEX('D Fleet'!$K$5:$K$36,INT(($B161/H$5))+1)),0)</f>
        <v/>
      </c>
      <c r="I161" s="276">
        <f>IFERROR(INDEX('D Fleet'!$F$5:$F$62,MATCH(I$3-$B161,'D Fleet'!$B$5:$B$62,0)),0)*IFERROR(INDEX('D Fleet'!$K$5:$K$36,INT(($B161/I$5))+1)+(($B161/I$5)-INT(($B161/I$5)))*(INDEX('D Fleet'!$K$5:$K$36,INT(($B161/I$5))+2)-INDEX('D Fleet'!$K$5:$K$36,INT(($B161/I$5))+1)),0)</f>
        <v/>
      </c>
      <c r="J161" s="276">
        <f>IFERROR(INDEX('D Fleet'!$F$5:$F$62,MATCH(J$3-$B161,'D Fleet'!$B$5:$B$62,0)),0)*IFERROR(INDEX('D Fleet'!$K$5:$K$36,INT(($B161/J$5))+1)+(($B161/J$5)-INT(($B161/J$5)))*(INDEX('D Fleet'!$K$5:$K$36,INT(($B161/J$5))+2)-INDEX('D Fleet'!$K$5:$K$36,INT(($B161/J$5))+1)),0)</f>
        <v/>
      </c>
      <c r="K161" s="276">
        <f>IFERROR(INDEX('D Fleet'!$F$5:$F$62,MATCH(K$3-$B161,'D Fleet'!$B$5:$B$62,0)),0)*IFERROR(INDEX('D Fleet'!$K$5:$K$36,INT(($B161/K$5))+1)+(($B161/K$5)-INT(($B161/K$5)))*(INDEX('D Fleet'!$K$5:$K$36,INT(($B161/K$5))+2)-INDEX('D Fleet'!$K$5:$K$36,INT(($B161/K$5))+1)),0)</f>
        <v/>
      </c>
      <c r="L161" s="276">
        <f>IFERROR(INDEX('D Fleet'!$F$5:$F$62,MATCH(L$3-$B161,'D Fleet'!$B$5:$B$62,0)),0)*IFERROR(INDEX('D Fleet'!$K$5:$K$36,INT(($B161/L$5))+1)+(($B161/L$5)-INT(($B161/L$5)))*(INDEX('D Fleet'!$K$5:$K$36,INT(($B161/L$5))+2)-INDEX('D Fleet'!$K$5:$K$36,INT(($B161/L$5))+1)),0)</f>
        <v/>
      </c>
      <c r="M161" s="276">
        <f>IFERROR(INDEX('D Fleet'!$F$5:$F$62,MATCH(M$3-$B161,'D Fleet'!$B$5:$B$62,0)),0)*IFERROR(INDEX('D Fleet'!$K$5:$K$36,INT(($B161/M$5))+1)+(($B161/M$5)-INT(($B161/M$5)))*(INDEX('D Fleet'!$K$5:$K$36,INT(($B161/M$5))+2)-INDEX('D Fleet'!$K$5:$K$36,INT(($B161/M$5))+1)),0)</f>
        <v/>
      </c>
      <c r="N161" s="276">
        <f>IFERROR(INDEX('D Fleet'!$F$5:$F$62,MATCH(N$3-$B161,'D Fleet'!$B$5:$B$62,0)),0)*IFERROR(INDEX('D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Fleet'!$F$5:$F$62,MATCH(E$3-$B162,'D Fleet'!$B$5:$B$62,0)),0)*IFERROR(INDEX('D Fleet'!$K$5:$K$36,INT(($B162/E$5))+1)+(($B162/E$5)-INT(($B162/E$5)))*(INDEX('D Fleet'!$K$5:$K$36,INT(($B162/E$5))+2)-INDEX('D Fleet'!$K$5:$K$36,INT(($B162/E$5))+1)),0)</f>
        <v/>
      </c>
      <c r="F162" s="276">
        <f>IFERROR(INDEX('D Fleet'!$F$5:$F$62,MATCH(F$3-$B162,'D Fleet'!$B$5:$B$62,0)),0)*IFERROR(INDEX('D Fleet'!$K$5:$K$36,INT(($B162/F$5))+1)+(($B162/F$5)-INT(($B162/F$5)))*(INDEX('D Fleet'!$K$5:$K$36,INT(($B162/F$5))+2)-INDEX('D Fleet'!$K$5:$K$36,INT(($B162/F$5))+1)),0)</f>
        <v/>
      </c>
      <c r="G162" s="276">
        <f>IFERROR(INDEX('D Fleet'!$F$5:$F$62,MATCH(G$3-$B162,'D Fleet'!$B$5:$B$62,0)),0)*IFERROR(INDEX('D Fleet'!$K$5:$K$36,INT(($B162/G$5))+1)+(($B162/G$5)-INT(($B162/G$5)))*(INDEX('D Fleet'!$K$5:$K$36,INT(($B162/G$5))+2)-INDEX('D Fleet'!$K$5:$K$36,INT(($B162/G$5))+1)),0)</f>
        <v/>
      </c>
      <c r="H162" s="276">
        <f>IFERROR(INDEX('D Fleet'!$F$5:$F$62,MATCH(H$3-$B162,'D Fleet'!$B$5:$B$62,0)),0)*IFERROR(INDEX('D Fleet'!$K$5:$K$36,INT(($B162/H$5))+1)+(($B162/H$5)-INT(($B162/H$5)))*(INDEX('D Fleet'!$K$5:$K$36,INT(($B162/H$5))+2)-INDEX('D Fleet'!$K$5:$K$36,INT(($B162/H$5))+1)),0)</f>
        <v/>
      </c>
      <c r="I162" s="276">
        <f>IFERROR(INDEX('D Fleet'!$F$5:$F$62,MATCH(I$3-$B162,'D Fleet'!$B$5:$B$62,0)),0)*IFERROR(INDEX('D Fleet'!$K$5:$K$36,INT(($B162/I$5))+1)+(($B162/I$5)-INT(($B162/I$5)))*(INDEX('D Fleet'!$K$5:$K$36,INT(($B162/I$5))+2)-INDEX('D Fleet'!$K$5:$K$36,INT(($B162/I$5))+1)),0)</f>
        <v/>
      </c>
      <c r="J162" s="276">
        <f>IFERROR(INDEX('D Fleet'!$F$5:$F$62,MATCH(J$3-$B162,'D Fleet'!$B$5:$B$62,0)),0)*IFERROR(INDEX('D Fleet'!$K$5:$K$36,INT(($B162/J$5))+1)+(($B162/J$5)-INT(($B162/J$5)))*(INDEX('D Fleet'!$K$5:$K$36,INT(($B162/J$5))+2)-INDEX('D Fleet'!$K$5:$K$36,INT(($B162/J$5))+1)),0)</f>
        <v/>
      </c>
      <c r="K162" s="276">
        <f>IFERROR(INDEX('D Fleet'!$F$5:$F$62,MATCH(K$3-$B162,'D Fleet'!$B$5:$B$62,0)),0)*IFERROR(INDEX('D Fleet'!$K$5:$K$36,INT(($B162/K$5))+1)+(($B162/K$5)-INT(($B162/K$5)))*(INDEX('D Fleet'!$K$5:$K$36,INT(($B162/K$5))+2)-INDEX('D Fleet'!$K$5:$K$36,INT(($B162/K$5))+1)),0)</f>
        <v/>
      </c>
      <c r="L162" s="276">
        <f>IFERROR(INDEX('D Fleet'!$F$5:$F$62,MATCH(L$3-$B162,'D Fleet'!$B$5:$B$62,0)),0)*IFERROR(INDEX('D Fleet'!$K$5:$K$36,INT(($B162/L$5))+1)+(($B162/L$5)-INT(($B162/L$5)))*(INDEX('D Fleet'!$K$5:$K$36,INT(($B162/L$5))+2)-INDEX('D Fleet'!$K$5:$K$36,INT(($B162/L$5))+1)),0)</f>
        <v/>
      </c>
      <c r="M162" s="276">
        <f>IFERROR(INDEX('D Fleet'!$F$5:$F$62,MATCH(M$3-$B162,'D Fleet'!$B$5:$B$62,0)),0)*IFERROR(INDEX('D Fleet'!$K$5:$K$36,INT(($B162/M$5))+1)+(($B162/M$5)-INT(($B162/M$5)))*(INDEX('D Fleet'!$K$5:$K$36,INT(($B162/M$5))+2)-INDEX('D Fleet'!$K$5:$K$36,INT(($B162/M$5))+1)),0)</f>
        <v/>
      </c>
      <c r="N162" s="276">
        <f>IFERROR(INDEX('D Fleet'!$F$5:$F$62,MATCH(N$3-$B162,'D Fleet'!$B$5:$B$62,0)),0)*IFERROR(INDEX('D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Fleet'!$F$5:$F$62,MATCH(E$3-$B163,'D Fleet'!$B$5:$B$62,0)),0)*IFERROR(INDEX('D Fleet'!$K$5:$K$36,INT(($B163/E$5))+1)+(($B163/E$5)-INT(($B163/E$5)))*(INDEX('D Fleet'!$K$5:$K$36,INT(($B163/E$5))+2)-INDEX('D Fleet'!$K$5:$K$36,INT(($B163/E$5))+1)),0)</f>
        <v/>
      </c>
      <c r="F163" s="276">
        <f>IFERROR(INDEX('D Fleet'!$F$5:$F$62,MATCH(F$3-$B163,'D Fleet'!$B$5:$B$62,0)),0)*IFERROR(INDEX('D Fleet'!$K$5:$K$36,INT(($B163/F$5))+1)+(($B163/F$5)-INT(($B163/F$5)))*(INDEX('D Fleet'!$K$5:$K$36,INT(($B163/F$5))+2)-INDEX('D Fleet'!$K$5:$K$36,INT(($B163/F$5))+1)),0)</f>
        <v/>
      </c>
      <c r="G163" s="276">
        <f>IFERROR(INDEX('D Fleet'!$F$5:$F$62,MATCH(G$3-$B163,'D Fleet'!$B$5:$B$62,0)),0)*IFERROR(INDEX('D Fleet'!$K$5:$K$36,INT(($B163/G$5))+1)+(($B163/G$5)-INT(($B163/G$5)))*(INDEX('D Fleet'!$K$5:$K$36,INT(($B163/G$5))+2)-INDEX('D Fleet'!$K$5:$K$36,INT(($B163/G$5))+1)),0)</f>
        <v/>
      </c>
      <c r="H163" s="276">
        <f>IFERROR(INDEX('D Fleet'!$F$5:$F$62,MATCH(H$3-$B163,'D Fleet'!$B$5:$B$62,0)),0)*IFERROR(INDEX('D Fleet'!$K$5:$K$36,INT(($B163/H$5))+1)+(($B163/H$5)-INT(($B163/H$5)))*(INDEX('D Fleet'!$K$5:$K$36,INT(($B163/H$5))+2)-INDEX('D Fleet'!$K$5:$K$36,INT(($B163/H$5))+1)),0)</f>
        <v/>
      </c>
      <c r="I163" s="276">
        <f>IFERROR(INDEX('D Fleet'!$F$5:$F$62,MATCH(I$3-$B163,'D Fleet'!$B$5:$B$62,0)),0)*IFERROR(INDEX('D Fleet'!$K$5:$K$36,INT(($B163/I$5))+1)+(($B163/I$5)-INT(($B163/I$5)))*(INDEX('D Fleet'!$K$5:$K$36,INT(($B163/I$5))+2)-INDEX('D Fleet'!$K$5:$K$36,INT(($B163/I$5))+1)),0)</f>
        <v/>
      </c>
      <c r="J163" s="276">
        <f>IFERROR(INDEX('D Fleet'!$F$5:$F$62,MATCH(J$3-$B163,'D Fleet'!$B$5:$B$62,0)),0)*IFERROR(INDEX('D Fleet'!$K$5:$K$36,INT(($B163/J$5))+1)+(($B163/J$5)-INT(($B163/J$5)))*(INDEX('D Fleet'!$K$5:$K$36,INT(($B163/J$5))+2)-INDEX('D Fleet'!$K$5:$K$36,INT(($B163/J$5))+1)),0)</f>
        <v/>
      </c>
      <c r="K163" s="276">
        <f>IFERROR(INDEX('D Fleet'!$F$5:$F$62,MATCH(K$3-$B163,'D Fleet'!$B$5:$B$62,0)),0)*IFERROR(INDEX('D Fleet'!$K$5:$K$36,INT(($B163/K$5))+1)+(($B163/K$5)-INT(($B163/K$5)))*(INDEX('D Fleet'!$K$5:$K$36,INT(($B163/K$5))+2)-INDEX('D Fleet'!$K$5:$K$36,INT(($B163/K$5))+1)),0)</f>
        <v/>
      </c>
      <c r="L163" s="276">
        <f>IFERROR(INDEX('D Fleet'!$F$5:$F$62,MATCH(L$3-$B163,'D Fleet'!$B$5:$B$62,0)),0)*IFERROR(INDEX('D Fleet'!$K$5:$K$36,INT(($B163/L$5))+1)+(($B163/L$5)-INT(($B163/L$5)))*(INDEX('D Fleet'!$K$5:$K$36,INT(($B163/L$5))+2)-INDEX('D Fleet'!$K$5:$K$36,INT(($B163/L$5))+1)),0)</f>
        <v/>
      </c>
      <c r="M163" s="276">
        <f>IFERROR(INDEX('D Fleet'!$F$5:$F$62,MATCH(M$3-$B163,'D Fleet'!$B$5:$B$62,0)),0)*IFERROR(INDEX('D Fleet'!$K$5:$K$36,INT(($B163/M$5))+1)+(($B163/M$5)-INT(($B163/M$5)))*(INDEX('D Fleet'!$K$5:$K$36,INT(($B163/M$5))+2)-INDEX('D Fleet'!$K$5:$K$36,INT(($B163/M$5))+1)),0)</f>
        <v/>
      </c>
      <c r="N163" s="276">
        <f>IFERROR(INDEX('D Fleet'!$F$5:$F$62,MATCH(N$3-$B163,'D Fleet'!$B$5:$B$62,0)),0)*IFERROR(INDEX('D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Fleet'!$F$5:$F$62,MATCH(E$3-$B164,'D Fleet'!$B$5:$B$62,0)),0)*IFERROR(INDEX('D Fleet'!$K$5:$K$36,INT(($B164/E$5))+1)+(($B164/E$5)-INT(($B164/E$5)))*(INDEX('D Fleet'!$K$5:$K$36,INT(($B164/E$5))+2)-INDEX('D Fleet'!$K$5:$K$36,INT(($B164/E$5))+1)),0)</f>
        <v/>
      </c>
      <c r="F164" s="276">
        <f>IFERROR(INDEX('D Fleet'!$F$5:$F$62,MATCH(F$3-$B164,'D Fleet'!$B$5:$B$62,0)),0)*IFERROR(INDEX('D Fleet'!$K$5:$K$36,INT(($B164/F$5))+1)+(($B164/F$5)-INT(($B164/F$5)))*(INDEX('D Fleet'!$K$5:$K$36,INT(($B164/F$5))+2)-INDEX('D Fleet'!$K$5:$K$36,INT(($B164/F$5))+1)),0)</f>
        <v/>
      </c>
      <c r="G164" s="276">
        <f>IFERROR(INDEX('D Fleet'!$F$5:$F$62,MATCH(G$3-$B164,'D Fleet'!$B$5:$B$62,0)),0)*IFERROR(INDEX('D Fleet'!$K$5:$K$36,INT(($B164/G$5))+1)+(($B164/G$5)-INT(($B164/G$5)))*(INDEX('D Fleet'!$K$5:$K$36,INT(($B164/G$5))+2)-INDEX('D Fleet'!$K$5:$K$36,INT(($B164/G$5))+1)),0)</f>
        <v/>
      </c>
      <c r="H164" s="276">
        <f>IFERROR(INDEX('D Fleet'!$F$5:$F$62,MATCH(H$3-$B164,'D Fleet'!$B$5:$B$62,0)),0)*IFERROR(INDEX('D Fleet'!$K$5:$K$36,INT(($B164/H$5))+1)+(($B164/H$5)-INT(($B164/H$5)))*(INDEX('D Fleet'!$K$5:$K$36,INT(($B164/H$5))+2)-INDEX('D Fleet'!$K$5:$K$36,INT(($B164/H$5))+1)),0)</f>
        <v/>
      </c>
      <c r="I164" s="276">
        <f>IFERROR(INDEX('D Fleet'!$F$5:$F$62,MATCH(I$3-$B164,'D Fleet'!$B$5:$B$62,0)),0)*IFERROR(INDEX('D Fleet'!$K$5:$K$36,INT(($B164/I$5))+1)+(($B164/I$5)-INT(($B164/I$5)))*(INDEX('D Fleet'!$K$5:$K$36,INT(($B164/I$5))+2)-INDEX('D Fleet'!$K$5:$K$36,INT(($B164/I$5))+1)),0)</f>
        <v/>
      </c>
      <c r="J164" s="276">
        <f>IFERROR(INDEX('D Fleet'!$F$5:$F$62,MATCH(J$3-$B164,'D Fleet'!$B$5:$B$62,0)),0)*IFERROR(INDEX('D Fleet'!$K$5:$K$36,INT(($B164/J$5))+1)+(($B164/J$5)-INT(($B164/J$5)))*(INDEX('D Fleet'!$K$5:$K$36,INT(($B164/J$5))+2)-INDEX('D Fleet'!$K$5:$K$36,INT(($B164/J$5))+1)),0)</f>
        <v/>
      </c>
      <c r="K164" s="276">
        <f>IFERROR(INDEX('D Fleet'!$F$5:$F$62,MATCH(K$3-$B164,'D Fleet'!$B$5:$B$62,0)),0)*IFERROR(INDEX('D Fleet'!$K$5:$K$36,INT(($B164/K$5))+1)+(($B164/K$5)-INT(($B164/K$5)))*(INDEX('D Fleet'!$K$5:$K$36,INT(($B164/K$5))+2)-INDEX('D Fleet'!$K$5:$K$36,INT(($B164/K$5))+1)),0)</f>
        <v/>
      </c>
      <c r="L164" s="276">
        <f>IFERROR(INDEX('D Fleet'!$F$5:$F$62,MATCH(L$3-$B164,'D Fleet'!$B$5:$B$62,0)),0)*IFERROR(INDEX('D Fleet'!$K$5:$K$36,INT(($B164/L$5))+1)+(($B164/L$5)-INT(($B164/L$5)))*(INDEX('D Fleet'!$K$5:$K$36,INT(($B164/L$5))+2)-INDEX('D Fleet'!$K$5:$K$36,INT(($B164/L$5))+1)),0)</f>
        <v/>
      </c>
      <c r="M164" s="276">
        <f>IFERROR(INDEX('D Fleet'!$F$5:$F$62,MATCH(M$3-$B164,'D Fleet'!$B$5:$B$62,0)),0)*IFERROR(INDEX('D Fleet'!$K$5:$K$36,INT(($B164/M$5))+1)+(($B164/M$5)-INT(($B164/M$5)))*(INDEX('D Fleet'!$K$5:$K$36,INT(($B164/M$5))+2)-INDEX('D Fleet'!$K$5:$K$36,INT(($B164/M$5))+1)),0)</f>
        <v/>
      </c>
      <c r="N164" s="276">
        <f>IFERROR(INDEX('D Fleet'!$F$5:$F$62,MATCH(N$3-$B164,'D Fleet'!$B$5:$B$62,0)),0)*IFERROR(INDEX('D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Fleet'!$F$5:$F$62,MATCH(E$3-$B165,'D Fleet'!$B$5:$B$62,0)),0)*IFERROR(INDEX('D Fleet'!$K$5:$K$36,INT(($B165/E$5))+1)+(($B165/E$5)-INT(($B165/E$5)))*(INDEX('D Fleet'!$K$5:$K$36,INT(($B165/E$5))+2)-INDEX('D Fleet'!$K$5:$K$36,INT(($B165/E$5))+1)),0)</f>
        <v/>
      </c>
      <c r="F165" s="276">
        <f>IFERROR(INDEX('D Fleet'!$F$5:$F$62,MATCH(F$3-$B165,'D Fleet'!$B$5:$B$62,0)),0)*IFERROR(INDEX('D Fleet'!$K$5:$K$36,INT(($B165/F$5))+1)+(($B165/F$5)-INT(($B165/F$5)))*(INDEX('D Fleet'!$K$5:$K$36,INT(($B165/F$5))+2)-INDEX('D Fleet'!$K$5:$K$36,INT(($B165/F$5))+1)),0)</f>
        <v/>
      </c>
      <c r="G165" s="276">
        <f>IFERROR(INDEX('D Fleet'!$F$5:$F$62,MATCH(G$3-$B165,'D Fleet'!$B$5:$B$62,0)),0)*IFERROR(INDEX('D Fleet'!$K$5:$K$36,INT(($B165/G$5))+1)+(($B165/G$5)-INT(($B165/G$5)))*(INDEX('D Fleet'!$K$5:$K$36,INT(($B165/G$5))+2)-INDEX('D Fleet'!$K$5:$K$36,INT(($B165/G$5))+1)),0)</f>
        <v/>
      </c>
      <c r="H165" s="276">
        <f>IFERROR(INDEX('D Fleet'!$F$5:$F$62,MATCH(H$3-$B165,'D Fleet'!$B$5:$B$62,0)),0)*IFERROR(INDEX('D Fleet'!$K$5:$K$36,INT(($B165/H$5))+1)+(($B165/H$5)-INT(($B165/H$5)))*(INDEX('D Fleet'!$K$5:$K$36,INT(($B165/H$5))+2)-INDEX('D Fleet'!$K$5:$K$36,INT(($B165/H$5))+1)),0)</f>
        <v/>
      </c>
      <c r="I165" s="276">
        <f>IFERROR(INDEX('D Fleet'!$F$5:$F$62,MATCH(I$3-$B165,'D Fleet'!$B$5:$B$62,0)),0)*IFERROR(INDEX('D Fleet'!$K$5:$K$36,INT(($B165/I$5))+1)+(($B165/I$5)-INT(($B165/I$5)))*(INDEX('D Fleet'!$K$5:$K$36,INT(($B165/I$5))+2)-INDEX('D Fleet'!$K$5:$K$36,INT(($B165/I$5))+1)),0)</f>
        <v/>
      </c>
      <c r="J165" s="276">
        <f>IFERROR(INDEX('D Fleet'!$F$5:$F$62,MATCH(J$3-$B165,'D Fleet'!$B$5:$B$62,0)),0)*IFERROR(INDEX('D Fleet'!$K$5:$K$36,INT(($B165/J$5))+1)+(($B165/J$5)-INT(($B165/J$5)))*(INDEX('D Fleet'!$K$5:$K$36,INT(($B165/J$5))+2)-INDEX('D Fleet'!$K$5:$K$36,INT(($B165/J$5))+1)),0)</f>
        <v/>
      </c>
      <c r="K165" s="276">
        <f>IFERROR(INDEX('D Fleet'!$F$5:$F$62,MATCH(K$3-$B165,'D Fleet'!$B$5:$B$62,0)),0)*IFERROR(INDEX('D Fleet'!$K$5:$K$36,INT(($B165/K$5))+1)+(($B165/K$5)-INT(($B165/K$5)))*(INDEX('D Fleet'!$K$5:$K$36,INT(($B165/K$5))+2)-INDEX('D Fleet'!$K$5:$K$36,INT(($B165/K$5))+1)),0)</f>
        <v/>
      </c>
      <c r="L165" s="276">
        <f>IFERROR(INDEX('D Fleet'!$F$5:$F$62,MATCH(L$3-$B165,'D Fleet'!$B$5:$B$62,0)),0)*IFERROR(INDEX('D Fleet'!$K$5:$K$36,INT(($B165/L$5))+1)+(($B165/L$5)-INT(($B165/L$5)))*(INDEX('D Fleet'!$K$5:$K$36,INT(($B165/L$5))+2)-INDEX('D Fleet'!$K$5:$K$36,INT(($B165/L$5))+1)),0)</f>
        <v/>
      </c>
      <c r="M165" s="276">
        <f>IFERROR(INDEX('D Fleet'!$F$5:$F$62,MATCH(M$3-$B165,'D Fleet'!$B$5:$B$62,0)),0)*IFERROR(INDEX('D Fleet'!$K$5:$K$36,INT(($B165/M$5))+1)+(($B165/M$5)-INT(($B165/M$5)))*(INDEX('D Fleet'!$K$5:$K$36,INT(($B165/M$5))+2)-INDEX('D Fleet'!$K$5:$K$36,INT(($B165/M$5))+1)),0)</f>
        <v/>
      </c>
      <c r="N165" s="276">
        <f>IFERROR(INDEX('D Fleet'!$F$5:$F$62,MATCH(N$3-$B165,'D Fleet'!$B$5:$B$62,0)),0)*IFERROR(INDEX('D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Fleet'!$F$5:$F$62,MATCH(E$3-$B166,'D Fleet'!$B$5:$B$62,0)),0)*IFERROR(INDEX('D Fleet'!$K$5:$K$36,INT(($B166/E$5))+1)+(($B166/E$5)-INT(($B166/E$5)))*(INDEX('D Fleet'!$K$5:$K$36,INT(($B166/E$5))+2)-INDEX('D Fleet'!$K$5:$K$36,INT(($B166/E$5))+1)),0)</f>
        <v/>
      </c>
      <c r="F166" s="276">
        <f>IFERROR(INDEX('D Fleet'!$F$5:$F$62,MATCH(F$3-$B166,'D Fleet'!$B$5:$B$62,0)),0)*IFERROR(INDEX('D Fleet'!$K$5:$K$36,INT(($B166/F$5))+1)+(($B166/F$5)-INT(($B166/F$5)))*(INDEX('D Fleet'!$K$5:$K$36,INT(($B166/F$5))+2)-INDEX('D Fleet'!$K$5:$K$36,INT(($B166/F$5))+1)),0)</f>
        <v/>
      </c>
      <c r="G166" s="276">
        <f>IFERROR(INDEX('D Fleet'!$F$5:$F$62,MATCH(G$3-$B166,'D Fleet'!$B$5:$B$62,0)),0)*IFERROR(INDEX('D Fleet'!$K$5:$K$36,INT(($B166/G$5))+1)+(($B166/G$5)-INT(($B166/G$5)))*(INDEX('D Fleet'!$K$5:$K$36,INT(($B166/G$5))+2)-INDEX('D Fleet'!$K$5:$K$36,INT(($B166/G$5))+1)),0)</f>
        <v/>
      </c>
      <c r="H166" s="276">
        <f>IFERROR(INDEX('D Fleet'!$F$5:$F$62,MATCH(H$3-$B166,'D Fleet'!$B$5:$B$62,0)),0)*IFERROR(INDEX('D Fleet'!$K$5:$K$36,INT(($B166/H$5))+1)+(($B166/H$5)-INT(($B166/H$5)))*(INDEX('D Fleet'!$K$5:$K$36,INT(($B166/H$5))+2)-INDEX('D Fleet'!$K$5:$K$36,INT(($B166/H$5))+1)),0)</f>
        <v/>
      </c>
      <c r="I166" s="276">
        <f>IFERROR(INDEX('D Fleet'!$F$5:$F$62,MATCH(I$3-$B166,'D Fleet'!$B$5:$B$62,0)),0)*IFERROR(INDEX('D Fleet'!$K$5:$K$36,INT(($B166/I$5))+1)+(($B166/I$5)-INT(($B166/I$5)))*(INDEX('D Fleet'!$K$5:$K$36,INT(($B166/I$5))+2)-INDEX('D Fleet'!$K$5:$K$36,INT(($B166/I$5))+1)),0)</f>
        <v/>
      </c>
      <c r="J166" s="276">
        <f>IFERROR(INDEX('D Fleet'!$F$5:$F$62,MATCH(J$3-$B166,'D Fleet'!$B$5:$B$62,0)),0)*IFERROR(INDEX('D Fleet'!$K$5:$K$36,INT(($B166/J$5))+1)+(($B166/J$5)-INT(($B166/J$5)))*(INDEX('D Fleet'!$K$5:$K$36,INT(($B166/J$5))+2)-INDEX('D Fleet'!$K$5:$K$36,INT(($B166/J$5))+1)),0)</f>
        <v/>
      </c>
      <c r="K166" s="276">
        <f>IFERROR(INDEX('D Fleet'!$F$5:$F$62,MATCH(K$3-$B166,'D Fleet'!$B$5:$B$62,0)),0)*IFERROR(INDEX('D Fleet'!$K$5:$K$36,INT(($B166/K$5))+1)+(($B166/K$5)-INT(($B166/K$5)))*(INDEX('D Fleet'!$K$5:$K$36,INT(($B166/K$5))+2)-INDEX('D Fleet'!$K$5:$K$36,INT(($B166/K$5))+1)),0)</f>
        <v/>
      </c>
      <c r="L166" s="276">
        <f>IFERROR(INDEX('D Fleet'!$F$5:$F$62,MATCH(L$3-$B166,'D Fleet'!$B$5:$B$62,0)),0)*IFERROR(INDEX('D Fleet'!$K$5:$K$36,INT(($B166/L$5))+1)+(($B166/L$5)-INT(($B166/L$5)))*(INDEX('D Fleet'!$K$5:$K$36,INT(($B166/L$5))+2)-INDEX('D Fleet'!$K$5:$K$36,INT(($B166/L$5))+1)),0)</f>
        <v/>
      </c>
      <c r="M166" s="276">
        <f>IFERROR(INDEX('D Fleet'!$F$5:$F$62,MATCH(M$3-$B166,'D Fleet'!$B$5:$B$62,0)),0)*IFERROR(INDEX('D Fleet'!$K$5:$K$36,INT(($B166/M$5))+1)+(($B166/M$5)-INT(($B166/M$5)))*(INDEX('D Fleet'!$K$5:$K$36,INT(($B166/M$5))+2)-INDEX('D Fleet'!$K$5:$K$36,INT(($B166/M$5))+1)),0)</f>
        <v/>
      </c>
      <c r="N166" s="276">
        <f>IFERROR(INDEX('D Fleet'!$F$5:$F$62,MATCH(N$3-$B166,'D Fleet'!$B$5:$B$62,0)),0)*IFERROR(INDEX('D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Fleet'!$F$5:$F$62,MATCH(E$3-$B167,'D Fleet'!$B$5:$B$62,0)),0)*IFERROR(INDEX('D Fleet'!$K$5:$K$36,INT(($B167/E$5))+1)+(($B167/E$5)-INT(($B167/E$5)))*(INDEX('D Fleet'!$K$5:$K$36,INT(($B167/E$5))+2)-INDEX('D Fleet'!$K$5:$K$36,INT(($B167/E$5))+1)),0)</f>
        <v/>
      </c>
      <c r="F167" s="276">
        <f>IFERROR(INDEX('D Fleet'!$F$5:$F$62,MATCH(F$3-$B167,'D Fleet'!$B$5:$B$62,0)),0)*IFERROR(INDEX('D Fleet'!$K$5:$K$36,INT(($B167/F$5))+1)+(($B167/F$5)-INT(($B167/F$5)))*(INDEX('D Fleet'!$K$5:$K$36,INT(($B167/F$5))+2)-INDEX('D Fleet'!$K$5:$K$36,INT(($B167/F$5))+1)),0)</f>
        <v/>
      </c>
      <c r="G167" s="276">
        <f>IFERROR(INDEX('D Fleet'!$F$5:$F$62,MATCH(G$3-$B167,'D Fleet'!$B$5:$B$62,0)),0)*IFERROR(INDEX('D Fleet'!$K$5:$K$36,INT(($B167/G$5))+1)+(($B167/G$5)-INT(($B167/G$5)))*(INDEX('D Fleet'!$K$5:$K$36,INT(($B167/G$5))+2)-INDEX('D Fleet'!$K$5:$K$36,INT(($B167/G$5))+1)),0)</f>
        <v/>
      </c>
      <c r="H167" s="276">
        <f>IFERROR(INDEX('D Fleet'!$F$5:$F$62,MATCH(H$3-$B167,'D Fleet'!$B$5:$B$62,0)),0)*IFERROR(INDEX('D Fleet'!$K$5:$K$36,INT(($B167/H$5))+1)+(($B167/H$5)-INT(($B167/H$5)))*(INDEX('D Fleet'!$K$5:$K$36,INT(($B167/H$5))+2)-INDEX('D Fleet'!$K$5:$K$36,INT(($B167/H$5))+1)),0)</f>
        <v/>
      </c>
      <c r="I167" s="276">
        <f>IFERROR(INDEX('D Fleet'!$F$5:$F$62,MATCH(I$3-$B167,'D Fleet'!$B$5:$B$62,0)),0)*IFERROR(INDEX('D Fleet'!$K$5:$K$36,INT(($B167/I$5))+1)+(($B167/I$5)-INT(($B167/I$5)))*(INDEX('D Fleet'!$K$5:$K$36,INT(($B167/I$5))+2)-INDEX('D Fleet'!$K$5:$K$36,INT(($B167/I$5))+1)),0)</f>
        <v/>
      </c>
      <c r="J167" s="276">
        <f>IFERROR(INDEX('D Fleet'!$F$5:$F$62,MATCH(J$3-$B167,'D Fleet'!$B$5:$B$62,0)),0)*IFERROR(INDEX('D Fleet'!$K$5:$K$36,INT(($B167/J$5))+1)+(($B167/J$5)-INT(($B167/J$5)))*(INDEX('D Fleet'!$K$5:$K$36,INT(($B167/J$5))+2)-INDEX('D Fleet'!$K$5:$K$36,INT(($B167/J$5))+1)),0)</f>
        <v/>
      </c>
      <c r="K167" s="276">
        <f>IFERROR(INDEX('D Fleet'!$F$5:$F$62,MATCH(K$3-$B167,'D Fleet'!$B$5:$B$62,0)),0)*IFERROR(INDEX('D Fleet'!$K$5:$K$36,INT(($B167/K$5))+1)+(($B167/K$5)-INT(($B167/K$5)))*(INDEX('D Fleet'!$K$5:$K$36,INT(($B167/K$5))+2)-INDEX('D Fleet'!$K$5:$K$36,INT(($B167/K$5))+1)),0)</f>
        <v/>
      </c>
      <c r="L167" s="276">
        <f>IFERROR(INDEX('D Fleet'!$F$5:$F$62,MATCH(L$3-$B167,'D Fleet'!$B$5:$B$62,0)),0)*IFERROR(INDEX('D Fleet'!$K$5:$K$36,INT(($B167/L$5))+1)+(($B167/L$5)-INT(($B167/L$5)))*(INDEX('D Fleet'!$K$5:$K$36,INT(($B167/L$5))+2)-INDEX('D Fleet'!$K$5:$K$36,INT(($B167/L$5))+1)),0)</f>
        <v/>
      </c>
      <c r="M167" s="276">
        <f>IFERROR(INDEX('D Fleet'!$F$5:$F$62,MATCH(M$3-$B167,'D Fleet'!$B$5:$B$62,0)),0)*IFERROR(INDEX('D Fleet'!$K$5:$K$36,INT(($B167/M$5))+1)+(($B167/M$5)-INT(($B167/M$5)))*(INDEX('D Fleet'!$K$5:$K$36,INT(($B167/M$5))+2)-INDEX('D Fleet'!$K$5:$K$36,INT(($B167/M$5))+1)),0)</f>
        <v/>
      </c>
      <c r="N167" s="276">
        <f>IFERROR(INDEX('D Fleet'!$F$5:$F$62,MATCH(N$3-$B167,'D Fleet'!$B$5:$B$62,0)),0)*IFERROR(INDEX('D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Fleet'!$F$5:$F$62,MATCH(E$3-$B168,'D Fleet'!$B$5:$B$62,0)),0)*IFERROR(INDEX('D Fleet'!$K$5:$K$36,INT(($B168/E$5))+1)+(($B168/E$5)-INT(($B168/E$5)))*(INDEX('D Fleet'!$K$5:$K$36,INT(($B168/E$5))+2)-INDEX('D Fleet'!$K$5:$K$36,INT(($B168/E$5))+1)),0)</f>
        <v/>
      </c>
      <c r="F168" s="276">
        <f>IFERROR(INDEX('D Fleet'!$F$5:$F$62,MATCH(F$3-$B168,'D Fleet'!$B$5:$B$62,0)),0)*IFERROR(INDEX('D Fleet'!$K$5:$K$36,INT(($B168/F$5))+1)+(($B168/F$5)-INT(($B168/F$5)))*(INDEX('D Fleet'!$K$5:$K$36,INT(($B168/F$5))+2)-INDEX('D Fleet'!$K$5:$K$36,INT(($B168/F$5))+1)),0)</f>
        <v/>
      </c>
      <c r="G168" s="276">
        <f>IFERROR(INDEX('D Fleet'!$F$5:$F$62,MATCH(G$3-$B168,'D Fleet'!$B$5:$B$62,0)),0)*IFERROR(INDEX('D Fleet'!$K$5:$K$36,INT(($B168/G$5))+1)+(($B168/G$5)-INT(($B168/G$5)))*(INDEX('D Fleet'!$K$5:$K$36,INT(($B168/G$5))+2)-INDEX('D Fleet'!$K$5:$K$36,INT(($B168/G$5))+1)),0)</f>
        <v/>
      </c>
      <c r="H168" s="276">
        <f>IFERROR(INDEX('D Fleet'!$F$5:$F$62,MATCH(H$3-$B168,'D Fleet'!$B$5:$B$62,0)),0)*IFERROR(INDEX('D Fleet'!$K$5:$K$36,INT(($B168/H$5))+1)+(($B168/H$5)-INT(($B168/H$5)))*(INDEX('D Fleet'!$K$5:$K$36,INT(($B168/H$5))+2)-INDEX('D Fleet'!$K$5:$K$36,INT(($B168/H$5))+1)),0)</f>
        <v/>
      </c>
      <c r="I168" s="276">
        <f>IFERROR(INDEX('D Fleet'!$F$5:$F$62,MATCH(I$3-$B168,'D Fleet'!$B$5:$B$62,0)),0)*IFERROR(INDEX('D Fleet'!$K$5:$K$36,INT(($B168/I$5))+1)+(($B168/I$5)-INT(($B168/I$5)))*(INDEX('D Fleet'!$K$5:$K$36,INT(($B168/I$5))+2)-INDEX('D Fleet'!$K$5:$K$36,INT(($B168/I$5))+1)),0)</f>
        <v/>
      </c>
      <c r="J168" s="276">
        <f>IFERROR(INDEX('D Fleet'!$F$5:$F$62,MATCH(J$3-$B168,'D Fleet'!$B$5:$B$62,0)),0)*IFERROR(INDEX('D Fleet'!$K$5:$K$36,INT(($B168/J$5))+1)+(($B168/J$5)-INT(($B168/J$5)))*(INDEX('D Fleet'!$K$5:$K$36,INT(($B168/J$5))+2)-INDEX('D Fleet'!$K$5:$K$36,INT(($B168/J$5))+1)),0)</f>
        <v/>
      </c>
      <c r="K168" s="276">
        <f>IFERROR(INDEX('D Fleet'!$F$5:$F$62,MATCH(K$3-$B168,'D Fleet'!$B$5:$B$62,0)),0)*IFERROR(INDEX('D Fleet'!$K$5:$K$36,INT(($B168/K$5))+1)+(($B168/K$5)-INT(($B168/K$5)))*(INDEX('D Fleet'!$K$5:$K$36,INT(($B168/K$5))+2)-INDEX('D Fleet'!$K$5:$K$36,INT(($B168/K$5))+1)),0)</f>
        <v/>
      </c>
      <c r="L168" s="276">
        <f>IFERROR(INDEX('D Fleet'!$F$5:$F$62,MATCH(L$3-$B168,'D Fleet'!$B$5:$B$62,0)),0)*IFERROR(INDEX('D Fleet'!$K$5:$K$36,INT(($B168/L$5))+1)+(($B168/L$5)-INT(($B168/L$5)))*(INDEX('D Fleet'!$K$5:$K$36,INT(($B168/L$5))+2)-INDEX('D Fleet'!$K$5:$K$36,INT(($B168/L$5))+1)),0)</f>
        <v/>
      </c>
      <c r="M168" s="276">
        <f>IFERROR(INDEX('D Fleet'!$F$5:$F$62,MATCH(M$3-$B168,'D Fleet'!$B$5:$B$62,0)),0)*IFERROR(INDEX('D Fleet'!$K$5:$K$36,INT(($B168/M$5))+1)+(($B168/M$5)-INT(($B168/M$5)))*(INDEX('D Fleet'!$K$5:$K$36,INT(($B168/M$5))+2)-INDEX('D Fleet'!$K$5:$K$36,INT(($B168/M$5))+1)),0)</f>
        <v/>
      </c>
      <c r="N168" s="276">
        <f>IFERROR(INDEX('D Fleet'!$F$5:$F$62,MATCH(N$3-$B168,'D Fleet'!$B$5:$B$62,0)),0)*IFERROR(INDEX('D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Fleet'!$F$5:$F$62,MATCH(E$3-$B169,'D Fleet'!$B$5:$B$62,0)),0)*IFERROR(INDEX('D Fleet'!$K$5:$K$36,INT(($B169/E$5))+1)+(($B169/E$5)-INT(($B169/E$5)))*(INDEX('D Fleet'!$K$5:$K$36,INT(($B169/E$5))+2)-INDEX('D Fleet'!$K$5:$K$36,INT(($B169/E$5))+1)),0)</f>
        <v/>
      </c>
      <c r="F169" s="276">
        <f>IFERROR(INDEX('D Fleet'!$F$5:$F$62,MATCH(F$3-$B169,'D Fleet'!$B$5:$B$62,0)),0)*IFERROR(INDEX('D Fleet'!$K$5:$K$36,INT(($B169/F$5))+1)+(($B169/F$5)-INT(($B169/F$5)))*(INDEX('D Fleet'!$K$5:$K$36,INT(($B169/F$5))+2)-INDEX('D Fleet'!$K$5:$K$36,INT(($B169/F$5))+1)),0)</f>
        <v/>
      </c>
      <c r="G169" s="276">
        <f>IFERROR(INDEX('D Fleet'!$F$5:$F$62,MATCH(G$3-$B169,'D Fleet'!$B$5:$B$62,0)),0)*IFERROR(INDEX('D Fleet'!$K$5:$K$36,INT(($B169/G$5))+1)+(($B169/G$5)-INT(($B169/G$5)))*(INDEX('D Fleet'!$K$5:$K$36,INT(($B169/G$5))+2)-INDEX('D Fleet'!$K$5:$K$36,INT(($B169/G$5))+1)),0)</f>
        <v/>
      </c>
      <c r="H169" s="276">
        <f>IFERROR(INDEX('D Fleet'!$F$5:$F$62,MATCH(H$3-$B169,'D Fleet'!$B$5:$B$62,0)),0)*IFERROR(INDEX('D Fleet'!$K$5:$K$36,INT(($B169/H$5))+1)+(($B169/H$5)-INT(($B169/H$5)))*(INDEX('D Fleet'!$K$5:$K$36,INT(($B169/H$5))+2)-INDEX('D Fleet'!$K$5:$K$36,INT(($B169/H$5))+1)),0)</f>
        <v/>
      </c>
      <c r="I169" s="276">
        <f>IFERROR(INDEX('D Fleet'!$F$5:$F$62,MATCH(I$3-$B169,'D Fleet'!$B$5:$B$62,0)),0)*IFERROR(INDEX('D Fleet'!$K$5:$K$36,INT(($B169/I$5))+1)+(($B169/I$5)-INT(($B169/I$5)))*(INDEX('D Fleet'!$K$5:$K$36,INT(($B169/I$5))+2)-INDEX('D Fleet'!$K$5:$K$36,INT(($B169/I$5))+1)),0)</f>
        <v/>
      </c>
      <c r="J169" s="276">
        <f>IFERROR(INDEX('D Fleet'!$F$5:$F$62,MATCH(J$3-$B169,'D Fleet'!$B$5:$B$62,0)),0)*IFERROR(INDEX('D Fleet'!$K$5:$K$36,INT(($B169/J$5))+1)+(($B169/J$5)-INT(($B169/J$5)))*(INDEX('D Fleet'!$K$5:$K$36,INT(($B169/J$5))+2)-INDEX('D Fleet'!$K$5:$K$36,INT(($B169/J$5))+1)),0)</f>
        <v/>
      </c>
      <c r="K169" s="276">
        <f>IFERROR(INDEX('D Fleet'!$F$5:$F$62,MATCH(K$3-$B169,'D Fleet'!$B$5:$B$62,0)),0)*IFERROR(INDEX('D Fleet'!$K$5:$K$36,INT(($B169/K$5))+1)+(($B169/K$5)-INT(($B169/K$5)))*(INDEX('D Fleet'!$K$5:$K$36,INT(($B169/K$5))+2)-INDEX('D Fleet'!$K$5:$K$36,INT(($B169/K$5))+1)),0)</f>
        <v/>
      </c>
      <c r="L169" s="276">
        <f>IFERROR(INDEX('D Fleet'!$F$5:$F$62,MATCH(L$3-$B169,'D Fleet'!$B$5:$B$62,0)),0)*IFERROR(INDEX('D Fleet'!$K$5:$K$36,INT(($B169/L$5))+1)+(($B169/L$5)-INT(($B169/L$5)))*(INDEX('D Fleet'!$K$5:$K$36,INT(($B169/L$5))+2)-INDEX('D Fleet'!$K$5:$K$36,INT(($B169/L$5))+1)),0)</f>
        <v/>
      </c>
      <c r="M169" s="276">
        <f>IFERROR(INDEX('D Fleet'!$F$5:$F$62,MATCH(M$3-$B169,'D Fleet'!$B$5:$B$62,0)),0)*IFERROR(INDEX('D Fleet'!$K$5:$K$36,INT(($B169/M$5))+1)+(($B169/M$5)-INT(($B169/M$5)))*(INDEX('D Fleet'!$K$5:$K$36,INT(($B169/M$5))+2)-INDEX('D Fleet'!$K$5:$K$36,INT(($B169/M$5))+1)),0)</f>
        <v/>
      </c>
      <c r="N169" s="276">
        <f>IFERROR(INDEX('D Fleet'!$F$5:$F$62,MATCH(N$3-$B169,'D Fleet'!$B$5:$B$62,0)),0)*IFERROR(INDEX('D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Fleet'!$F$5:$F$62,MATCH(E$3-$B170,'D Fleet'!$B$5:$B$62,0)),0)*IFERROR(INDEX('D Fleet'!$K$5:$K$36,INT(($B170/E$5))+1)+(($B170/E$5)-INT(($B170/E$5)))*(INDEX('D Fleet'!$K$5:$K$36,INT(($B170/E$5))+2)-INDEX('D Fleet'!$K$5:$K$36,INT(($B170/E$5))+1)),0)</f>
        <v/>
      </c>
      <c r="F170" s="276">
        <f>IFERROR(INDEX('D Fleet'!$F$5:$F$62,MATCH(F$3-$B170,'D Fleet'!$B$5:$B$62,0)),0)*IFERROR(INDEX('D Fleet'!$K$5:$K$36,INT(($B170/F$5))+1)+(($B170/F$5)-INT(($B170/F$5)))*(INDEX('D Fleet'!$K$5:$K$36,INT(($B170/F$5))+2)-INDEX('D Fleet'!$K$5:$K$36,INT(($B170/F$5))+1)),0)</f>
        <v/>
      </c>
      <c r="G170" s="276">
        <f>IFERROR(INDEX('D Fleet'!$F$5:$F$62,MATCH(G$3-$B170,'D Fleet'!$B$5:$B$62,0)),0)*IFERROR(INDEX('D Fleet'!$K$5:$K$36,INT(($B170/G$5))+1)+(($B170/G$5)-INT(($B170/G$5)))*(INDEX('D Fleet'!$K$5:$K$36,INT(($B170/G$5))+2)-INDEX('D Fleet'!$K$5:$K$36,INT(($B170/G$5))+1)),0)</f>
        <v/>
      </c>
      <c r="H170" s="276">
        <f>IFERROR(INDEX('D Fleet'!$F$5:$F$62,MATCH(H$3-$B170,'D Fleet'!$B$5:$B$62,0)),0)*IFERROR(INDEX('D Fleet'!$K$5:$K$36,INT(($B170/H$5))+1)+(($B170/H$5)-INT(($B170/H$5)))*(INDEX('D Fleet'!$K$5:$K$36,INT(($B170/H$5))+2)-INDEX('D Fleet'!$K$5:$K$36,INT(($B170/H$5))+1)),0)</f>
        <v/>
      </c>
      <c r="I170" s="276">
        <f>IFERROR(INDEX('D Fleet'!$F$5:$F$62,MATCH(I$3-$B170,'D Fleet'!$B$5:$B$62,0)),0)*IFERROR(INDEX('D Fleet'!$K$5:$K$36,INT(($B170/I$5))+1)+(($B170/I$5)-INT(($B170/I$5)))*(INDEX('D Fleet'!$K$5:$K$36,INT(($B170/I$5))+2)-INDEX('D Fleet'!$K$5:$K$36,INT(($B170/I$5))+1)),0)</f>
        <v/>
      </c>
      <c r="J170" s="276">
        <f>IFERROR(INDEX('D Fleet'!$F$5:$F$62,MATCH(J$3-$B170,'D Fleet'!$B$5:$B$62,0)),0)*IFERROR(INDEX('D Fleet'!$K$5:$K$36,INT(($B170/J$5))+1)+(($B170/J$5)-INT(($B170/J$5)))*(INDEX('D Fleet'!$K$5:$K$36,INT(($B170/J$5))+2)-INDEX('D Fleet'!$K$5:$K$36,INT(($B170/J$5))+1)),0)</f>
        <v/>
      </c>
      <c r="K170" s="276">
        <f>IFERROR(INDEX('D Fleet'!$F$5:$F$62,MATCH(K$3-$B170,'D Fleet'!$B$5:$B$62,0)),0)*IFERROR(INDEX('D Fleet'!$K$5:$K$36,INT(($B170/K$5))+1)+(($B170/K$5)-INT(($B170/K$5)))*(INDEX('D Fleet'!$K$5:$K$36,INT(($B170/K$5))+2)-INDEX('D Fleet'!$K$5:$K$36,INT(($B170/K$5))+1)),0)</f>
        <v/>
      </c>
      <c r="L170" s="276">
        <f>IFERROR(INDEX('D Fleet'!$F$5:$F$62,MATCH(L$3-$B170,'D Fleet'!$B$5:$B$62,0)),0)*IFERROR(INDEX('D Fleet'!$K$5:$K$36,INT(($B170/L$5))+1)+(($B170/L$5)-INT(($B170/L$5)))*(INDEX('D Fleet'!$K$5:$K$36,INT(($B170/L$5))+2)-INDEX('D Fleet'!$K$5:$K$36,INT(($B170/L$5))+1)),0)</f>
        <v/>
      </c>
      <c r="M170" s="276">
        <f>IFERROR(INDEX('D Fleet'!$F$5:$F$62,MATCH(M$3-$B170,'D Fleet'!$B$5:$B$62,0)),0)*IFERROR(INDEX('D Fleet'!$K$5:$K$36,INT(($B170/M$5))+1)+(($B170/M$5)-INT(($B170/M$5)))*(INDEX('D Fleet'!$K$5:$K$36,INT(($B170/M$5))+2)-INDEX('D Fleet'!$K$5:$K$36,INT(($B170/M$5))+1)),0)</f>
        <v/>
      </c>
      <c r="N170" s="276">
        <f>IFERROR(INDEX('D Fleet'!$F$5:$F$62,MATCH(N$3-$B170,'D Fleet'!$B$5:$B$62,0)),0)*IFERROR(INDEX('D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Fleet'!$F$5:$F$62,MATCH(E$3-$B171,'D Fleet'!$B$5:$B$62,0)),0)*IFERROR(INDEX('D Fleet'!$K$5:$K$36,INT(($B171/E$5))+1)+(($B171/E$5)-INT(($B171/E$5)))*(INDEX('D Fleet'!$K$5:$K$36,INT(($B171/E$5))+2)-INDEX('D Fleet'!$K$5:$K$36,INT(($B171/E$5))+1)),0)</f>
        <v/>
      </c>
      <c r="F171" s="276">
        <f>IFERROR(INDEX('D Fleet'!$F$5:$F$62,MATCH(F$3-$B171,'D Fleet'!$B$5:$B$62,0)),0)*IFERROR(INDEX('D Fleet'!$K$5:$K$36,INT(($B171/F$5))+1)+(($B171/F$5)-INT(($B171/F$5)))*(INDEX('D Fleet'!$K$5:$K$36,INT(($B171/F$5))+2)-INDEX('D Fleet'!$K$5:$K$36,INT(($B171/F$5))+1)),0)</f>
        <v/>
      </c>
      <c r="G171" s="276">
        <f>IFERROR(INDEX('D Fleet'!$F$5:$F$62,MATCH(G$3-$B171,'D Fleet'!$B$5:$B$62,0)),0)*IFERROR(INDEX('D Fleet'!$K$5:$K$36,INT(($B171/G$5))+1)+(($B171/G$5)-INT(($B171/G$5)))*(INDEX('D Fleet'!$K$5:$K$36,INT(($B171/G$5))+2)-INDEX('D Fleet'!$K$5:$K$36,INT(($B171/G$5))+1)),0)</f>
        <v/>
      </c>
      <c r="H171" s="276">
        <f>IFERROR(INDEX('D Fleet'!$F$5:$F$62,MATCH(H$3-$B171,'D Fleet'!$B$5:$B$62,0)),0)*IFERROR(INDEX('D Fleet'!$K$5:$K$36,INT(($B171/H$5))+1)+(($B171/H$5)-INT(($B171/H$5)))*(INDEX('D Fleet'!$K$5:$K$36,INT(($B171/H$5))+2)-INDEX('D Fleet'!$K$5:$K$36,INT(($B171/H$5))+1)),0)</f>
        <v/>
      </c>
      <c r="I171" s="276">
        <f>IFERROR(INDEX('D Fleet'!$F$5:$F$62,MATCH(I$3-$B171,'D Fleet'!$B$5:$B$62,0)),0)*IFERROR(INDEX('D Fleet'!$K$5:$K$36,INT(($B171/I$5))+1)+(($B171/I$5)-INT(($B171/I$5)))*(INDEX('D Fleet'!$K$5:$K$36,INT(($B171/I$5))+2)-INDEX('D Fleet'!$K$5:$K$36,INT(($B171/I$5))+1)),0)</f>
        <v/>
      </c>
      <c r="J171" s="276">
        <f>IFERROR(INDEX('D Fleet'!$F$5:$F$62,MATCH(J$3-$B171,'D Fleet'!$B$5:$B$62,0)),0)*IFERROR(INDEX('D Fleet'!$K$5:$K$36,INT(($B171/J$5))+1)+(($B171/J$5)-INT(($B171/J$5)))*(INDEX('D Fleet'!$K$5:$K$36,INT(($B171/J$5))+2)-INDEX('D Fleet'!$K$5:$K$36,INT(($B171/J$5))+1)),0)</f>
        <v/>
      </c>
      <c r="K171" s="276">
        <f>IFERROR(INDEX('D Fleet'!$F$5:$F$62,MATCH(K$3-$B171,'D Fleet'!$B$5:$B$62,0)),0)*IFERROR(INDEX('D Fleet'!$K$5:$K$36,INT(($B171/K$5))+1)+(($B171/K$5)-INT(($B171/K$5)))*(INDEX('D Fleet'!$K$5:$K$36,INT(($B171/K$5))+2)-INDEX('D Fleet'!$K$5:$K$36,INT(($B171/K$5))+1)),0)</f>
        <v/>
      </c>
      <c r="L171" s="276">
        <f>IFERROR(INDEX('D Fleet'!$F$5:$F$62,MATCH(L$3-$B171,'D Fleet'!$B$5:$B$62,0)),0)*IFERROR(INDEX('D Fleet'!$K$5:$K$36,INT(($B171/L$5))+1)+(($B171/L$5)-INT(($B171/L$5)))*(INDEX('D Fleet'!$K$5:$K$36,INT(($B171/L$5))+2)-INDEX('D Fleet'!$K$5:$K$36,INT(($B171/L$5))+1)),0)</f>
        <v/>
      </c>
      <c r="M171" s="276">
        <f>IFERROR(INDEX('D Fleet'!$F$5:$F$62,MATCH(M$3-$B171,'D Fleet'!$B$5:$B$62,0)),0)*IFERROR(INDEX('D Fleet'!$K$5:$K$36,INT(($B171/M$5))+1)+(($B171/M$5)-INT(($B171/M$5)))*(INDEX('D Fleet'!$K$5:$K$36,INT(($B171/M$5))+2)-INDEX('D Fleet'!$K$5:$K$36,INT(($B171/M$5))+1)),0)</f>
        <v/>
      </c>
      <c r="N171" s="276">
        <f>IFERROR(INDEX('D Fleet'!$F$5:$F$62,MATCH(N$3-$B171,'D Fleet'!$B$5:$B$62,0)),0)*IFERROR(INDEX('D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Fleet'!$F$5:$F$62,MATCH(E$3-$B172,'D Fleet'!$B$5:$B$62,0)),0)*IFERROR(INDEX('D Fleet'!$K$5:$K$36,INT(($B172/E$5))+1)+(($B172/E$5)-INT(($B172/E$5)))*(INDEX('D Fleet'!$K$5:$K$36,INT(($B172/E$5))+2)-INDEX('D Fleet'!$K$5:$K$36,INT(($B172/E$5))+1)),0)</f>
        <v/>
      </c>
      <c r="F172" s="276">
        <f>IFERROR(INDEX('D Fleet'!$F$5:$F$62,MATCH(F$3-$B172,'D Fleet'!$B$5:$B$62,0)),0)*IFERROR(INDEX('D Fleet'!$K$5:$K$36,INT(($B172/F$5))+1)+(($B172/F$5)-INT(($B172/F$5)))*(INDEX('D Fleet'!$K$5:$K$36,INT(($B172/F$5))+2)-INDEX('D Fleet'!$K$5:$K$36,INT(($B172/F$5))+1)),0)</f>
        <v/>
      </c>
      <c r="G172" s="276">
        <f>IFERROR(INDEX('D Fleet'!$F$5:$F$62,MATCH(G$3-$B172,'D Fleet'!$B$5:$B$62,0)),0)*IFERROR(INDEX('D Fleet'!$K$5:$K$36,INT(($B172/G$5))+1)+(($B172/G$5)-INT(($B172/G$5)))*(INDEX('D Fleet'!$K$5:$K$36,INT(($B172/G$5))+2)-INDEX('D Fleet'!$K$5:$K$36,INT(($B172/G$5))+1)),0)</f>
        <v/>
      </c>
      <c r="H172" s="276">
        <f>IFERROR(INDEX('D Fleet'!$F$5:$F$62,MATCH(H$3-$B172,'D Fleet'!$B$5:$B$62,0)),0)*IFERROR(INDEX('D Fleet'!$K$5:$K$36,INT(($B172/H$5))+1)+(($B172/H$5)-INT(($B172/H$5)))*(INDEX('D Fleet'!$K$5:$K$36,INT(($B172/H$5))+2)-INDEX('D Fleet'!$K$5:$K$36,INT(($B172/H$5))+1)),0)</f>
        <v/>
      </c>
      <c r="I172" s="276">
        <f>IFERROR(INDEX('D Fleet'!$F$5:$F$62,MATCH(I$3-$B172,'D Fleet'!$B$5:$B$62,0)),0)*IFERROR(INDEX('D Fleet'!$K$5:$K$36,INT(($B172/I$5))+1)+(($B172/I$5)-INT(($B172/I$5)))*(INDEX('D Fleet'!$K$5:$K$36,INT(($B172/I$5))+2)-INDEX('D Fleet'!$K$5:$K$36,INT(($B172/I$5))+1)),0)</f>
        <v/>
      </c>
      <c r="J172" s="276">
        <f>IFERROR(INDEX('D Fleet'!$F$5:$F$62,MATCH(J$3-$B172,'D Fleet'!$B$5:$B$62,0)),0)*IFERROR(INDEX('D Fleet'!$K$5:$K$36,INT(($B172/J$5))+1)+(($B172/J$5)-INT(($B172/J$5)))*(INDEX('D Fleet'!$K$5:$K$36,INT(($B172/J$5))+2)-INDEX('D Fleet'!$K$5:$K$36,INT(($B172/J$5))+1)),0)</f>
        <v/>
      </c>
      <c r="K172" s="276">
        <f>IFERROR(INDEX('D Fleet'!$F$5:$F$62,MATCH(K$3-$B172,'D Fleet'!$B$5:$B$62,0)),0)*IFERROR(INDEX('D Fleet'!$K$5:$K$36,INT(($B172/K$5))+1)+(($B172/K$5)-INT(($B172/K$5)))*(INDEX('D Fleet'!$K$5:$K$36,INT(($B172/K$5))+2)-INDEX('D Fleet'!$K$5:$K$36,INT(($B172/K$5))+1)),0)</f>
        <v/>
      </c>
      <c r="L172" s="276">
        <f>IFERROR(INDEX('D Fleet'!$F$5:$F$62,MATCH(L$3-$B172,'D Fleet'!$B$5:$B$62,0)),0)*IFERROR(INDEX('D Fleet'!$K$5:$K$36,INT(($B172/L$5))+1)+(($B172/L$5)-INT(($B172/L$5)))*(INDEX('D Fleet'!$K$5:$K$36,INT(($B172/L$5))+2)-INDEX('D Fleet'!$K$5:$K$36,INT(($B172/L$5))+1)),0)</f>
        <v/>
      </c>
      <c r="M172" s="276">
        <f>IFERROR(INDEX('D Fleet'!$F$5:$F$62,MATCH(M$3-$B172,'D Fleet'!$B$5:$B$62,0)),0)*IFERROR(INDEX('D Fleet'!$K$5:$K$36,INT(($B172/M$5))+1)+(($B172/M$5)-INT(($B172/M$5)))*(INDEX('D Fleet'!$K$5:$K$36,INT(($B172/M$5))+2)-INDEX('D Fleet'!$K$5:$K$36,INT(($B172/M$5))+1)),0)</f>
        <v/>
      </c>
      <c r="N172" s="276">
        <f>IFERROR(INDEX('D Fleet'!$F$5:$F$62,MATCH(N$3-$B172,'D Fleet'!$B$5:$B$62,0)),0)*IFERROR(INDEX('D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Fleet'!$F$5:$F$62,MATCH(E$3-$B173,'D Fleet'!$B$5:$B$62,0)),0)*IFERROR(INDEX('D Fleet'!$K$5:$K$36,INT(($B173/E$5))+1)+(($B173/E$5)-INT(($B173/E$5)))*(INDEX('D Fleet'!$K$5:$K$36,INT(($B173/E$5))+2)-INDEX('D Fleet'!$K$5:$K$36,INT(($B173/E$5))+1)),0)</f>
        <v/>
      </c>
      <c r="F173" s="276">
        <f>IFERROR(INDEX('D Fleet'!$F$5:$F$62,MATCH(F$3-$B173,'D Fleet'!$B$5:$B$62,0)),0)*IFERROR(INDEX('D Fleet'!$K$5:$K$36,INT(($B173/F$5))+1)+(($B173/F$5)-INT(($B173/F$5)))*(INDEX('D Fleet'!$K$5:$K$36,INT(($B173/F$5))+2)-INDEX('D Fleet'!$K$5:$K$36,INT(($B173/F$5))+1)),0)</f>
        <v/>
      </c>
      <c r="G173" s="276">
        <f>IFERROR(INDEX('D Fleet'!$F$5:$F$62,MATCH(G$3-$B173,'D Fleet'!$B$5:$B$62,0)),0)*IFERROR(INDEX('D Fleet'!$K$5:$K$36,INT(($B173/G$5))+1)+(($B173/G$5)-INT(($B173/G$5)))*(INDEX('D Fleet'!$K$5:$K$36,INT(($B173/G$5))+2)-INDEX('D Fleet'!$K$5:$K$36,INT(($B173/G$5))+1)),0)</f>
        <v/>
      </c>
      <c r="H173" s="276">
        <f>IFERROR(INDEX('D Fleet'!$F$5:$F$62,MATCH(H$3-$B173,'D Fleet'!$B$5:$B$62,0)),0)*IFERROR(INDEX('D Fleet'!$K$5:$K$36,INT(($B173/H$5))+1)+(($B173/H$5)-INT(($B173/H$5)))*(INDEX('D Fleet'!$K$5:$K$36,INT(($B173/H$5))+2)-INDEX('D Fleet'!$K$5:$K$36,INT(($B173/H$5))+1)),0)</f>
        <v/>
      </c>
      <c r="I173" s="276">
        <f>IFERROR(INDEX('D Fleet'!$F$5:$F$62,MATCH(I$3-$B173,'D Fleet'!$B$5:$B$62,0)),0)*IFERROR(INDEX('D Fleet'!$K$5:$K$36,INT(($B173/I$5))+1)+(($B173/I$5)-INT(($B173/I$5)))*(INDEX('D Fleet'!$K$5:$K$36,INT(($B173/I$5))+2)-INDEX('D Fleet'!$K$5:$K$36,INT(($B173/I$5))+1)),0)</f>
        <v/>
      </c>
      <c r="J173" s="276">
        <f>IFERROR(INDEX('D Fleet'!$F$5:$F$62,MATCH(J$3-$B173,'D Fleet'!$B$5:$B$62,0)),0)*IFERROR(INDEX('D Fleet'!$K$5:$K$36,INT(($B173/J$5))+1)+(($B173/J$5)-INT(($B173/J$5)))*(INDEX('D Fleet'!$K$5:$K$36,INT(($B173/J$5))+2)-INDEX('D Fleet'!$K$5:$K$36,INT(($B173/J$5))+1)),0)</f>
        <v/>
      </c>
      <c r="K173" s="276">
        <f>IFERROR(INDEX('D Fleet'!$F$5:$F$62,MATCH(K$3-$B173,'D Fleet'!$B$5:$B$62,0)),0)*IFERROR(INDEX('D Fleet'!$K$5:$K$36,INT(($B173/K$5))+1)+(($B173/K$5)-INT(($B173/K$5)))*(INDEX('D Fleet'!$K$5:$K$36,INT(($B173/K$5))+2)-INDEX('D Fleet'!$K$5:$K$36,INT(($B173/K$5))+1)),0)</f>
        <v/>
      </c>
      <c r="L173" s="276">
        <f>IFERROR(INDEX('D Fleet'!$F$5:$F$62,MATCH(L$3-$B173,'D Fleet'!$B$5:$B$62,0)),0)*IFERROR(INDEX('D Fleet'!$K$5:$K$36,INT(($B173/L$5))+1)+(($B173/L$5)-INT(($B173/L$5)))*(INDEX('D Fleet'!$K$5:$K$36,INT(($B173/L$5))+2)-INDEX('D Fleet'!$K$5:$K$36,INT(($B173/L$5))+1)),0)</f>
        <v/>
      </c>
      <c r="M173" s="276">
        <f>IFERROR(INDEX('D Fleet'!$F$5:$F$62,MATCH(M$3-$B173,'D Fleet'!$B$5:$B$62,0)),0)*IFERROR(INDEX('D Fleet'!$K$5:$K$36,INT(($B173/M$5))+1)+(($B173/M$5)-INT(($B173/M$5)))*(INDEX('D Fleet'!$K$5:$K$36,INT(($B173/M$5))+2)-INDEX('D Fleet'!$K$5:$K$36,INT(($B173/M$5))+1)),0)</f>
        <v/>
      </c>
      <c r="N173" s="276">
        <f>IFERROR(INDEX('D Fleet'!$F$5:$F$62,MATCH(N$3-$B173,'D Fleet'!$B$5:$B$62,0)),0)*IFERROR(INDEX('D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Fleet'!$F$5:$F$62,MATCH(E$3-$B174,'D Fleet'!$B$5:$B$62,0)),0)*IFERROR(INDEX('D Fleet'!$K$5:$K$36,INT(($B174/E$5))+1)+(($B174/E$5)-INT(($B174/E$5)))*(INDEX('D Fleet'!$K$5:$K$36,INT(($B174/E$5))+2)-INDEX('D Fleet'!$K$5:$K$36,INT(($B174/E$5))+1)),0)</f>
        <v/>
      </c>
      <c r="F174" s="276">
        <f>IFERROR(INDEX('D Fleet'!$F$5:$F$62,MATCH(F$3-$B174,'D Fleet'!$B$5:$B$62,0)),0)*IFERROR(INDEX('D Fleet'!$K$5:$K$36,INT(($B174/F$5))+1)+(($B174/F$5)-INT(($B174/F$5)))*(INDEX('D Fleet'!$K$5:$K$36,INT(($B174/F$5))+2)-INDEX('D Fleet'!$K$5:$K$36,INT(($B174/F$5))+1)),0)</f>
        <v/>
      </c>
      <c r="G174" s="276">
        <f>IFERROR(INDEX('D Fleet'!$F$5:$F$62,MATCH(G$3-$B174,'D Fleet'!$B$5:$B$62,0)),0)*IFERROR(INDEX('D Fleet'!$K$5:$K$36,INT(($B174/G$5))+1)+(($B174/G$5)-INT(($B174/G$5)))*(INDEX('D Fleet'!$K$5:$K$36,INT(($B174/G$5))+2)-INDEX('D Fleet'!$K$5:$K$36,INT(($B174/G$5))+1)),0)</f>
        <v/>
      </c>
      <c r="H174" s="276">
        <f>IFERROR(INDEX('D Fleet'!$F$5:$F$62,MATCH(H$3-$B174,'D Fleet'!$B$5:$B$62,0)),0)*IFERROR(INDEX('D Fleet'!$K$5:$K$36,INT(($B174/H$5))+1)+(($B174/H$5)-INT(($B174/H$5)))*(INDEX('D Fleet'!$K$5:$K$36,INT(($B174/H$5))+2)-INDEX('D Fleet'!$K$5:$K$36,INT(($B174/H$5))+1)),0)</f>
        <v/>
      </c>
      <c r="I174" s="276">
        <f>IFERROR(INDEX('D Fleet'!$F$5:$F$62,MATCH(I$3-$B174,'D Fleet'!$B$5:$B$62,0)),0)*IFERROR(INDEX('D Fleet'!$K$5:$K$36,INT(($B174/I$5))+1)+(($B174/I$5)-INT(($B174/I$5)))*(INDEX('D Fleet'!$K$5:$K$36,INT(($B174/I$5))+2)-INDEX('D Fleet'!$K$5:$K$36,INT(($B174/I$5))+1)),0)</f>
        <v/>
      </c>
      <c r="J174" s="276">
        <f>IFERROR(INDEX('D Fleet'!$F$5:$F$62,MATCH(J$3-$B174,'D Fleet'!$B$5:$B$62,0)),0)*IFERROR(INDEX('D Fleet'!$K$5:$K$36,INT(($B174/J$5))+1)+(($B174/J$5)-INT(($B174/J$5)))*(INDEX('D Fleet'!$K$5:$K$36,INT(($B174/J$5))+2)-INDEX('D Fleet'!$K$5:$K$36,INT(($B174/J$5))+1)),0)</f>
        <v/>
      </c>
      <c r="K174" s="276">
        <f>IFERROR(INDEX('D Fleet'!$F$5:$F$62,MATCH(K$3-$B174,'D Fleet'!$B$5:$B$62,0)),0)*IFERROR(INDEX('D Fleet'!$K$5:$K$36,INT(($B174/K$5))+1)+(($B174/K$5)-INT(($B174/K$5)))*(INDEX('D Fleet'!$K$5:$K$36,INT(($B174/K$5))+2)-INDEX('D Fleet'!$K$5:$K$36,INT(($B174/K$5))+1)),0)</f>
        <v/>
      </c>
      <c r="L174" s="276">
        <f>IFERROR(INDEX('D Fleet'!$F$5:$F$62,MATCH(L$3-$B174,'D Fleet'!$B$5:$B$62,0)),0)*IFERROR(INDEX('D Fleet'!$K$5:$K$36,INT(($B174/L$5))+1)+(($B174/L$5)-INT(($B174/L$5)))*(INDEX('D Fleet'!$K$5:$K$36,INT(($B174/L$5))+2)-INDEX('D Fleet'!$K$5:$K$36,INT(($B174/L$5))+1)),0)</f>
        <v/>
      </c>
      <c r="M174" s="276">
        <f>IFERROR(INDEX('D Fleet'!$F$5:$F$62,MATCH(M$3-$B174,'D Fleet'!$B$5:$B$62,0)),0)*IFERROR(INDEX('D Fleet'!$K$5:$K$36,INT(($B174/M$5))+1)+(($B174/M$5)-INT(($B174/M$5)))*(INDEX('D Fleet'!$K$5:$K$36,INT(($B174/M$5))+2)-INDEX('D Fleet'!$K$5:$K$36,INT(($B174/M$5))+1)),0)</f>
        <v/>
      </c>
      <c r="N174" s="276">
        <f>IFERROR(INDEX('D Fleet'!$F$5:$F$62,MATCH(N$3-$B174,'D Fleet'!$B$5:$B$62,0)),0)*IFERROR(INDEX('D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Fleet'!$F$5:$F$62,MATCH(E$3-$B175,'D Fleet'!$B$5:$B$62,0)),0)*IFERROR(INDEX('D Fleet'!$K$5:$K$36,INT(($B175/E$5))+1)+(($B175/E$5)-INT(($B175/E$5)))*(INDEX('D Fleet'!$K$5:$K$36,INT(($B175/E$5))+2)-INDEX('D Fleet'!$K$5:$K$36,INT(($B175/E$5))+1)),0)</f>
        <v/>
      </c>
      <c r="F175" s="276">
        <f>IFERROR(INDEX('D Fleet'!$F$5:$F$62,MATCH(F$3-$B175,'D Fleet'!$B$5:$B$62,0)),0)*IFERROR(INDEX('D Fleet'!$K$5:$K$36,INT(($B175/F$5))+1)+(($B175/F$5)-INT(($B175/F$5)))*(INDEX('D Fleet'!$K$5:$K$36,INT(($B175/F$5))+2)-INDEX('D Fleet'!$K$5:$K$36,INT(($B175/F$5))+1)),0)</f>
        <v/>
      </c>
      <c r="G175" s="276">
        <f>IFERROR(INDEX('D Fleet'!$F$5:$F$62,MATCH(G$3-$B175,'D Fleet'!$B$5:$B$62,0)),0)*IFERROR(INDEX('D Fleet'!$K$5:$K$36,INT(($B175/G$5))+1)+(($B175/G$5)-INT(($B175/G$5)))*(INDEX('D Fleet'!$K$5:$K$36,INT(($B175/G$5))+2)-INDEX('D Fleet'!$K$5:$K$36,INT(($B175/G$5))+1)),0)</f>
        <v/>
      </c>
      <c r="H175" s="276">
        <f>IFERROR(INDEX('D Fleet'!$F$5:$F$62,MATCH(H$3-$B175,'D Fleet'!$B$5:$B$62,0)),0)*IFERROR(INDEX('D Fleet'!$K$5:$K$36,INT(($B175/H$5))+1)+(($B175/H$5)-INT(($B175/H$5)))*(INDEX('D Fleet'!$K$5:$K$36,INT(($B175/H$5))+2)-INDEX('D Fleet'!$K$5:$K$36,INT(($B175/H$5))+1)),0)</f>
        <v/>
      </c>
      <c r="I175" s="276">
        <f>IFERROR(INDEX('D Fleet'!$F$5:$F$62,MATCH(I$3-$B175,'D Fleet'!$B$5:$B$62,0)),0)*IFERROR(INDEX('D Fleet'!$K$5:$K$36,INT(($B175/I$5))+1)+(($B175/I$5)-INT(($B175/I$5)))*(INDEX('D Fleet'!$K$5:$K$36,INT(($B175/I$5))+2)-INDEX('D Fleet'!$K$5:$K$36,INT(($B175/I$5))+1)),0)</f>
        <v/>
      </c>
      <c r="J175" s="276">
        <f>IFERROR(INDEX('D Fleet'!$F$5:$F$62,MATCH(J$3-$B175,'D Fleet'!$B$5:$B$62,0)),0)*IFERROR(INDEX('D Fleet'!$K$5:$K$36,INT(($B175/J$5))+1)+(($B175/J$5)-INT(($B175/J$5)))*(INDEX('D Fleet'!$K$5:$K$36,INT(($B175/J$5))+2)-INDEX('D Fleet'!$K$5:$K$36,INT(($B175/J$5))+1)),0)</f>
        <v/>
      </c>
      <c r="K175" s="276">
        <f>IFERROR(INDEX('D Fleet'!$F$5:$F$62,MATCH(K$3-$B175,'D Fleet'!$B$5:$B$62,0)),0)*IFERROR(INDEX('D Fleet'!$K$5:$K$36,INT(($B175/K$5))+1)+(($B175/K$5)-INT(($B175/K$5)))*(INDEX('D Fleet'!$K$5:$K$36,INT(($B175/K$5))+2)-INDEX('D Fleet'!$K$5:$K$36,INT(($B175/K$5))+1)),0)</f>
        <v/>
      </c>
      <c r="L175" s="276">
        <f>IFERROR(INDEX('D Fleet'!$F$5:$F$62,MATCH(L$3-$B175,'D Fleet'!$B$5:$B$62,0)),0)*IFERROR(INDEX('D Fleet'!$K$5:$K$36,INT(($B175/L$5))+1)+(($B175/L$5)-INT(($B175/L$5)))*(INDEX('D Fleet'!$K$5:$K$36,INT(($B175/L$5))+2)-INDEX('D Fleet'!$K$5:$K$36,INT(($B175/L$5))+1)),0)</f>
        <v/>
      </c>
      <c r="M175" s="276">
        <f>IFERROR(INDEX('D Fleet'!$F$5:$F$62,MATCH(M$3-$B175,'D Fleet'!$B$5:$B$62,0)),0)*IFERROR(INDEX('D Fleet'!$K$5:$K$36,INT(($B175/M$5))+1)+(($B175/M$5)-INT(($B175/M$5)))*(INDEX('D Fleet'!$K$5:$K$36,INT(($B175/M$5))+2)-INDEX('D Fleet'!$K$5:$K$36,INT(($B175/M$5))+1)),0)</f>
        <v/>
      </c>
      <c r="N175" s="276">
        <f>IFERROR(INDEX('D Fleet'!$F$5:$F$62,MATCH(N$3-$B175,'D Fleet'!$B$5:$B$62,0)),0)*IFERROR(INDEX('D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Fleet'!$F$5:$F$62,MATCH(E$3-$B176,'D Fleet'!$B$5:$B$62,0)),0)*IFERROR(INDEX('D Fleet'!$K$5:$K$36,INT(($B176/E$5))+1)+(($B176/E$5)-INT(($B176/E$5)))*(INDEX('D Fleet'!$K$5:$K$36,INT(($B176/E$5))+2)-INDEX('D Fleet'!$K$5:$K$36,INT(($B176/E$5))+1)),0)</f>
        <v/>
      </c>
      <c r="F176" s="276">
        <f>IFERROR(INDEX('D Fleet'!$F$5:$F$62,MATCH(F$3-$B176,'D Fleet'!$B$5:$B$62,0)),0)*IFERROR(INDEX('D Fleet'!$K$5:$K$36,INT(($B176/F$5))+1)+(($B176/F$5)-INT(($B176/F$5)))*(INDEX('D Fleet'!$K$5:$K$36,INT(($B176/F$5))+2)-INDEX('D Fleet'!$K$5:$K$36,INT(($B176/F$5))+1)),0)</f>
        <v/>
      </c>
      <c r="G176" s="276">
        <f>IFERROR(INDEX('D Fleet'!$F$5:$F$62,MATCH(G$3-$B176,'D Fleet'!$B$5:$B$62,0)),0)*IFERROR(INDEX('D Fleet'!$K$5:$K$36,INT(($B176/G$5))+1)+(($B176/G$5)-INT(($B176/G$5)))*(INDEX('D Fleet'!$K$5:$K$36,INT(($B176/G$5))+2)-INDEX('D Fleet'!$K$5:$K$36,INT(($B176/G$5))+1)),0)</f>
        <v/>
      </c>
      <c r="H176" s="276">
        <f>IFERROR(INDEX('D Fleet'!$F$5:$F$62,MATCH(H$3-$B176,'D Fleet'!$B$5:$B$62,0)),0)*IFERROR(INDEX('D Fleet'!$K$5:$K$36,INT(($B176/H$5))+1)+(($B176/H$5)-INT(($B176/H$5)))*(INDEX('D Fleet'!$K$5:$K$36,INT(($B176/H$5))+2)-INDEX('D Fleet'!$K$5:$K$36,INT(($B176/H$5))+1)),0)</f>
        <v/>
      </c>
      <c r="I176" s="276">
        <f>IFERROR(INDEX('D Fleet'!$F$5:$F$62,MATCH(I$3-$B176,'D Fleet'!$B$5:$B$62,0)),0)*IFERROR(INDEX('D Fleet'!$K$5:$K$36,INT(($B176/I$5))+1)+(($B176/I$5)-INT(($B176/I$5)))*(INDEX('D Fleet'!$K$5:$K$36,INT(($B176/I$5))+2)-INDEX('D Fleet'!$K$5:$K$36,INT(($B176/I$5))+1)),0)</f>
        <v/>
      </c>
      <c r="J176" s="276">
        <f>IFERROR(INDEX('D Fleet'!$F$5:$F$62,MATCH(J$3-$B176,'D Fleet'!$B$5:$B$62,0)),0)*IFERROR(INDEX('D Fleet'!$K$5:$K$36,INT(($B176/J$5))+1)+(($B176/J$5)-INT(($B176/J$5)))*(INDEX('D Fleet'!$K$5:$K$36,INT(($B176/J$5))+2)-INDEX('D Fleet'!$K$5:$K$36,INT(($B176/J$5))+1)),0)</f>
        <v/>
      </c>
      <c r="K176" s="276">
        <f>IFERROR(INDEX('D Fleet'!$F$5:$F$62,MATCH(K$3-$B176,'D Fleet'!$B$5:$B$62,0)),0)*IFERROR(INDEX('D Fleet'!$K$5:$K$36,INT(($B176/K$5))+1)+(($B176/K$5)-INT(($B176/K$5)))*(INDEX('D Fleet'!$K$5:$K$36,INT(($B176/K$5))+2)-INDEX('D Fleet'!$K$5:$K$36,INT(($B176/K$5))+1)),0)</f>
        <v/>
      </c>
      <c r="L176" s="276">
        <f>IFERROR(INDEX('D Fleet'!$F$5:$F$62,MATCH(L$3-$B176,'D Fleet'!$B$5:$B$62,0)),0)*IFERROR(INDEX('D Fleet'!$K$5:$K$36,INT(($B176/L$5))+1)+(($B176/L$5)-INT(($B176/L$5)))*(INDEX('D Fleet'!$K$5:$K$36,INT(($B176/L$5))+2)-INDEX('D Fleet'!$K$5:$K$36,INT(($B176/L$5))+1)),0)</f>
        <v/>
      </c>
      <c r="M176" s="276">
        <f>IFERROR(INDEX('D Fleet'!$F$5:$F$62,MATCH(M$3-$B176,'D Fleet'!$B$5:$B$62,0)),0)*IFERROR(INDEX('D Fleet'!$K$5:$K$36,INT(($B176/M$5))+1)+(($B176/M$5)-INT(($B176/M$5)))*(INDEX('D Fleet'!$K$5:$K$36,INT(($B176/M$5))+2)-INDEX('D Fleet'!$K$5:$K$36,INT(($B176/M$5))+1)),0)</f>
        <v/>
      </c>
      <c r="N176" s="276">
        <f>IFERROR(INDEX('D Fleet'!$F$5:$F$62,MATCH(N$3-$B176,'D Fleet'!$B$5:$B$62,0)),0)*IFERROR(INDEX('D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Fleet'!$F$5:$F$62,MATCH(E$3-$B177,'D Fleet'!$B$5:$B$62,0)),0)*IFERROR(INDEX('D Fleet'!$K$5:$K$36,INT(($B177/E$5))+1)+(($B177/E$5)-INT(($B177/E$5)))*(INDEX('D Fleet'!$K$5:$K$36,INT(($B177/E$5))+2)-INDEX('D Fleet'!$K$5:$K$36,INT(($B177/E$5))+1)),0)</f>
        <v/>
      </c>
      <c r="F177" s="276">
        <f>IFERROR(INDEX('D Fleet'!$F$5:$F$62,MATCH(F$3-$B177,'D Fleet'!$B$5:$B$62,0)),0)*IFERROR(INDEX('D Fleet'!$K$5:$K$36,INT(($B177/F$5))+1)+(($B177/F$5)-INT(($B177/F$5)))*(INDEX('D Fleet'!$K$5:$K$36,INT(($B177/F$5))+2)-INDEX('D Fleet'!$K$5:$K$36,INT(($B177/F$5))+1)),0)</f>
        <v/>
      </c>
      <c r="G177" s="276">
        <f>IFERROR(INDEX('D Fleet'!$F$5:$F$62,MATCH(G$3-$B177,'D Fleet'!$B$5:$B$62,0)),0)*IFERROR(INDEX('D Fleet'!$K$5:$K$36,INT(($B177/G$5))+1)+(($B177/G$5)-INT(($B177/G$5)))*(INDEX('D Fleet'!$K$5:$K$36,INT(($B177/G$5))+2)-INDEX('D Fleet'!$K$5:$K$36,INT(($B177/G$5))+1)),0)</f>
        <v/>
      </c>
      <c r="H177" s="276">
        <f>IFERROR(INDEX('D Fleet'!$F$5:$F$62,MATCH(H$3-$B177,'D Fleet'!$B$5:$B$62,0)),0)*IFERROR(INDEX('D Fleet'!$K$5:$K$36,INT(($B177/H$5))+1)+(($B177/H$5)-INT(($B177/H$5)))*(INDEX('D Fleet'!$K$5:$K$36,INT(($B177/H$5))+2)-INDEX('D Fleet'!$K$5:$K$36,INT(($B177/H$5))+1)),0)</f>
        <v/>
      </c>
      <c r="I177" s="276">
        <f>IFERROR(INDEX('D Fleet'!$F$5:$F$62,MATCH(I$3-$B177,'D Fleet'!$B$5:$B$62,0)),0)*IFERROR(INDEX('D Fleet'!$K$5:$K$36,INT(($B177/I$5))+1)+(($B177/I$5)-INT(($B177/I$5)))*(INDEX('D Fleet'!$K$5:$K$36,INT(($B177/I$5))+2)-INDEX('D Fleet'!$K$5:$K$36,INT(($B177/I$5))+1)),0)</f>
        <v/>
      </c>
      <c r="J177" s="276">
        <f>IFERROR(INDEX('D Fleet'!$F$5:$F$62,MATCH(J$3-$B177,'D Fleet'!$B$5:$B$62,0)),0)*IFERROR(INDEX('D Fleet'!$K$5:$K$36,INT(($B177/J$5))+1)+(($B177/J$5)-INT(($B177/J$5)))*(INDEX('D Fleet'!$K$5:$K$36,INT(($B177/J$5))+2)-INDEX('D Fleet'!$K$5:$K$36,INT(($B177/J$5))+1)),0)</f>
        <v/>
      </c>
      <c r="K177" s="276">
        <f>IFERROR(INDEX('D Fleet'!$F$5:$F$62,MATCH(K$3-$B177,'D Fleet'!$B$5:$B$62,0)),0)*IFERROR(INDEX('D Fleet'!$K$5:$K$36,INT(($B177/K$5))+1)+(($B177/K$5)-INT(($B177/K$5)))*(INDEX('D Fleet'!$K$5:$K$36,INT(($B177/K$5))+2)-INDEX('D Fleet'!$K$5:$K$36,INT(($B177/K$5))+1)),0)</f>
        <v/>
      </c>
      <c r="L177" s="276">
        <f>IFERROR(INDEX('D Fleet'!$F$5:$F$62,MATCH(L$3-$B177,'D Fleet'!$B$5:$B$62,0)),0)*IFERROR(INDEX('D Fleet'!$K$5:$K$36,INT(($B177/L$5))+1)+(($B177/L$5)-INT(($B177/L$5)))*(INDEX('D Fleet'!$K$5:$K$36,INT(($B177/L$5))+2)-INDEX('D Fleet'!$K$5:$K$36,INT(($B177/L$5))+1)),0)</f>
        <v/>
      </c>
      <c r="M177" s="276">
        <f>IFERROR(INDEX('D Fleet'!$F$5:$F$62,MATCH(M$3-$B177,'D Fleet'!$B$5:$B$62,0)),0)*IFERROR(INDEX('D Fleet'!$K$5:$K$36,INT(($B177/M$5))+1)+(($B177/M$5)-INT(($B177/M$5)))*(INDEX('D Fleet'!$K$5:$K$36,INT(($B177/M$5))+2)-INDEX('D Fleet'!$K$5:$K$36,INT(($B177/M$5))+1)),0)</f>
        <v/>
      </c>
      <c r="N177" s="276">
        <f>IFERROR(INDEX('D Fleet'!$F$5:$F$62,MATCH(N$3-$B177,'D Fleet'!$B$5:$B$62,0)),0)*IFERROR(INDEX('D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Fleet'!$F$5:$F$62,MATCH(E$3-$B178,'D Fleet'!$B$5:$B$62,0)),0)*IFERROR(INDEX('D Fleet'!$K$5:$K$36,INT(($B178/E$5))+1)+(($B178/E$5)-INT(($B178/E$5)))*(INDEX('D Fleet'!$K$5:$K$36,INT(($B178/E$5))+2)-INDEX('D Fleet'!$K$5:$K$36,INT(($B178/E$5))+1)),0)</f>
        <v/>
      </c>
      <c r="F178" s="276">
        <f>IFERROR(INDEX('D Fleet'!$F$5:$F$62,MATCH(F$3-$B178,'D Fleet'!$B$5:$B$62,0)),0)*IFERROR(INDEX('D Fleet'!$K$5:$K$36,INT(($B178/F$5))+1)+(($B178/F$5)-INT(($B178/F$5)))*(INDEX('D Fleet'!$K$5:$K$36,INT(($B178/F$5))+2)-INDEX('D Fleet'!$K$5:$K$36,INT(($B178/F$5))+1)),0)</f>
        <v/>
      </c>
      <c r="G178" s="276">
        <f>IFERROR(INDEX('D Fleet'!$F$5:$F$62,MATCH(G$3-$B178,'D Fleet'!$B$5:$B$62,0)),0)*IFERROR(INDEX('D Fleet'!$K$5:$K$36,INT(($B178/G$5))+1)+(($B178/G$5)-INT(($B178/G$5)))*(INDEX('D Fleet'!$K$5:$K$36,INT(($B178/G$5))+2)-INDEX('D Fleet'!$K$5:$K$36,INT(($B178/G$5))+1)),0)</f>
        <v/>
      </c>
      <c r="H178" s="276">
        <f>IFERROR(INDEX('D Fleet'!$F$5:$F$62,MATCH(H$3-$B178,'D Fleet'!$B$5:$B$62,0)),0)*IFERROR(INDEX('D Fleet'!$K$5:$K$36,INT(($B178/H$5))+1)+(($B178/H$5)-INT(($B178/H$5)))*(INDEX('D Fleet'!$K$5:$K$36,INT(($B178/H$5))+2)-INDEX('D Fleet'!$K$5:$K$36,INT(($B178/H$5))+1)),0)</f>
        <v/>
      </c>
      <c r="I178" s="276">
        <f>IFERROR(INDEX('D Fleet'!$F$5:$F$62,MATCH(I$3-$B178,'D Fleet'!$B$5:$B$62,0)),0)*IFERROR(INDEX('D Fleet'!$K$5:$K$36,INT(($B178/I$5))+1)+(($B178/I$5)-INT(($B178/I$5)))*(INDEX('D Fleet'!$K$5:$K$36,INT(($B178/I$5))+2)-INDEX('D Fleet'!$K$5:$K$36,INT(($B178/I$5))+1)),0)</f>
        <v/>
      </c>
      <c r="J178" s="276">
        <f>IFERROR(INDEX('D Fleet'!$F$5:$F$62,MATCH(J$3-$B178,'D Fleet'!$B$5:$B$62,0)),0)*IFERROR(INDEX('D Fleet'!$K$5:$K$36,INT(($B178/J$5))+1)+(($B178/J$5)-INT(($B178/J$5)))*(INDEX('D Fleet'!$K$5:$K$36,INT(($B178/J$5))+2)-INDEX('D Fleet'!$K$5:$K$36,INT(($B178/J$5))+1)),0)</f>
        <v/>
      </c>
      <c r="K178" s="276">
        <f>IFERROR(INDEX('D Fleet'!$F$5:$F$62,MATCH(K$3-$B178,'D Fleet'!$B$5:$B$62,0)),0)*IFERROR(INDEX('D Fleet'!$K$5:$K$36,INT(($B178/K$5))+1)+(($B178/K$5)-INT(($B178/K$5)))*(INDEX('D Fleet'!$K$5:$K$36,INT(($B178/K$5))+2)-INDEX('D Fleet'!$K$5:$K$36,INT(($B178/K$5))+1)),0)</f>
        <v/>
      </c>
      <c r="L178" s="276">
        <f>IFERROR(INDEX('D Fleet'!$F$5:$F$62,MATCH(L$3-$B178,'D Fleet'!$B$5:$B$62,0)),0)*IFERROR(INDEX('D Fleet'!$K$5:$K$36,INT(($B178/L$5))+1)+(($B178/L$5)-INT(($B178/L$5)))*(INDEX('D Fleet'!$K$5:$K$36,INT(($B178/L$5))+2)-INDEX('D Fleet'!$K$5:$K$36,INT(($B178/L$5))+1)),0)</f>
        <v/>
      </c>
      <c r="M178" s="276">
        <f>IFERROR(INDEX('D Fleet'!$F$5:$F$62,MATCH(M$3-$B178,'D Fleet'!$B$5:$B$62,0)),0)*IFERROR(INDEX('D Fleet'!$K$5:$K$36,INT(($B178/M$5))+1)+(($B178/M$5)-INT(($B178/M$5)))*(INDEX('D Fleet'!$K$5:$K$36,INT(($B178/M$5))+2)-INDEX('D Fleet'!$K$5:$K$36,INT(($B178/M$5))+1)),0)</f>
        <v/>
      </c>
      <c r="N178" s="276">
        <f>IFERROR(INDEX('D Fleet'!$F$5:$F$62,MATCH(N$3-$B178,'D Fleet'!$B$5:$B$62,0)),0)*IFERROR(INDEX('D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Fleet'!$F$5:$F$62,MATCH(E$3-$B179,'D Fleet'!$B$5:$B$62,0)),0)*IFERROR(INDEX('D Fleet'!$K$5:$K$36,INT(($B179/E$5))+1)+(($B179/E$5)-INT(($B179/E$5)))*(INDEX('D Fleet'!$K$5:$K$36,INT(($B179/E$5))+2)-INDEX('D Fleet'!$K$5:$K$36,INT(($B179/E$5))+1)),0)</f>
        <v/>
      </c>
      <c r="F179" s="276">
        <f>IFERROR(INDEX('D Fleet'!$F$5:$F$62,MATCH(F$3-$B179,'D Fleet'!$B$5:$B$62,0)),0)*IFERROR(INDEX('D Fleet'!$K$5:$K$36,INT(($B179/F$5))+1)+(($B179/F$5)-INT(($B179/F$5)))*(INDEX('D Fleet'!$K$5:$K$36,INT(($B179/F$5))+2)-INDEX('D Fleet'!$K$5:$K$36,INT(($B179/F$5))+1)),0)</f>
        <v/>
      </c>
      <c r="G179" s="276">
        <f>IFERROR(INDEX('D Fleet'!$F$5:$F$62,MATCH(G$3-$B179,'D Fleet'!$B$5:$B$62,0)),0)*IFERROR(INDEX('D Fleet'!$K$5:$K$36,INT(($B179/G$5))+1)+(($B179/G$5)-INT(($B179/G$5)))*(INDEX('D Fleet'!$K$5:$K$36,INT(($B179/G$5))+2)-INDEX('D Fleet'!$K$5:$K$36,INT(($B179/G$5))+1)),0)</f>
        <v/>
      </c>
      <c r="H179" s="276">
        <f>IFERROR(INDEX('D Fleet'!$F$5:$F$62,MATCH(H$3-$B179,'D Fleet'!$B$5:$B$62,0)),0)*IFERROR(INDEX('D Fleet'!$K$5:$K$36,INT(($B179/H$5))+1)+(($B179/H$5)-INT(($B179/H$5)))*(INDEX('D Fleet'!$K$5:$K$36,INT(($B179/H$5))+2)-INDEX('D Fleet'!$K$5:$K$36,INT(($B179/H$5))+1)),0)</f>
        <v/>
      </c>
      <c r="I179" s="276">
        <f>IFERROR(INDEX('D Fleet'!$F$5:$F$62,MATCH(I$3-$B179,'D Fleet'!$B$5:$B$62,0)),0)*IFERROR(INDEX('D Fleet'!$K$5:$K$36,INT(($B179/I$5))+1)+(($B179/I$5)-INT(($B179/I$5)))*(INDEX('D Fleet'!$K$5:$K$36,INT(($B179/I$5))+2)-INDEX('D Fleet'!$K$5:$K$36,INT(($B179/I$5))+1)),0)</f>
        <v/>
      </c>
      <c r="J179" s="276">
        <f>IFERROR(INDEX('D Fleet'!$F$5:$F$62,MATCH(J$3-$B179,'D Fleet'!$B$5:$B$62,0)),0)*IFERROR(INDEX('D Fleet'!$K$5:$K$36,INT(($B179/J$5))+1)+(($B179/J$5)-INT(($B179/J$5)))*(INDEX('D Fleet'!$K$5:$K$36,INT(($B179/J$5))+2)-INDEX('D Fleet'!$K$5:$K$36,INT(($B179/J$5))+1)),0)</f>
        <v/>
      </c>
      <c r="K179" s="276">
        <f>IFERROR(INDEX('D Fleet'!$F$5:$F$62,MATCH(K$3-$B179,'D Fleet'!$B$5:$B$62,0)),0)*IFERROR(INDEX('D Fleet'!$K$5:$K$36,INT(($B179/K$5))+1)+(($B179/K$5)-INT(($B179/K$5)))*(INDEX('D Fleet'!$K$5:$K$36,INT(($B179/K$5))+2)-INDEX('D Fleet'!$K$5:$K$36,INT(($B179/K$5))+1)),0)</f>
        <v/>
      </c>
      <c r="L179" s="276">
        <f>IFERROR(INDEX('D Fleet'!$F$5:$F$62,MATCH(L$3-$B179,'D Fleet'!$B$5:$B$62,0)),0)*IFERROR(INDEX('D Fleet'!$K$5:$K$36,INT(($B179/L$5))+1)+(($B179/L$5)-INT(($B179/L$5)))*(INDEX('D Fleet'!$K$5:$K$36,INT(($B179/L$5))+2)-INDEX('D Fleet'!$K$5:$K$36,INT(($B179/L$5))+1)),0)</f>
        <v/>
      </c>
      <c r="M179" s="276">
        <f>IFERROR(INDEX('D Fleet'!$F$5:$F$62,MATCH(M$3-$B179,'D Fleet'!$B$5:$B$62,0)),0)*IFERROR(INDEX('D Fleet'!$K$5:$K$36,INT(($B179/M$5))+1)+(($B179/M$5)-INT(($B179/M$5)))*(INDEX('D Fleet'!$K$5:$K$36,INT(($B179/M$5))+2)-INDEX('D Fleet'!$K$5:$K$36,INT(($B179/M$5))+1)),0)</f>
        <v/>
      </c>
      <c r="N179" s="276">
        <f>IFERROR(INDEX('D Fleet'!$F$5:$F$62,MATCH(N$3-$B179,'D Fleet'!$B$5:$B$62,0)),0)*IFERROR(INDEX('D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Fleet'!$F$5:$F$62,MATCH(E$3-$B180,'D Fleet'!$B$5:$B$62,0)),0)*IFERROR(INDEX('D Fleet'!$K$5:$K$36,INT(($B180/E$5))+1)+(($B180/E$5)-INT(($B180/E$5)))*(INDEX('D Fleet'!$K$5:$K$36,INT(($B180/E$5))+2)-INDEX('D Fleet'!$K$5:$K$36,INT(($B180/E$5))+1)),0)</f>
        <v/>
      </c>
      <c r="F180" s="276">
        <f>IFERROR(INDEX('D Fleet'!$F$5:$F$62,MATCH(F$3-$B180,'D Fleet'!$B$5:$B$62,0)),0)*IFERROR(INDEX('D Fleet'!$K$5:$K$36,INT(($B180/F$5))+1)+(($B180/F$5)-INT(($B180/F$5)))*(INDEX('D Fleet'!$K$5:$K$36,INT(($B180/F$5))+2)-INDEX('D Fleet'!$K$5:$K$36,INT(($B180/F$5))+1)),0)</f>
        <v/>
      </c>
      <c r="G180" s="276">
        <f>IFERROR(INDEX('D Fleet'!$F$5:$F$62,MATCH(G$3-$B180,'D Fleet'!$B$5:$B$62,0)),0)*IFERROR(INDEX('D Fleet'!$K$5:$K$36,INT(($B180/G$5))+1)+(($B180/G$5)-INT(($B180/G$5)))*(INDEX('D Fleet'!$K$5:$K$36,INT(($B180/G$5))+2)-INDEX('D Fleet'!$K$5:$K$36,INT(($B180/G$5))+1)),0)</f>
        <v/>
      </c>
      <c r="H180" s="276">
        <f>IFERROR(INDEX('D Fleet'!$F$5:$F$62,MATCH(H$3-$B180,'D Fleet'!$B$5:$B$62,0)),0)*IFERROR(INDEX('D Fleet'!$K$5:$K$36,INT(($B180/H$5))+1)+(($B180/H$5)-INT(($B180/H$5)))*(INDEX('D Fleet'!$K$5:$K$36,INT(($B180/H$5))+2)-INDEX('D Fleet'!$K$5:$K$36,INT(($B180/H$5))+1)),0)</f>
        <v/>
      </c>
      <c r="I180" s="276">
        <f>IFERROR(INDEX('D Fleet'!$F$5:$F$62,MATCH(I$3-$B180,'D Fleet'!$B$5:$B$62,0)),0)*IFERROR(INDEX('D Fleet'!$K$5:$K$36,INT(($B180/I$5))+1)+(($B180/I$5)-INT(($B180/I$5)))*(INDEX('D Fleet'!$K$5:$K$36,INT(($B180/I$5))+2)-INDEX('D Fleet'!$K$5:$K$36,INT(($B180/I$5))+1)),0)</f>
        <v/>
      </c>
      <c r="J180" s="276">
        <f>IFERROR(INDEX('D Fleet'!$F$5:$F$62,MATCH(J$3-$B180,'D Fleet'!$B$5:$B$62,0)),0)*IFERROR(INDEX('D Fleet'!$K$5:$K$36,INT(($B180/J$5))+1)+(($B180/J$5)-INT(($B180/J$5)))*(INDEX('D Fleet'!$K$5:$K$36,INT(($B180/J$5))+2)-INDEX('D Fleet'!$K$5:$K$36,INT(($B180/J$5))+1)),0)</f>
        <v/>
      </c>
      <c r="K180" s="276">
        <f>IFERROR(INDEX('D Fleet'!$F$5:$F$62,MATCH(K$3-$B180,'D Fleet'!$B$5:$B$62,0)),0)*IFERROR(INDEX('D Fleet'!$K$5:$K$36,INT(($B180/K$5))+1)+(($B180/K$5)-INT(($B180/K$5)))*(INDEX('D Fleet'!$K$5:$K$36,INT(($B180/K$5))+2)-INDEX('D Fleet'!$K$5:$K$36,INT(($B180/K$5))+1)),0)</f>
        <v/>
      </c>
      <c r="L180" s="276">
        <f>IFERROR(INDEX('D Fleet'!$F$5:$F$62,MATCH(L$3-$B180,'D Fleet'!$B$5:$B$62,0)),0)*IFERROR(INDEX('D Fleet'!$K$5:$K$36,INT(($B180/L$5))+1)+(($B180/L$5)-INT(($B180/L$5)))*(INDEX('D Fleet'!$K$5:$K$36,INT(($B180/L$5))+2)-INDEX('D Fleet'!$K$5:$K$36,INT(($B180/L$5))+1)),0)</f>
        <v/>
      </c>
      <c r="M180" s="276">
        <f>IFERROR(INDEX('D Fleet'!$F$5:$F$62,MATCH(M$3-$B180,'D Fleet'!$B$5:$B$62,0)),0)*IFERROR(INDEX('D Fleet'!$K$5:$K$36,INT(($B180/M$5))+1)+(($B180/M$5)-INT(($B180/M$5)))*(INDEX('D Fleet'!$K$5:$K$36,INT(($B180/M$5))+2)-INDEX('D Fleet'!$K$5:$K$36,INT(($B180/M$5))+1)),0)</f>
        <v/>
      </c>
      <c r="N180" s="276">
        <f>IFERROR(INDEX('D Fleet'!$F$5:$F$62,MATCH(N$3-$B180,'D Fleet'!$B$5:$B$62,0)),0)*IFERROR(INDEX('D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Fleet'!$F$5:$F$62,MATCH(E$3-$B181,'D Fleet'!$B$5:$B$62,0)),0)*IFERROR(INDEX('D Fleet'!$K$5:$K$36,INT(($B181/E$5))+1)+(($B181/E$5)-INT(($B181/E$5)))*(INDEX('D Fleet'!$K$5:$K$36,INT(($B181/E$5))+2)-INDEX('D Fleet'!$K$5:$K$36,INT(($B181/E$5))+1)),0)</f>
        <v/>
      </c>
      <c r="F181" s="276">
        <f>IFERROR(INDEX('D Fleet'!$F$5:$F$62,MATCH(F$3-$B181,'D Fleet'!$B$5:$B$62,0)),0)*IFERROR(INDEX('D Fleet'!$K$5:$K$36,INT(($B181/F$5))+1)+(($B181/F$5)-INT(($B181/F$5)))*(INDEX('D Fleet'!$K$5:$K$36,INT(($B181/F$5))+2)-INDEX('D Fleet'!$K$5:$K$36,INT(($B181/F$5))+1)),0)</f>
        <v/>
      </c>
      <c r="G181" s="276">
        <f>IFERROR(INDEX('D Fleet'!$F$5:$F$62,MATCH(G$3-$B181,'D Fleet'!$B$5:$B$62,0)),0)*IFERROR(INDEX('D Fleet'!$K$5:$K$36,INT(($B181/G$5))+1)+(($B181/G$5)-INT(($B181/G$5)))*(INDEX('D Fleet'!$K$5:$K$36,INT(($B181/G$5))+2)-INDEX('D Fleet'!$K$5:$K$36,INT(($B181/G$5))+1)),0)</f>
        <v/>
      </c>
      <c r="H181" s="276">
        <f>IFERROR(INDEX('D Fleet'!$F$5:$F$62,MATCH(H$3-$B181,'D Fleet'!$B$5:$B$62,0)),0)*IFERROR(INDEX('D Fleet'!$K$5:$K$36,INT(($B181/H$5))+1)+(($B181/H$5)-INT(($B181/H$5)))*(INDEX('D Fleet'!$K$5:$K$36,INT(($B181/H$5))+2)-INDEX('D Fleet'!$K$5:$K$36,INT(($B181/H$5))+1)),0)</f>
        <v/>
      </c>
      <c r="I181" s="276">
        <f>IFERROR(INDEX('D Fleet'!$F$5:$F$62,MATCH(I$3-$B181,'D Fleet'!$B$5:$B$62,0)),0)*IFERROR(INDEX('D Fleet'!$K$5:$K$36,INT(($B181/I$5))+1)+(($B181/I$5)-INT(($B181/I$5)))*(INDEX('D Fleet'!$K$5:$K$36,INT(($B181/I$5))+2)-INDEX('D Fleet'!$K$5:$K$36,INT(($B181/I$5))+1)),0)</f>
        <v/>
      </c>
      <c r="J181" s="276">
        <f>IFERROR(INDEX('D Fleet'!$F$5:$F$62,MATCH(J$3-$B181,'D Fleet'!$B$5:$B$62,0)),0)*IFERROR(INDEX('D Fleet'!$K$5:$K$36,INT(($B181/J$5))+1)+(($B181/J$5)-INT(($B181/J$5)))*(INDEX('D Fleet'!$K$5:$K$36,INT(($B181/J$5))+2)-INDEX('D Fleet'!$K$5:$K$36,INT(($B181/J$5))+1)),0)</f>
        <v/>
      </c>
      <c r="K181" s="276">
        <f>IFERROR(INDEX('D Fleet'!$F$5:$F$62,MATCH(K$3-$B181,'D Fleet'!$B$5:$B$62,0)),0)*IFERROR(INDEX('D Fleet'!$K$5:$K$36,INT(($B181/K$5))+1)+(($B181/K$5)-INT(($B181/K$5)))*(INDEX('D Fleet'!$K$5:$K$36,INT(($B181/K$5))+2)-INDEX('D Fleet'!$K$5:$K$36,INT(($B181/K$5))+1)),0)</f>
        <v/>
      </c>
      <c r="L181" s="276">
        <f>IFERROR(INDEX('D Fleet'!$F$5:$F$62,MATCH(L$3-$B181,'D Fleet'!$B$5:$B$62,0)),0)*IFERROR(INDEX('D Fleet'!$K$5:$K$36,INT(($B181/L$5))+1)+(($B181/L$5)-INT(($B181/L$5)))*(INDEX('D Fleet'!$K$5:$K$36,INT(($B181/L$5))+2)-INDEX('D Fleet'!$K$5:$K$36,INT(($B181/L$5))+1)),0)</f>
        <v/>
      </c>
      <c r="M181" s="276">
        <f>IFERROR(INDEX('D Fleet'!$F$5:$F$62,MATCH(M$3-$B181,'D Fleet'!$B$5:$B$62,0)),0)*IFERROR(INDEX('D Fleet'!$K$5:$K$36,INT(($B181/M$5))+1)+(($B181/M$5)-INT(($B181/M$5)))*(INDEX('D Fleet'!$K$5:$K$36,INT(($B181/M$5))+2)-INDEX('D Fleet'!$K$5:$K$36,INT(($B181/M$5))+1)),0)</f>
        <v/>
      </c>
      <c r="N181" s="276">
        <f>IFERROR(INDEX('D Fleet'!$F$5:$F$62,MATCH(N$3-$B181,'D Fleet'!$B$5:$B$62,0)),0)*IFERROR(INDEX('D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Fleet'!$F$5:$F$62,MATCH(E$3-$B182,'D Fleet'!$B$5:$B$62,0)),0)*IFERROR(INDEX('D Fleet'!$K$5:$K$36,INT(($B182/E$5))+1)+(($B182/E$5)-INT(($B182/E$5)))*(INDEX('D Fleet'!$K$5:$K$36,INT(($B182/E$5))+2)-INDEX('D Fleet'!$K$5:$K$36,INT(($B182/E$5))+1)),0)</f>
        <v/>
      </c>
      <c r="F182" s="276">
        <f>IFERROR(INDEX('D Fleet'!$F$5:$F$62,MATCH(F$3-$B182,'D Fleet'!$B$5:$B$62,0)),0)*IFERROR(INDEX('D Fleet'!$K$5:$K$36,INT(($B182/F$5))+1)+(($B182/F$5)-INT(($B182/F$5)))*(INDEX('D Fleet'!$K$5:$K$36,INT(($B182/F$5))+2)-INDEX('D Fleet'!$K$5:$K$36,INT(($B182/F$5))+1)),0)</f>
        <v/>
      </c>
      <c r="G182" s="276">
        <f>IFERROR(INDEX('D Fleet'!$F$5:$F$62,MATCH(G$3-$B182,'D Fleet'!$B$5:$B$62,0)),0)*IFERROR(INDEX('D Fleet'!$K$5:$K$36,INT(($B182/G$5))+1)+(($B182/G$5)-INT(($B182/G$5)))*(INDEX('D Fleet'!$K$5:$K$36,INT(($B182/G$5))+2)-INDEX('D Fleet'!$K$5:$K$36,INT(($B182/G$5))+1)),0)</f>
        <v/>
      </c>
      <c r="H182" s="276">
        <f>IFERROR(INDEX('D Fleet'!$F$5:$F$62,MATCH(H$3-$B182,'D Fleet'!$B$5:$B$62,0)),0)*IFERROR(INDEX('D Fleet'!$K$5:$K$36,INT(($B182/H$5))+1)+(($B182/H$5)-INT(($B182/H$5)))*(INDEX('D Fleet'!$K$5:$K$36,INT(($B182/H$5))+2)-INDEX('D Fleet'!$K$5:$K$36,INT(($B182/H$5))+1)),0)</f>
        <v/>
      </c>
      <c r="I182" s="276">
        <f>IFERROR(INDEX('D Fleet'!$F$5:$F$62,MATCH(I$3-$B182,'D Fleet'!$B$5:$B$62,0)),0)*IFERROR(INDEX('D Fleet'!$K$5:$K$36,INT(($B182/I$5))+1)+(($B182/I$5)-INT(($B182/I$5)))*(INDEX('D Fleet'!$K$5:$K$36,INT(($B182/I$5))+2)-INDEX('D Fleet'!$K$5:$K$36,INT(($B182/I$5))+1)),0)</f>
        <v/>
      </c>
      <c r="J182" s="276">
        <f>IFERROR(INDEX('D Fleet'!$F$5:$F$62,MATCH(J$3-$B182,'D Fleet'!$B$5:$B$62,0)),0)*IFERROR(INDEX('D Fleet'!$K$5:$K$36,INT(($B182/J$5))+1)+(($B182/J$5)-INT(($B182/J$5)))*(INDEX('D Fleet'!$K$5:$K$36,INT(($B182/J$5))+2)-INDEX('D Fleet'!$K$5:$K$36,INT(($B182/J$5))+1)),0)</f>
        <v/>
      </c>
      <c r="K182" s="276">
        <f>IFERROR(INDEX('D Fleet'!$F$5:$F$62,MATCH(K$3-$B182,'D Fleet'!$B$5:$B$62,0)),0)*IFERROR(INDEX('D Fleet'!$K$5:$K$36,INT(($B182/K$5))+1)+(($B182/K$5)-INT(($B182/K$5)))*(INDEX('D Fleet'!$K$5:$K$36,INT(($B182/K$5))+2)-INDEX('D Fleet'!$K$5:$K$36,INT(($B182/K$5))+1)),0)</f>
        <v/>
      </c>
      <c r="L182" s="276">
        <f>IFERROR(INDEX('D Fleet'!$F$5:$F$62,MATCH(L$3-$B182,'D Fleet'!$B$5:$B$62,0)),0)*IFERROR(INDEX('D Fleet'!$K$5:$K$36,INT(($B182/L$5))+1)+(($B182/L$5)-INT(($B182/L$5)))*(INDEX('D Fleet'!$K$5:$K$36,INT(($B182/L$5))+2)-INDEX('D Fleet'!$K$5:$K$36,INT(($B182/L$5))+1)),0)</f>
        <v/>
      </c>
      <c r="M182" s="276">
        <f>IFERROR(INDEX('D Fleet'!$F$5:$F$62,MATCH(M$3-$B182,'D Fleet'!$B$5:$B$62,0)),0)*IFERROR(INDEX('D Fleet'!$K$5:$K$36,INT(($B182/M$5))+1)+(($B182/M$5)-INT(($B182/M$5)))*(INDEX('D Fleet'!$K$5:$K$36,INT(($B182/M$5))+2)-INDEX('D Fleet'!$K$5:$K$36,INT(($B182/M$5))+1)),0)</f>
        <v/>
      </c>
      <c r="N182" s="276">
        <f>IFERROR(INDEX('D Fleet'!$F$5:$F$62,MATCH(N$3-$B182,'D Fleet'!$B$5:$B$62,0)),0)*IFERROR(INDEX('D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Fleet'!$F$5:$F$62,MATCH(E$3-$B183,'D Fleet'!$B$5:$B$62,0)),0)*IFERROR(INDEX('D Fleet'!$K$5:$K$36,INT(($B183/E$5))+1)+(($B183/E$5)-INT(($B183/E$5)))*(INDEX('D Fleet'!$K$5:$K$36,INT(($B183/E$5))+2)-INDEX('D Fleet'!$K$5:$K$36,INT(($B183/E$5))+1)),0)</f>
        <v/>
      </c>
      <c r="F183" s="276">
        <f>IFERROR(INDEX('D Fleet'!$F$5:$F$62,MATCH(F$3-$B183,'D Fleet'!$B$5:$B$62,0)),0)*IFERROR(INDEX('D Fleet'!$K$5:$K$36,INT(($B183/F$5))+1)+(($B183/F$5)-INT(($B183/F$5)))*(INDEX('D Fleet'!$K$5:$K$36,INT(($B183/F$5))+2)-INDEX('D Fleet'!$K$5:$K$36,INT(($B183/F$5))+1)),0)</f>
        <v/>
      </c>
      <c r="G183" s="276">
        <f>IFERROR(INDEX('D Fleet'!$F$5:$F$62,MATCH(G$3-$B183,'D Fleet'!$B$5:$B$62,0)),0)*IFERROR(INDEX('D Fleet'!$K$5:$K$36,INT(($B183/G$5))+1)+(($B183/G$5)-INT(($B183/G$5)))*(INDEX('D Fleet'!$K$5:$K$36,INT(($B183/G$5))+2)-INDEX('D Fleet'!$K$5:$K$36,INT(($B183/G$5))+1)),0)</f>
        <v/>
      </c>
      <c r="H183" s="276">
        <f>IFERROR(INDEX('D Fleet'!$F$5:$F$62,MATCH(H$3-$B183,'D Fleet'!$B$5:$B$62,0)),0)*IFERROR(INDEX('D Fleet'!$K$5:$K$36,INT(($B183/H$5))+1)+(($B183/H$5)-INT(($B183/H$5)))*(INDEX('D Fleet'!$K$5:$K$36,INT(($B183/H$5))+2)-INDEX('D Fleet'!$K$5:$K$36,INT(($B183/H$5))+1)),0)</f>
        <v/>
      </c>
      <c r="I183" s="276">
        <f>IFERROR(INDEX('D Fleet'!$F$5:$F$62,MATCH(I$3-$B183,'D Fleet'!$B$5:$B$62,0)),0)*IFERROR(INDEX('D Fleet'!$K$5:$K$36,INT(($B183/I$5))+1)+(($B183/I$5)-INT(($B183/I$5)))*(INDEX('D Fleet'!$K$5:$K$36,INT(($B183/I$5))+2)-INDEX('D Fleet'!$K$5:$K$36,INT(($B183/I$5))+1)),0)</f>
        <v/>
      </c>
      <c r="J183" s="276">
        <f>IFERROR(INDEX('D Fleet'!$F$5:$F$62,MATCH(J$3-$B183,'D Fleet'!$B$5:$B$62,0)),0)*IFERROR(INDEX('D Fleet'!$K$5:$K$36,INT(($B183/J$5))+1)+(($B183/J$5)-INT(($B183/J$5)))*(INDEX('D Fleet'!$K$5:$K$36,INT(($B183/J$5))+2)-INDEX('D Fleet'!$K$5:$K$36,INT(($B183/J$5))+1)),0)</f>
        <v/>
      </c>
      <c r="K183" s="276">
        <f>IFERROR(INDEX('D Fleet'!$F$5:$F$62,MATCH(K$3-$B183,'D Fleet'!$B$5:$B$62,0)),0)*IFERROR(INDEX('D Fleet'!$K$5:$K$36,INT(($B183/K$5))+1)+(($B183/K$5)-INT(($B183/K$5)))*(INDEX('D Fleet'!$K$5:$K$36,INT(($B183/K$5))+2)-INDEX('D Fleet'!$K$5:$K$36,INT(($B183/K$5))+1)),0)</f>
        <v/>
      </c>
      <c r="L183" s="276">
        <f>IFERROR(INDEX('D Fleet'!$F$5:$F$62,MATCH(L$3-$B183,'D Fleet'!$B$5:$B$62,0)),0)*IFERROR(INDEX('D Fleet'!$K$5:$K$36,INT(($B183/L$5))+1)+(($B183/L$5)-INT(($B183/L$5)))*(INDEX('D Fleet'!$K$5:$K$36,INT(($B183/L$5))+2)-INDEX('D Fleet'!$K$5:$K$36,INT(($B183/L$5))+1)),0)</f>
        <v/>
      </c>
      <c r="M183" s="276">
        <f>IFERROR(INDEX('D Fleet'!$F$5:$F$62,MATCH(M$3-$B183,'D Fleet'!$B$5:$B$62,0)),0)*IFERROR(INDEX('D Fleet'!$K$5:$K$36,INT(($B183/M$5))+1)+(($B183/M$5)-INT(($B183/M$5)))*(INDEX('D Fleet'!$K$5:$K$36,INT(($B183/M$5))+2)-INDEX('D Fleet'!$K$5:$K$36,INT(($B183/M$5))+1)),0)</f>
        <v/>
      </c>
      <c r="N183" s="276">
        <f>IFERROR(INDEX('D Fleet'!$F$5:$F$62,MATCH(N$3-$B183,'D Fleet'!$B$5:$B$62,0)),0)*IFERROR(INDEX('D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Fleet'!$F$5:$F$62,MATCH(E$3-$B184,'D Fleet'!$B$5:$B$62,0)),0)*IFERROR(INDEX('D Fleet'!$K$5:$K$36,INT(($B184/E$5))+1)+(($B184/E$5)-INT(($B184/E$5)))*(INDEX('D Fleet'!$K$5:$K$36,INT(($B184/E$5))+2)-INDEX('D Fleet'!$K$5:$K$36,INT(($B184/E$5))+1)),0)</f>
        <v/>
      </c>
      <c r="F184" s="276">
        <f>IFERROR(INDEX('D Fleet'!$F$5:$F$62,MATCH(F$3-$B184,'D Fleet'!$B$5:$B$62,0)),0)*IFERROR(INDEX('D Fleet'!$K$5:$K$36,INT(($B184/F$5))+1)+(($B184/F$5)-INT(($B184/F$5)))*(INDEX('D Fleet'!$K$5:$K$36,INT(($B184/F$5))+2)-INDEX('D Fleet'!$K$5:$K$36,INT(($B184/F$5))+1)),0)</f>
        <v/>
      </c>
      <c r="G184" s="276">
        <f>IFERROR(INDEX('D Fleet'!$F$5:$F$62,MATCH(G$3-$B184,'D Fleet'!$B$5:$B$62,0)),0)*IFERROR(INDEX('D Fleet'!$K$5:$K$36,INT(($B184/G$5))+1)+(($B184/G$5)-INT(($B184/G$5)))*(INDEX('D Fleet'!$K$5:$K$36,INT(($B184/G$5))+2)-INDEX('D Fleet'!$K$5:$K$36,INT(($B184/G$5))+1)),0)</f>
        <v/>
      </c>
      <c r="H184" s="276">
        <f>IFERROR(INDEX('D Fleet'!$F$5:$F$62,MATCH(H$3-$B184,'D Fleet'!$B$5:$B$62,0)),0)*IFERROR(INDEX('D Fleet'!$K$5:$K$36,INT(($B184/H$5))+1)+(($B184/H$5)-INT(($B184/H$5)))*(INDEX('D Fleet'!$K$5:$K$36,INT(($B184/H$5))+2)-INDEX('D Fleet'!$K$5:$K$36,INT(($B184/H$5))+1)),0)</f>
        <v/>
      </c>
      <c r="I184" s="276">
        <f>IFERROR(INDEX('D Fleet'!$F$5:$F$62,MATCH(I$3-$B184,'D Fleet'!$B$5:$B$62,0)),0)*IFERROR(INDEX('D Fleet'!$K$5:$K$36,INT(($B184/I$5))+1)+(($B184/I$5)-INT(($B184/I$5)))*(INDEX('D Fleet'!$K$5:$K$36,INT(($B184/I$5))+2)-INDEX('D Fleet'!$K$5:$K$36,INT(($B184/I$5))+1)),0)</f>
        <v/>
      </c>
      <c r="J184" s="276">
        <f>IFERROR(INDEX('D Fleet'!$F$5:$F$62,MATCH(J$3-$B184,'D Fleet'!$B$5:$B$62,0)),0)*IFERROR(INDEX('D Fleet'!$K$5:$K$36,INT(($B184/J$5))+1)+(($B184/J$5)-INT(($B184/J$5)))*(INDEX('D Fleet'!$K$5:$K$36,INT(($B184/J$5))+2)-INDEX('D Fleet'!$K$5:$K$36,INT(($B184/J$5))+1)),0)</f>
        <v/>
      </c>
      <c r="K184" s="276">
        <f>IFERROR(INDEX('D Fleet'!$F$5:$F$62,MATCH(K$3-$B184,'D Fleet'!$B$5:$B$62,0)),0)*IFERROR(INDEX('D Fleet'!$K$5:$K$36,INT(($B184/K$5))+1)+(($B184/K$5)-INT(($B184/K$5)))*(INDEX('D Fleet'!$K$5:$K$36,INT(($B184/K$5))+2)-INDEX('D Fleet'!$K$5:$K$36,INT(($B184/K$5))+1)),0)</f>
        <v/>
      </c>
      <c r="L184" s="276">
        <f>IFERROR(INDEX('D Fleet'!$F$5:$F$62,MATCH(L$3-$B184,'D Fleet'!$B$5:$B$62,0)),0)*IFERROR(INDEX('D Fleet'!$K$5:$K$36,INT(($B184/L$5))+1)+(($B184/L$5)-INT(($B184/L$5)))*(INDEX('D Fleet'!$K$5:$K$36,INT(($B184/L$5))+2)-INDEX('D Fleet'!$K$5:$K$36,INT(($B184/L$5))+1)),0)</f>
        <v/>
      </c>
      <c r="M184" s="276">
        <f>IFERROR(INDEX('D Fleet'!$F$5:$F$62,MATCH(M$3-$B184,'D Fleet'!$B$5:$B$62,0)),0)*IFERROR(INDEX('D Fleet'!$K$5:$K$36,INT(($B184/M$5))+1)+(($B184/M$5)-INT(($B184/M$5)))*(INDEX('D Fleet'!$K$5:$K$36,INT(($B184/M$5))+2)-INDEX('D Fleet'!$K$5:$K$36,INT(($B184/M$5))+1)),0)</f>
        <v/>
      </c>
      <c r="N184" s="276">
        <f>IFERROR(INDEX('D Fleet'!$F$5:$F$62,MATCH(N$3-$B184,'D Fleet'!$B$5:$B$62,0)),0)*IFERROR(INDEX('D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Fleet'!$F$5:$F$62,MATCH(E$3-$B185,'D Fleet'!$B$5:$B$62,0)),0)*IFERROR(INDEX('D Fleet'!$K$5:$K$36,INT(($B185/E$5))+1)+(($B185/E$5)-INT(($B185/E$5)))*(INDEX('D Fleet'!$K$5:$K$36,INT(($B185/E$5))+2)-INDEX('D Fleet'!$K$5:$K$36,INT(($B185/E$5))+1)),0)</f>
        <v/>
      </c>
      <c r="F185" s="276">
        <f>IFERROR(INDEX('D Fleet'!$F$5:$F$62,MATCH(F$3-$B185,'D Fleet'!$B$5:$B$62,0)),0)*IFERROR(INDEX('D Fleet'!$K$5:$K$36,INT(($B185/F$5))+1)+(($B185/F$5)-INT(($B185/F$5)))*(INDEX('D Fleet'!$K$5:$K$36,INT(($B185/F$5))+2)-INDEX('D Fleet'!$K$5:$K$36,INT(($B185/F$5))+1)),0)</f>
        <v/>
      </c>
      <c r="G185" s="276">
        <f>IFERROR(INDEX('D Fleet'!$F$5:$F$62,MATCH(G$3-$B185,'D Fleet'!$B$5:$B$62,0)),0)*IFERROR(INDEX('D Fleet'!$K$5:$K$36,INT(($B185/G$5))+1)+(($B185/G$5)-INT(($B185/G$5)))*(INDEX('D Fleet'!$K$5:$K$36,INT(($B185/G$5))+2)-INDEX('D Fleet'!$K$5:$K$36,INT(($B185/G$5))+1)),0)</f>
        <v/>
      </c>
      <c r="H185" s="276">
        <f>IFERROR(INDEX('D Fleet'!$F$5:$F$62,MATCH(H$3-$B185,'D Fleet'!$B$5:$B$62,0)),0)*IFERROR(INDEX('D Fleet'!$K$5:$K$36,INT(($B185/H$5))+1)+(($B185/H$5)-INT(($B185/H$5)))*(INDEX('D Fleet'!$K$5:$K$36,INT(($B185/H$5))+2)-INDEX('D Fleet'!$K$5:$K$36,INT(($B185/H$5))+1)),0)</f>
        <v/>
      </c>
      <c r="I185" s="276">
        <f>IFERROR(INDEX('D Fleet'!$F$5:$F$62,MATCH(I$3-$B185,'D Fleet'!$B$5:$B$62,0)),0)*IFERROR(INDEX('D Fleet'!$K$5:$K$36,INT(($B185/I$5))+1)+(($B185/I$5)-INT(($B185/I$5)))*(INDEX('D Fleet'!$K$5:$K$36,INT(($B185/I$5))+2)-INDEX('D Fleet'!$K$5:$K$36,INT(($B185/I$5))+1)),0)</f>
        <v/>
      </c>
      <c r="J185" s="276">
        <f>IFERROR(INDEX('D Fleet'!$F$5:$F$62,MATCH(J$3-$B185,'D Fleet'!$B$5:$B$62,0)),0)*IFERROR(INDEX('D Fleet'!$K$5:$K$36,INT(($B185/J$5))+1)+(($B185/J$5)-INT(($B185/J$5)))*(INDEX('D Fleet'!$K$5:$K$36,INT(($B185/J$5))+2)-INDEX('D Fleet'!$K$5:$K$36,INT(($B185/J$5))+1)),0)</f>
        <v/>
      </c>
      <c r="K185" s="276">
        <f>IFERROR(INDEX('D Fleet'!$F$5:$F$62,MATCH(K$3-$B185,'D Fleet'!$B$5:$B$62,0)),0)*IFERROR(INDEX('D Fleet'!$K$5:$K$36,INT(($B185/K$5))+1)+(($B185/K$5)-INT(($B185/K$5)))*(INDEX('D Fleet'!$K$5:$K$36,INT(($B185/K$5))+2)-INDEX('D Fleet'!$K$5:$K$36,INT(($B185/K$5))+1)),0)</f>
        <v/>
      </c>
      <c r="L185" s="276">
        <f>IFERROR(INDEX('D Fleet'!$F$5:$F$62,MATCH(L$3-$B185,'D Fleet'!$B$5:$B$62,0)),0)*IFERROR(INDEX('D Fleet'!$K$5:$K$36,INT(($B185/L$5))+1)+(($B185/L$5)-INT(($B185/L$5)))*(INDEX('D Fleet'!$K$5:$K$36,INT(($B185/L$5))+2)-INDEX('D Fleet'!$K$5:$K$36,INT(($B185/L$5))+1)),0)</f>
        <v/>
      </c>
      <c r="M185" s="276">
        <f>IFERROR(INDEX('D Fleet'!$F$5:$F$62,MATCH(M$3-$B185,'D Fleet'!$B$5:$B$62,0)),0)*IFERROR(INDEX('D Fleet'!$K$5:$K$36,INT(($B185/M$5))+1)+(($B185/M$5)-INT(($B185/M$5)))*(INDEX('D Fleet'!$K$5:$K$36,INT(($B185/M$5))+2)-INDEX('D Fleet'!$K$5:$K$36,INT(($B185/M$5))+1)),0)</f>
        <v/>
      </c>
      <c r="N185" s="276">
        <f>IFERROR(INDEX('D Fleet'!$F$5:$F$62,MATCH(N$3-$B185,'D Fleet'!$B$5:$B$62,0)),0)*IFERROR(INDEX('D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Fleet'!$F$5:$F$62,MATCH(E$3-$B186,'D Fleet'!$B$5:$B$62,0)),0)*IFERROR(INDEX('D Fleet'!$K$5:$K$36,INT(($B186/E$5))+1)+(($B186/E$5)-INT(($B186/E$5)))*(INDEX('D Fleet'!$K$5:$K$36,INT(($B186/E$5))+2)-INDEX('D Fleet'!$K$5:$K$36,INT(($B186/E$5))+1)),0)</f>
        <v/>
      </c>
      <c r="F186" s="276">
        <f>IFERROR(INDEX('D Fleet'!$F$5:$F$62,MATCH(F$3-$B186,'D Fleet'!$B$5:$B$62,0)),0)*IFERROR(INDEX('D Fleet'!$K$5:$K$36,INT(($B186/F$5))+1)+(($B186/F$5)-INT(($B186/F$5)))*(INDEX('D Fleet'!$K$5:$K$36,INT(($B186/F$5))+2)-INDEX('D Fleet'!$K$5:$K$36,INT(($B186/F$5))+1)),0)</f>
        <v/>
      </c>
      <c r="G186" s="276">
        <f>IFERROR(INDEX('D Fleet'!$F$5:$F$62,MATCH(G$3-$B186,'D Fleet'!$B$5:$B$62,0)),0)*IFERROR(INDEX('D Fleet'!$K$5:$K$36,INT(($B186/G$5))+1)+(($B186/G$5)-INT(($B186/G$5)))*(INDEX('D Fleet'!$K$5:$K$36,INT(($B186/G$5))+2)-INDEX('D Fleet'!$K$5:$K$36,INT(($B186/G$5))+1)),0)</f>
        <v/>
      </c>
      <c r="H186" s="276">
        <f>IFERROR(INDEX('D Fleet'!$F$5:$F$62,MATCH(H$3-$B186,'D Fleet'!$B$5:$B$62,0)),0)*IFERROR(INDEX('D Fleet'!$K$5:$K$36,INT(($B186/H$5))+1)+(($B186/H$5)-INT(($B186/H$5)))*(INDEX('D Fleet'!$K$5:$K$36,INT(($B186/H$5))+2)-INDEX('D Fleet'!$K$5:$K$36,INT(($B186/H$5))+1)),0)</f>
        <v/>
      </c>
      <c r="I186" s="276">
        <f>IFERROR(INDEX('D Fleet'!$F$5:$F$62,MATCH(I$3-$B186,'D Fleet'!$B$5:$B$62,0)),0)*IFERROR(INDEX('D Fleet'!$K$5:$K$36,INT(($B186/I$5))+1)+(($B186/I$5)-INT(($B186/I$5)))*(INDEX('D Fleet'!$K$5:$K$36,INT(($B186/I$5))+2)-INDEX('D Fleet'!$K$5:$K$36,INT(($B186/I$5))+1)),0)</f>
        <v/>
      </c>
      <c r="J186" s="276">
        <f>IFERROR(INDEX('D Fleet'!$F$5:$F$62,MATCH(J$3-$B186,'D Fleet'!$B$5:$B$62,0)),0)*IFERROR(INDEX('D Fleet'!$K$5:$K$36,INT(($B186/J$5))+1)+(($B186/J$5)-INT(($B186/J$5)))*(INDEX('D Fleet'!$K$5:$K$36,INT(($B186/J$5))+2)-INDEX('D Fleet'!$K$5:$K$36,INT(($B186/J$5))+1)),0)</f>
        <v/>
      </c>
      <c r="K186" s="276">
        <f>IFERROR(INDEX('D Fleet'!$F$5:$F$62,MATCH(K$3-$B186,'D Fleet'!$B$5:$B$62,0)),0)*IFERROR(INDEX('D Fleet'!$K$5:$K$36,INT(($B186/K$5))+1)+(($B186/K$5)-INT(($B186/K$5)))*(INDEX('D Fleet'!$K$5:$K$36,INT(($B186/K$5))+2)-INDEX('D Fleet'!$K$5:$K$36,INT(($B186/K$5))+1)),0)</f>
        <v/>
      </c>
      <c r="L186" s="276">
        <f>IFERROR(INDEX('D Fleet'!$F$5:$F$62,MATCH(L$3-$B186,'D Fleet'!$B$5:$B$62,0)),0)*IFERROR(INDEX('D Fleet'!$K$5:$K$36,INT(($B186/L$5))+1)+(($B186/L$5)-INT(($B186/L$5)))*(INDEX('D Fleet'!$K$5:$K$36,INT(($B186/L$5))+2)-INDEX('D Fleet'!$K$5:$K$36,INT(($B186/L$5))+1)),0)</f>
        <v/>
      </c>
      <c r="M186" s="276">
        <f>IFERROR(INDEX('D Fleet'!$F$5:$F$62,MATCH(M$3-$B186,'D Fleet'!$B$5:$B$62,0)),0)*IFERROR(INDEX('D Fleet'!$K$5:$K$36,INT(($B186/M$5))+1)+(($B186/M$5)-INT(($B186/M$5)))*(INDEX('D Fleet'!$K$5:$K$36,INT(($B186/M$5))+2)-INDEX('D Fleet'!$K$5:$K$36,INT(($B186/M$5))+1)),0)</f>
        <v/>
      </c>
      <c r="N186" s="276">
        <f>IFERROR(INDEX('D Fleet'!$F$5:$F$62,MATCH(N$3-$B186,'D Fleet'!$B$5:$B$62,0)),0)*IFERROR(INDEX('D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Fleet'!$F$5:$F$62,MATCH(E$3-$B187,'D Fleet'!$B$5:$B$62,0)),0)*IFERROR(INDEX('D Fleet'!$K$5:$K$36,INT(($B187/E$5))+1)+(($B187/E$5)-INT(($B187/E$5)))*(INDEX('D Fleet'!$K$5:$K$36,INT(($B187/E$5))+2)-INDEX('D Fleet'!$K$5:$K$36,INT(($B187/E$5))+1)),0)</f>
        <v/>
      </c>
      <c r="F187" s="276">
        <f>IFERROR(INDEX('D Fleet'!$F$5:$F$62,MATCH(F$3-$B187,'D Fleet'!$B$5:$B$62,0)),0)*IFERROR(INDEX('D Fleet'!$K$5:$K$36,INT(($B187/F$5))+1)+(($B187/F$5)-INT(($B187/F$5)))*(INDEX('D Fleet'!$K$5:$K$36,INT(($B187/F$5))+2)-INDEX('D Fleet'!$K$5:$K$36,INT(($B187/F$5))+1)),0)</f>
        <v/>
      </c>
      <c r="G187" s="276">
        <f>IFERROR(INDEX('D Fleet'!$F$5:$F$62,MATCH(G$3-$B187,'D Fleet'!$B$5:$B$62,0)),0)*IFERROR(INDEX('D Fleet'!$K$5:$K$36,INT(($B187/G$5))+1)+(($B187/G$5)-INT(($B187/G$5)))*(INDEX('D Fleet'!$K$5:$K$36,INT(($B187/G$5))+2)-INDEX('D Fleet'!$K$5:$K$36,INT(($B187/G$5))+1)),0)</f>
        <v/>
      </c>
      <c r="H187" s="276">
        <f>IFERROR(INDEX('D Fleet'!$F$5:$F$62,MATCH(H$3-$B187,'D Fleet'!$B$5:$B$62,0)),0)*IFERROR(INDEX('D Fleet'!$K$5:$K$36,INT(($B187/H$5))+1)+(($B187/H$5)-INT(($B187/H$5)))*(INDEX('D Fleet'!$K$5:$K$36,INT(($B187/H$5))+2)-INDEX('D Fleet'!$K$5:$K$36,INT(($B187/H$5))+1)),0)</f>
        <v/>
      </c>
      <c r="I187" s="276">
        <f>IFERROR(INDEX('D Fleet'!$F$5:$F$62,MATCH(I$3-$B187,'D Fleet'!$B$5:$B$62,0)),0)*IFERROR(INDEX('D Fleet'!$K$5:$K$36,INT(($B187/I$5))+1)+(($B187/I$5)-INT(($B187/I$5)))*(INDEX('D Fleet'!$K$5:$K$36,INT(($B187/I$5))+2)-INDEX('D Fleet'!$K$5:$K$36,INT(($B187/I$5))+1)),0)</f>
        <v/>
      </c>
      <c r="J187" s="276">
        <f>IFERROR(INDEX('D Fleet'!$F$5:$F$62,MATCH(J$3-$B187,'D Fleet'!$B$5:$B$62,0)),0)*IFERROR(INDEX('D Fleet'!$K$5:$K$36,INT(($B187/J$5))+1)+(($B187/J$5)-INT(($B187/J$5)))*(INDEX('D Fleet'!$K$5:$K$36,INT(($B187/J$5))+2)-INDEX('D Fleet'!$K$5:$K$36,INT(($B187/J$5))+1)),0)</f>
        <v/>
      </c>
      <c r="K187" s="276">
        <f>IFERROR(INDEX('D Fleet'!$F$5:$F$62,MATCH(K$3-$B187,'D Fleet'!$B$5:$B$62,0)),0)*IFERROR(INDEX('D Fleet'!$K$5:$K$36,INT(($B187/K$5))+1)+(($B187/K$5)-INT(($B187/K$5)))*(INDEX('D Fleet'!$K$5:$K$36,INT(($B187/K$5))+2)-INDEX('D Fleet'!$K$5:$K$36,INT(($B187/K$5))+1)),0)</f>
        <v/>
      </c>
      <c r="L187" s="276">
        <f>IFERROR(INDEX('D Fleet'!$F$5:$F$62,MATCH(L$3-$B187,'D Fleet'!$B$5:$B$62,0)),0)*IFERROR(INDEX('D Fleet'!$K$5:$K$36,INT(($B187/L$5))+1)+(($B187/L$5)-INT(($B187/L$5)))*(INDEX('D Fleet'!$K$5:$K$36,INT(($B187/L$5))+2)-INDEX('D Fleet'!$K$5:$K$36,INT(($B187/L$5))+1)),0)</f>
        <v/>
      </c>
      <c r="M187" s="276">
        <f>IFERROR(INDEX('D Fleet'!$F$5:$F$62,MATCH(M$3-$B187,'D Fleet'!$B$5:$B$62,0)),0)*IFERROR(INDEX('D Fleet'!$K$5:$K$36,INT(($B187/M$5))+1)+(($B187/M$5)-INT(($B187/M$5)))*(INDEX('D Fleet'!$K$5:$K$36,INT(($B187/M$5))+2)-INDEX('D Fleet'!$K$5:$K$36,INT(($B187/M$5))+1)),0)</f>
        <v/>
      </c>
      <c r="N187" s="276">
        <f>IFERROR(INDEX('D Fleet'!$F$5:$F$62,MATCH(N$3-$B187,'D Fleet'!$B$5:$B$62,0)),0)*IFERROR(INDEX('D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Fleet'!$F$5:$F$62,MATCH(E$3-$B188,'D Fleet'!$B$5:$B$62,0)),0)*IFERROR(INDEX('D Fleet'!$K$5:$K$36,INT(($B188/E$5))+1)+(($B188/E$5)-INT(($B188/E$5)))*(INDEX('D Fleet'!$K$5:$K$36,INT(($B188/E$5))+2)-INDEX('D Fleet'!$K$5:$K$36,INT(($B188/E$5))+1)),0)</f>
        <v/>
      </c>
      <c r="F188" s="276">
        <f>IFERROR(INDEX('D Fleet'!$F$5:$F$62,MATCH(F$3-$B188,'D Fleet'!$B$5:$B$62,0)),0)*IFERROR(INDEX('D Fleet'!$K$5:$K$36,INT(($B188/F$5))+1)+(($B188/F$5)-INT(($B188/F$5)))*(INDEX('D Fleet'!$K$5:$K$36,INT(($B188/F$5))+2)-INDEX('D Fleet'!$K$5:$K$36,INT(($B188/F$5))+1)),0)</f>
        <v/>
      </c>
      <c r="G188" s="276">
        <f>IFERROR(INDEX('D Fleet'!$F$5:$F$62,MATCH(G$3-$B188,'D Fleet'!$B$5:$B$62,0)),0)*IFERROR(INDEX('D Fleet'!$K$5:$K$36,INT(($B188/G$5))+1)+(($B188/G$5)-INT(($B188/G$5)))*(INDEX('D Fleet'!$K$5:$K$36,INT(($B188/G$5))+2)-INDEX('D Fleet'!$K$5:$K$36,INT(($B188/G$5))+1)),0)</f>
        <v/>
      </c>
      <c r="H188" s="276">
        <f>IFERROR(INDEX('D Fleet'!$F$5:$F$62,MATCH(H$3-$B188,'D Fleet'!$B$5:$B$62,0)),0)*IFERROR(INDEX('D Fleet'!$K$5:$K$36,INT(($B188/H$5))+1)+(($B188/H$5)-INT(($B188/H$5)))*(INDEX('D Fleet'!$K$5:$K$36,INT(($B188/H$5))+2)-INDEX('D Fleet'!$K$5:$K$36,INT(($B188/H$5))+1)),0)</f>
        <v/>
      </c>
      <c r="I188" s="276">
        <f>IFERROR(INDEX('D Fleet'!$F$5:$F$62,MATCH(I$3-$B188,'D Fleet'!$B$5:$B$62,0)),0)*IFERROR(INDEX('D Fleet'!$K$5:$K$36,INT(($B188/I$5))+1)+(($B188/I$5)-INT(($B188/I$5)))*(INDEX('D Fleet'!$K$5:$K$36,INT(($B188/I$5))+2)-INDEX('D Fleet'!$K$5:$K$36,INT(($B188/I$5))+1)),0)</f>
        <v/>
      </c>
      <c r="J188" s="276">
        <f>IFERROR(INDEX('D Fleet'!$F$5:$F$62,MATCH(J$3-$B188,'D Fleet'!$B$5:$B$62,0)),0)*IFERROR(INDEX('D Fleet'!$K$5:$K$36,INT(($B188/J$5))+1)+(($B188/J$5)-INT(($B188/J$5)))*(INDEX('D Fleet'!$K$5:$K$36,INT(($B188/J$5))+2)-INDEX('D Fleet'!$K$5:$K$36,INT(($B188/J$5))+1)),0)</f>
        <v/>
      </c>
      <c r="K188" s="276">
        <f>IFERROR(INDEX('D Fleet'!$F$5:$F$62,MATCH(K$3-$B188,'D Fleet'!$B$5:$B$62,0)),0)*IFERROR(INDEX('D Fleet'!$K$5:$K$36,INT(($B188/K$5))+1)+(($B188/K$5)-INT(($B188/K$5)))*(INDEX('D Fleet'!$K$5:$K$36,INT(($B188/K$5))+2)-INDEX('D Fleet'!$K$5:$K$36,INT(($B188/K$5))+1)),0)</f>
        <v/>
      </c>
      <c r="L188" s="276">
        <f>IFERROR(INDEX('D Fleet'!$F$5:$F$62,MATCH(L$3-$B188,'D Fleet'!$B$5:$B$62,0)),0)*IFERROR(INDEX('D Fleet'!$K$5:$K$36,INT(($B188/L$5))+1)+(($B188/L$5)-INT(($B188/L$5)))*(INDEX('D Fleet'!$K$5:$K$36,INT(($B188/L$5))+2)-INDEX('D Fleet'!$K$5:$K$36,INT(($B188/L$5))+1)),0)</f>
        <v/>
      </c>
      <c r="M188" s="276">
        <f>IFERROR(INDEX('D Fleet'!$F$5:$F$62,MATCH(M$3-$B188,'D Fleet'!$B$5:$B$62,0)),0)*IFERROR(INDEX('D Fleet'!$K$5:$K$36,INT(($B188/M$5))+1)+(($B188/M$5)-INT(($B188/M$5)))*(INDEX('D Fleet'!$K$5:$K$36,INT(($B188/M$5))+2)-INDEX('D Fleet'!$K$5:$K$36,INT(($B188/M$5))+1)),0)</f>
        <v/>
      </c>
      <c r="N188" s="276">
        <f>IFERROR(INDEX('D Fleet'!$F$5:$F$62,MATCH(N$3-$B188,'D Fleet'!$B$5:$B$62,0)),0)*IFERROR(INDEX('D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Fleet'!$F$5:$F$62,MATCH(E$3-$B189,'D Fleet'!$B$5:$B$62,0)),0)*IFERROR(INDEX('D Fleet'!$K$5:$K$36,INT(($B189/E$5))+1)+(($B189/E$5)-INT(($B189/E$5)))*(INDEX('D Fleet'!$K$5:$K$36,INT(($B189/E$5))+2)-INDEX('D Fleet'!$K$5:$K$36,INT(($B189/E$5))+1)),0)</f>
        <v/>
      </c>
      <c r="F189" s="276">
        <f>IFERROR(INDEX('D Fleet'!$F$5:$F$62,MATCH(F$3-$B189,'D Fleet'!$B$5:$B$62,0)),0)*IFERROR(INDEX('D Fleet'!$K$5:$K$36,INT(($B189/F$5))+1)+(($B189/F$5)-INT(($B189/F$5)))*(INDEX('D Fleet'!$K$5:$K$36,INT(($B189/F$5))+2)-INDEX('D Fleet'!$K$5:$K$36,INT(($B189/F$5))+1)),0)</f>
        <v/>
      </c>
      <c r="G189" s="276">
        <f>IFERROR(INDEX('D Fleet'!$F$5:$F$62,MATCH(G$3-$B189,'D Fleet'!$B$5:$B$62,0)),0)*IFERROR(INDEX('D Fleet'!$K$5:$K$36,INT(($B189/G$5))+1)+(($B189/G$5)-INT(($B189/G$5)))*(INDEX('D Fleet'!$K$5:$K$36,INT(($B189/G$5))+2)-INDEX('D Fleet'!$K$5:$K$36,INT(($B189/G$5))+1)),0)</f>
        <v/>
      </c>
      <c r="H189" s="276">
        <f>IFERROR(INDEX('D Fleet'!$F$5:$F$62,MATCH(H$3-$B189,'D Fleet'!$B$5:$B$62,0)),0)*IFERROR(INDEX('D Fleet'!$K$5:$K$36,INT(($B189/H$5))+1)+(($B189/H$5)-INT(($B189/H$5)))*(INDEX('D Fleet'!$K$5:$K$36,INT(($B189/H$5))+2)-INDEX('D Fleet'!$K$5:$K$36,INT(($B189/H$5))+1)),0)</f>
        <v/>
      </c>
      <c r="I189" s="276">
        <f>IFERROR(INDEX('D Fleet'!$F$5:$F$62,MATCH(I$3-$B189,'D Fleet'!$B$5:$B$62,0)),0)*IFERROR(INDEX('D Fleet'!$K$5:$K$36,INT(($B189/I$5))+1)+(($B189/I$5)-INT(($B189/I$5)))*(INDEX('D Fleet'!$K$5:$K$36,INT(($B189/I$5))+2)-INDEX('D Fleet'!$K$5:$K$36,INT(($B189/I$5))+1)),0)</f>
        <v/>
      </c>
      <c r="J189" s="276">
        <f>IFERROR(INDEX('D Fleet'!$F$5:$F$62,MATCH(J$3-$B189,'D Fleet'!$B$5:$B$62,0)),0)*IFERROR(INDEX('D Fleet'!$K$5:$K$36,INT(($B189/J$5))+1)+(($B189/J$5)-INT(($B189/J$5)))*(INDEX('D Fleet'!$K$5:$K$36,INT(($B189/J$5))+2)-INDEX('D Fleet'!$K$5:$K$36,INT(($B189/J$5))+1)),0)</f>
        <v/>
      </c>
      <c r="K189" s="276">
        <f>IFERROR(INDEX('D Fleet'!$F$5:$F$62,MATCH(K$3-$B189,'D Fleet'!$B$5:$B$62,0)),0)*IFERROR(INDEX('D Fleet'!$K$5:$K$36,INT(($B189/K$5))+1)+(($B189/K$5)-INT(($B189/K$5)))*(INDEX('D Fleet'!$K$5:$K$36,INT(($B189/K$5))+2)-INDEX('D Fleet'!$K$5:$K$36,INT(($B189/K$5))+1)),0)</f>
        <v/>
      </c>
      <c r="L189" s="276">
        <f>IFERROR(INDEX('D Fleet'!$F$5:$F$62,MATCH(L$3-$B189,'D Fleet'!$B$5:$B$62,0)),0)*IFERROR(INDEX('D Fleet'!$K$5:$K$36,INT(($B189/L$5))+1)+(($B189/L$5)-INT(($B189/L$5)))*(INDEX('D Fleet'!$K$5:$K$36,INT(($B189/L$5))+2)-INDEX('D Fleet'!$K$5:$K$36,INT(($B189/L$5))+1)),0)</f>
        <v/>
      </c>
      <c r="M189" s="276">
        <f>IFERROR(INDEX('D Fleet'!$F$5:$F$62,MATCH(M$3-$B189,'D Fleet'!$B$5:$B$62,0)),0)*IFERROR(INDEX('D Fleet'!$K$5:$K$36,INT(($B189/M$5))+1)+(($B189/M$5)-INT(($B189/M$5)))*(INDEX('D Fleet'!$K$5:$K$36,INT(($B189/M$5))+2)-INDEX('D Fleet'!$K$5:$K$36,INT(($B189/M$5))+1)),0)</f>
        <v/>
      </c>
      <c r="N189" s="276">
        <f>IFERROR(INDEX('D Fleet'!$F$5:$F$62,MATCH(N$3-$B189,'D Fleet'!$B$5:$B$62,0)),0)*IFERROR(INDEX('D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Fleet'!$F$5:$F$62,MATCH(E$3-$B190,'D Fleet'!$B$5:$B$62,0)),0)*IFERROR(INDEX('D Fleet'!$K$5:$K$36,INT(($B190/E$5))+1)+(($B190/E$5)-INT(($B190/E$5)))*(INDEX('D Fleet'!$K$5:$K$36,INT(($B190/E$5))+2)-INDEX('D Fleet'!$K$5:$K$36,INT(($B190/E$5))+1)),0)</f>
        <v/>
      </c>
      <c r="F190" s="276">
        <f>IFERROR(INDEX('D Fleet'!$F$5:$F$62,MATCH(F$3-$B190,'D Fleet'!$B$5:$B$62,0)),0)*IFERROR(INDEX('D Fleet'!$K$5:$K$36,INT(($B190/F$5))+1)+(($B190/F$5)-INT(($B190/F$5)))*(INDEX('D Fleet'!$K$5:$K$36,INT(($B190/F$5))+2)-INDEX('D Fleet'!$K$5:$K$36,INT(($B190/F$5))+1)),0)</f>
        <v/>
      </c>
      <c r="G190" s="276">
        <f>IFERROR(INDEX('D Fleet'!$F$5:$F$62,MATCH(G$3-$B190,'D Fleet'!$B$5:$B$62,0)),0)*IFERROR(INDEX('D Fleet'!$K$5:$K$36,INT(($B190/G$5))+1)+(($B190/G$5)-INT(($B190/G$5)))*(INDEX('D Fleet'!$K$5:$K$36,INT(($B190/G$5))+2)-INDEX('D Fleet'!$K$5:$K$36,INT(($B190/G$5))+1)),0)</f>
        <v/>
      </c>
      <c r="H190" s="276">
        <f>IFERROR(INDEX('D Fleet'!$F$5:$F$62,MATCH(H$3-$B190,'D Fleet'!$B$5:$B$62,0)),0)*IFERROR(INDEX('D Fleet'!$K$5:$K$36,INT(($B190/H$5))+1)+(($B190/H$5)-INT(($B190/H$5)))*(INDEX('D Fleet'!$K$5:$K$36,INT(($B190/H$5))+2)-INDEX('D Fleet'!$K$5:$K$36,INT(($B190/H$5))+1)),0)</f>
        <v/>
      </c>
      <c r="I190" s="276">
        <f>IFERROR(INDEX('D Fleet'!$F$5:$F$62,MATCH(I$3-$B190,'D Fleet'!$B$5:$B$62,0)),0)*IFERROR(INDEX('D Fleet'!$K$5:$K$36,INT(($B190/I$5))+1)+(($B190/I$5)-INT(($B190/I$5)))*(INDEX('D Fleet'!$K$5:$K$36,INT(($B190/I$5))+2)-INDEX('D Fleet'!$K$5:$K$36,INT(($B190/I$5))+1)),0)</f>
        <v/>
      </c>
      <c r="J190" s="276">
        <f>IFERROR(INDEX('D Fleet'!$F$5:$F$62,MATCH(J$3-$B190,'D Fleet'!$B$5:$B$62,0)),0)*IFERROR(INDEX('D Fleet'!$K$5:$K$36,INT(($B190/J$5))+1)+(($B190/J$5)-INT(($B190/J$5)))*(INDEX('D Fleet'!$K$5:$K$36,INT(($B190/J$5))+2)-INDEX('D Fleet'!$K$5:$K$36,INT(($B190/J$5))+1)),0)</f>
        <v/>
      </c>
      <c r="K190" s="276">
        <f>IFERROR(INDEX('D Fleet'!$F$5:$F$62,MATCH(K$3-$B190,'D Fleet'!$B$5:$B$62,0)),0)*IFERROR(INDEX('D Fleet'!$K$5:$K$36,INT(($B190/K$5))+1)+(($B190/K$5)-INT(($B190/K$5)))*(INDEX('D Fleet'!$K$5:$K$36,INT(($B190/K$5))+2)-INDEX('D Fleet'!$K$5:$K$36,INT(($B190/K$5))+1)),0)</f>
        <v/>
      </c>
      <c r="L190" s="276">
        <f>IFERROR(INDEX('D Fleet'!$F$5:$F$62,MATCH(L$3-$B190,'D Fleet'!$B$5:$B$62,0)),0)*IFERROR(INDEX('D Fleet'!$K$5:$K$36,INT(($B190/L$5))+1)+(($B190/L$5)-INT(($B190/L$5)))*(INDEX('D Fleet'!$K$5:$K$36,INT(($B190/L$5))+2)-INDEX('D Fleet'!$K$5:$K$36,INT(($B190/L$5))+1)),0)</f>
        <v/>
      </c>
      <c r="M190" s="276">
        <f>IFERROR(INDEX('D Fleet'!$F$5:$F$62,MATCH(M$3-$B190,'D Fleet'!$B$5:$B$62,0)),0)*IFERROR(INDEX('D Fleet'!$K$5:$K$36,INT(($B190/M$5))+1)+(($B190/M$5)-INT(($B190/M$5)))*(INDEX('D Fleet'!$K$5:$K$36,INT(($B190/M$5))+2)-INDEX('D Fleet'!$K$5:$K$36,INT(($B190/M$5))+1)),0)</f>
        <v/>
      </c>
      <c r="N190" s="276">
        <f>IFERROR(INDEX('D Fleet'!$F$5:$F$62,MATCH(N$3-$B190,'D Fleet'!$B$5:$B$62,0)),0)*IFERROR(INDEX('D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0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3" t="n">
        <v>0</v>
      </c>
      <c r="E7" s="283" t="n">
        <v>0</v>
      </c>
      <c r="F7" s="283" t="n">
        <v>0</v>
      </c>
      <c r="G7" s="283" t="n">
        <v>0</v>
      </c>
      <c r="H7" s="283" t="n">
        <v>0</v>
      </c>
      <c r="I7" s="283" t="n">
        <v>0</v>
      </c>
      <c r="J7" s="283" t="n">
        <v>0</v>
      </c>
      <c r="K7" s="283" t="n">
        <v>0</v>
      </c>
      <c r="L7" s="283" t="n">
        <v>0</v>
      </c>
      <c r="M7" s="283" t="n">
        <v>0</v>
      </c>
      <c r="N7" s="283" t="n">
        <v>0</v>
      </c>
      <c r="O7" s="283" t="n">
        <v>0</v>
      </c>
    </row>
    <row r="8">
      <c r="B8" s="277" t="inlineStr">
        <is>
          <t xml:space="preserve">   weight on CY2024 year-end fleet</t>
        </is>
      </c>
      <c r="C8" s="256" t="inlineStr">
        <is>
          <t>share</t>
        </is>
      </c>
      <c r="D8" s="283" t="n">
        <v>0.291667</v>
      </c>
      <c r="E8" s="283" t="n">
        <v>0.055556</v>
      </c>
      <c r="F8" s="283" t="n">
        <v>0</v>
      </c>
      <c r="G8" s="283" t="n">
        <v>0</v>
      </c>
      <c r="H8" s="283" t="n">
        <v>0</v>
      </c>
      <c r="I8" s="283" t="n">
        <v>0</v>
      </c>
      <c r="J8" s="283" t="n">
        <v>0</v>
      </c>
      <c r="K8" s="283" t="n">
        <v>0</v>
      </c>
      <c r="L8" s="283" t="n">
        <v>0</v>
      </c>
      <c r="M8" s="283" t="n">
        <v>0</v>
      </c>
      <c r="N8" s="283" t="n">
        <v>0</v>
      </c>
      <c r="O8" s="283" t="n">
        <v>0</v>
      </c>
    </row>
    <row r="9">
      <c r="B9" s="277" t="inlineStr">
        <is>
          <t xml:space="preserve">   weight on CY2025 year-end fleet</t>
        </is>
      </c>
      <c r="C9" s="256" t="inlineStr">
        <is>
          <t>share</t>
        </is>
      </c>
      <c r="D9" s="283" t="n">
        <v>0.708333</v>
      </c>
      <c r="E9" s="283" t="n">
        <v>0.930556</v>
      </c>
      <c r="F9" s="283" t="n">
        <v>0.791667</v>
      </c>
      <c r="G9" s="283" t="n">
        <v>0.541667</v>
      </c>
      <c r="H9" s="283" t="n">
        <v>0.291667</v>
      </c>
      <c r="I9" s="283" t="n">
        <v>0.055556</v>
      </c>
      <c r="J9" s="283" t="n">
        <v>0</v>
      </c>
      <c r="K9" s="283" t="n">
        <v>0</v>
      </c>
      <c r="L9" s="283" t="n">
        <v>0</v>
      </c>
      <c r="M9" s="283" t="n">
        <v>0</v>
      </c>
      <c r="N9" s="283" t="n">
        <v>0</v>
      </c>
      <c r="O9" s="283" t="n">
        <v>0</v>
      </c>
    </row>
    <row r="10">
      <c r="B10" s="277" t="inlineStr">
        <is>
          <t xml:space="preserve">   weight on CY2026 year-end fleet</t>
        </is>
      </c>
      <c r="C10" s="256" t="inlineStr">
        <is>
          <t>share</t>
        </is>
      </c>
      <c r="D10" s="283" t="n">
        <v>0</v>
      </c>
      <c r="E10" s="283" t="n">
        <v>0.013889</v>
      </c>
      <c r="F10" s="283" t="n">
        <v>0.208333</v>
      </c>
      <c r="G10" s="283" t="n">
        <v>0.458333</v>
      </c>
      <c r="H10" s="283" t="n">
        <v>0.708333</v>
      </c>
      <c r="I10" s="283" t="n">
        <v>0.930556</v>
      </c>
      <c r="J10" s="283" t="n">
        <v>0.791667</v>
      </c>
      <c r="K10" s="283" t="n">
        <v>0.541667</v>
      </c>
      <c r="L10" s="283" t="n">
        <v>0.291667</v>
      </c>
      <c r="M10" s="283" t="n">
        <v>0.055556</v>
      </c>
      <c r="N10" s="283" t="n">
        <v>0</v>
      </c>
      <c r="O10" s="283" t="n">
        <v>0</v>
      </c>
    </row>
    <row r="11">
      <c r="B11" s="277" t="inlineStr">
        <is>
          <t xml:space="preserve">   weight on CY2027 year-end fleet</t>
        </is>
      </c>
      <c r="C11" s="256" t="inlineStr">
        <is>
          <t>share</t>
        </is>
      </c>
      <c r="D11" s="283" t="n">
        <v>0</v>
      </c>
      <c r="E11" s="283" t="n">
        <v>0</v>
      </c>
      <c r="F11" s="283" t="n">
        <v>0</v>
      </c>
      <c r="G11" s="283" t="n">
        <v>0</v>
      </c>
      <c r="H11" s="283" t="n">
        <v>0</v>
      </c>
      <c r="I11" s="283" t="n">
        <v>0.013889</v>
      </c>
      <c r="J11" s="283" t="n">
        <v>0.208333</v>
      </c>
      <c r="K11" s="283" t="n">
        <v>0.458333</v>
      </c>
      <c r="L11" s="283" t="n">
        <v>0.708333</v>
      </c>
      <c r="M11" s="283" t="n">
        <v>0.930556</v>
      </c>
      <c r="N11" s="283" t="n">
        <v>0.791667</v>
      </c>
      <c r="O11" s="283" t="n">
        <v>0.541667</v>
      </c>
    </row>
    <row r="12">
      <c r="B12" s="277" t="inlineStr">
        <is>
          <t xml:space="preserve">   weight on CY2028 year-end fleet</t>
        </is>
      </c>
      <c r="C12" s="256" t="inlineStr">
        <is>
          <t>share</t>
        </is>
      </c>
      <c r="D12" s="283" t="n">
        <v>0</v>
      </c>
      <c r="E12" s="283" t="n">
        <v>0</v>
      </c>
      <c r="F12" s="283" t="n">
        <v>0</v>
      </c>
      <c r="G12" s="283" t="n">
        <v>0</v>
      </c>
      <c r="H12" s="283" t="n">
        <v>0</v>
      </c>
      <c r="I12" s="283" t="n">
        <v>0</v>
      </c>
      <c r="J12" s="283" t="n">
        <v>0</v>
      </c>
      <c r="K12" s="283" t="n">
        <v>0</v>
      </c>
      <c r="L12" s="283" t="n">
        <v>0</v>
      </c>
      <c r="M12" s="283" t="n">
        <v>0.013889</v>
      </c>
      <c r="N12" s="283" t="n">
        <v>0.208333</v>
      </c>
      <c r="O12" s="283" t="n">
        <v>0.458333</v>
      </c>
    </row>
    <row r="13">
      <c r="B13" s="272" t="inlineStr">
        <is>
          <t xml:space="preserve">   check: weights sum to one</t>
        </is>
      </c>
      <c r="D13" s="284">
        <f>SUM(D7:D12)</f>
        <v/>
      </c>
      <c r="E13" s="284">
        <f>SUM(E7:E12)</f>
        <v/>
      </c>
      <c r="F13" s="284">
        <f>SUM(F7:F12)</f>
        <v/>
      </c>
      <c r="G13" s="284">
        <f>SUM(G7:G12)</f>
        <v/>
      </c>
      <c r="H13" s="284">
        <f>SUM(H7:H12)</f>
        <v/>
      </c>
      <c r="I13" s="284">
        <f>SUM(I7:I12)</f>
        <v/>
      </c>
      <c r="J13" s="284">
        <f>SUM(J7:J12)</f>
        <v/>
      </c>
      <c r="K13" s="284">
        <f>SUM(K7:K12)</f>
        <v/>
      </c>
      <c r="L13" s="284">
        <f>SUM(L7:L12)</f>
        <v/>
      </c>
      <c r="M13" s="284">
        <f>SUM(M7:M12)</f>
        <v/>
      </c>
      <c r="N13" s="284">
        <f>SUM(N7:N12)</f>
        <v/>
      </c>
      <c r="O13" s="284">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5">
        <f>SUM(D32:G32)</f>
        <v/>
      </c>
      <c r="Q32" s="285">
        <f>SUM(H32:K32)</f>
        <v/>
      </c>
      <c r="R32" s="285">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5">
        <f>SUM(D71:G71)</f>
        <v/>
      </c>
      <c r="Q71" s="285">
        <f>SUM(H71:K71)</f>
        <v/>
      </c>
      <c r="R71" s="285">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6">
        <f>H71/D71</f>
        <v/>
      </c>
      <c r="I75" s="286">
        <f>I71/E71</f>
        <v/>
      </c>
      <c r="J75" s="286">
        <f>J71/F71</f>
        <v/>
      </c>
      <c r="K75" s="286">
        <f>K71/G71</f>
        <v/>
      </c>
      <c r="L75" s="286">
        <f>L71/H71</f>
        <v/>
      </c>
      <c r="M75" s="286">
        <f>M71/I71</f>
        <v/>
      </c>
      <c r="N75" s="286">
        <f>N71/J71</f>
        <v/>
      </c>
      <c r="O75" s="286">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73"/>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87">
        <f>'D Carriers'!$F$5</f>
        <v/>
      </c>
      <c r="E6" s="287">
        <f>'D Carriers'!$F$5</f>
        <v/>
      </c>
      <c r="F6" s="287">
        <f>'D Carriers'!$F$5</f>
        <v/>
      </c>
      <c r="G6" s="287">
        <f>'D Carriers'!$F$5</f>
        <v/>
      </c>
      <c r="H6" s="287">
        <f>'D Carriers'!$F$5</f>
        <v/>
      </c>
      <c r="I6" s="287">
        <f>'D Carriers'!$F$5</f>
        <v/>
      </c>
      <c r="J6" s="287">
        <f>'D Carriers'!$F$5</f>
        <v/>
      </c>
      <c r="K6" s="287">
        <f>'D Carriers'!$F$5</f>
        <v/>
      </c>
      <c r="L6" s="287">
        <f>'D Carriers'!$F$5</f>
        <v/>
      </c>
      <c r="M6" s="287">
        <f>'D Carriers'!$F$5</f>
        <v/>
      </c>
      <c r="N6" s="287">
        <f>'D Carriers'!$F$5</f>
        <v/>
      </c>
      <c r="O6" s="287">
        <f>'D Carriers'!$F$5</f>
        <v/>
      </c>
      <c r="S6" s="234" t="inlineStr">
        <is>
          <t>D Carriers (UNVERIFIED premium-share proxy; frozen per carrier test 28 Sep)</t>
        </is>
      </c>
    </row>
    <row r="7">
      <c r="B7" s="238" t="inlineStr">
        <is>
          <t>Progressive</t>
        </is>
      </c>
      <c r="C7" s="256" t="inlineStr">
        <is>
          <t>share</t>
        </is>
      </c>
      <c r="D7" s="287">
        <f>'D Carriers'!$F$6</f>
        <v/>
      </c>
      <c r="E7" s="287">
        <f>'D Carriers'!$F$6</f>
        <v/>
      </c>
      <c r="F7" s="287">
        <f>'D Carriers'!$F$6</f>
        <v/>
      </c>
      <c r="G7" s="287">
        <f>'D Carriers'!$F$6</f>
        <v/>
      </c>
      <c r="H7" s="287">
        <f>'D Carriers'!$F$6</f>
        <v/>
      </c>
      <c r="I7" s="287">
        <f>'D Carriers'!$F$6</f>
        <v/>
      </c>
      <c r="J7" s="287">
        <f>'D Carriers'!$F$6</f>
        <v/>
      </c>
      <c r="K7" s="287">
        <f>'D Carriers'!$F$6</f>
        <v/>
      </c>
      <c r="L7" s="287">
        <f>'D Carriers'!$F$6</f>
        <v/>
      </c>
      <c r="M7" s="287">
        <f>'D Carriers'!$F$6</f>
        <v/>
      </c>
      <c r="N7" s="287">
        <f>'D Carriers'!$F$6</f>
        <v/>
      </c>
      <c r="O7" s="287">
        <f>'D Carriers'!$F$6</f>
        <v/>
      </c>
    </row>
    <row r="8">
      <c r="B8" s="238" t="inlineStr">
        <is>
          <t>GEICO</t>
        </is>
      </c>
      <c r="C8" s="256" t="inlineStr">
        <is>
          <t>share</t>
        </is>
      </c>
      <c r="D8" s="287">
        <f>'D Carriers'!$F$7</f>
        <v/>
      </c>
      <c r="E8" s="287">
        <f>'D Carriers'!$F$7</f>
        <v/>
      </c>
      <c r="F8" s="287">
        <f>'D Carriers'!$F$7</f>
        <v/>
      </c>
      <c r="G8" s="287">
        <f>'D Carriers'!$F$7</f>
        <v/>
      </c>
      <c r="H8" s="287">
        <f>'D Carriers'!$F$7</f>
        <v/>
      </c>
      <c r="I8" s="287">
        <f>'D Carriers'!$F$7</f>
        <v/>
      </c>
      <c r="J8" s="287">
        <f>'D Carriers'!$F$7</f>
        <v/>
      </c>
      <c r="K8" s="287">
        <f>'D Carriers'!$F$7</f>
        <v/>
      </c>
      <c r="L8" s="287">
        <f>'D Carriers'!$F$7</f>
        <v/>
      </c>
      <c r="M8" s="287">
        <f>'D Carriers'!$F$7</f>
        <v/>
      </c>
      <c r="N8" s="287">
        <f>'D Carriers'!$F$7</f>
        <v/>
      </c>
      <c r="O8" s="287">
        <f>'D Carriers'!$F$7</f>
        <v/>
      </c>
    </row>
    <row r="9">
      <c r="B9" s="238" t="inlineStr">
        <is>
          <t>Allstate</t>
        </is>
      </c>
      <c r="C9" s="256" t="inlineStr">
        <is>
          <t>share</t>
        </is>
      </c>
      <c r="D9" s="287">
        <f>'D Carriers'!$F$8</f>
        <v/>
      </c>
      <c r="E9" s="287">
        <f>'D Carriers'!$F$8</f>
        <v/>
      </c>
      <c r="F9" s="287">
        <f>'D Carriers'!$F$8</f>
        <v/>
      </c>
      <c r="G9" s="287">
        <f>'D Carriers'!$F$8</f>
        <v/>
      </c>
      <c r="H9" s="287">
        <f>'D Carriers'!$F$8</f>
        <v/>
      </c>
      <c r="I9" s="287">
        <f>'D Carriers'!$F$8</f>
        <v/>
      </c>
      <c r="J9" s="287">
        <f>'D Carriers'!$F$8</f>
        <v/>
      </c>
      <c r="K9" s="287">
        <f>'D Carriers'!$F$8</f>
        <v/>
      </c>
      <c r="L9" s="287">
        <f>'D Carriers'!$F$8</f>
        <v/>
      </c>
      <c r="M9" s="287">
        <f>'D Carriers'!$F$8</f>
        <v/>
      </c>
      <c r="N9" s="287">
        <f>'D Carriers'!$F$8</f>
        <v/>
      </c>
      <c r="O9" s="287">
        <f>'D Carriers'!$F$8</f>
        <v/>
      </c>
    </row>
    <row r="10">
      <c r="B10" s="238" t="inlineStr">
        <is>
          <t>USAA</t>
        </is>
      </c>
      <c r="C10" s="256" t="inlineStr">
        <is>
          <t>share</t>
        </is>
      </c>
      <c r="D10" s="287">
        <f>'D Carriers'!$F$9</f>
        <v/>
      </c>
      <c r="E10" s="287">
        <f>'D Carriers'!$F$9</f>
        <v/>
      </c>
      <c r="F10" s="287">
        <f>'D Carriers'!$F$9</f>
        <v/>
      </c>
      <c r="G10" s="287">
        <f>'D Carriers'!$F$9</f>
        <v/>
      </c>
      <c r="H10" s="287">
        <f>'D Carriers'!$F$9</f>
        <v/>
      </c>
      <c r="I10" s="287">
        <f>'D Carriers'!$F$9</f>
        <v/>
      </c>
      <c r="J10" s="287">
        <f>'D Carriers'!$F$9</f>
        <v/>
      </c>
      <c r="K10" s="287">
        <f>'D Carriers'!$F$9</f>
        <v/>
      </c>
      <c r="L10" s="287">
        <f>'D Carriers'!$F$9</f>
        <v/>
      </c>
      <c r="M10" s="287">
        <f>'D Carriers'!$F$9</f>
        <v/>
      </c>
      <c r="N10" s="287">
        <f>'D Carriers'!$F$9</f>
        <v/>
      </c>
      <c r="O10" s="287">
        <f>'D Carriers'!$F$9</f>
        <v/>
      </c>
    </row>
    <row r="11">
      <c r="B11" s="238" t="inlineStr">
        <is>
          <t>Farmers</t>
        </is>
      </c>
      <c r="C11" s="256" t="inlineStr">
        <is>
          <t>share</t>
        </is>
      </c>
      <c r="D11" s="287">
        <f>'D Carriers'!$F$10</f>
        <v/>
      </c>
      <c r="E11" s="287">
        <f>'D Carriers'!$F$10</f>
        <v/>
      </c>
      <c r="F11" s="287">
        <f>'D Carriers'!$F$10</f>
        <v/>
      </c>
      <c r="G11" s="287">
        <f>'D Carriers'!$F$10</f>
        <v/>
      </c>
      <c r="H11" s="287">
        <f>'D Carriers'!$F$10</f>
        <v/>
      </c>
      <c r="I11" s="287">
        <f>'D Carriers'!$F$10</f>
        <v/>
      </c>
      <c r="J11" s="287">
        <f>'D Carriers'!$F$10</f>
        <v/>
      </c>
      <c r="K11" s="287">
        <f>'D Carriers'!$F$10</f>
        <v/>
      </c>
      <c r="L11" s="287">
        <f>'D Carriers'!$F$10</f>
        <v/>
      </c>
      <c r="M11" s="287">
        <f>'D Carriers'!$F$10</f>
        <v/>
      </c>
      <c r="N11" s="287">
        <f>'D Carriers'!$F$10</f>
        <v/>
      </c>
      <c r="O11" s="287">
        <f>'D Carriers'!$F$10</f>
        <v/>
      </c>
    </row>
    <row r="12">
      <c r="B12" s="238" t="inlineStr">
        <is>
          <t>Liberty Mutual</t>
        </is>
      </c>
      <c r="C12" s="256" t="inlineStr">
        <is>
          <t>share</t>
        </is>
      </c>
      <c r="D12" s="287">
        <f>'D Carriers'!$F$11</f>
        <v/>
      </c>
      <c r="E12" s="287">
        <f>'D Carriers'!$F$11</f>
        <v/>
      </c>
      <c r="F12" s="287">
        <f>'D Carriers'!$F$11</f>
        <v/>
      </c>
      <c r="G12" s="287">
        <f>'D Carriers'!$F$11</f>
        <v/>
      </c>
      <c r="H12" s="287">
        <f>'D Carriers'!$F$11</f>
        <v/>
      </c>
      <c r="I12" s="287">
        <f>'D Carriers'!$F$11</f>
        <v/>
      </c>
      <c r="J12" s="287">
        <f>'D Carriers'!$F$11</f>
        <v/>
      </c>
      <c r="K12" s="287">
        <f>'D Carriers'!$F$11</f>
        <v/>
      </c>
      <c r="L12" s="287">
        <f>'D Carriers'!$F$11</f>
        <v/>
      </c>
      <c r="M12" s="287">
        <f>'D Carriers'!$F$11</f>
        <v/>
      </c>
      <c r="N12" s="287">
        <f>'D Carriers'!$F$11</f>
        <v/>
      </c>
      <c r="O12" s="287">
        <f>'D Carriers'!$F$11</f>
        <v/>
      </c>
    </row>
    <row r="13">
      <c r="B13" s="238" t="inlineStr">
        <is>
          <t>Travelers</t>
        </is>
      </c>
      <c r="C13" s="256" t="inlineStr">
        <is>
          <t>share</t>
        </is>
      </c>
      <c r="D13" s="287">
        <f>'D Carriers'!$F$12</f>
        <v/>
      </c>
      <c r="E13" s="287">
        <f>'D Carriers'!$F$12</f>
        <v/>
      </c>
      <c r="F13" s="287">
        <f>'D Carriers'!$F$12</f>
        <v/>
      </c>
      <c r="G13" s="287">
        <f>'D Carriers'!$F$12</f>
        <v/>
      </c>
      <c r="H13" s="287">
        <f>'D Carriers'!$F$12</f>
        <v/>
      </c>
      <c r="I13" s="287">
        <f>'D Carriers'!$F$12</f>
        <v/>
      </c>
      <c r="J13" s="287">
        <f>'D Carriers'!$F$12</f>
        <v/>
      </c>
      <c r="K13" s="287">
        <f>'D Carriers'!$F$12</f>
        <v/>
      </c>
      <c r="L13" s="287">
        <f>'D Carriers'!$F$12</f>
        <v/>
      </c>
      <c r="M13" s="287">
        <f>'D Carriers'!$F$12</f>
        <v/>
      </c>
      <c r="N13" s="287">
        <f>'D Carriers'!$F$12</f>
        <v/>
      </c>
      <c r="O13" s="287">
        <f>'D Carriers'!$F$12</f>
        <v/>
      </c>
    </row>
    <row r="14">
      <c r="B14" s="238" t="inlineStr">
        <is>
          <t>Nationwide</t>
        </is>
      </c>
      <c r="C14" s="256" t="inlineStr">
        <is>
          <t>share</t>
        </is>
      </c>
      <c r="D14" s="287">
        <f>'D Carriers'!$F$13</f>
        <v/>
      </c>
      <c r="E14" s="287">
        <f>'D Carriers'!$F$13</f>
        <v/>
      </c>
      <c r="F14" s="287">
        <f>'D Carriers'!$F$13</f>
        <v/>
      </c>
      <c r="G14" s="287">
        <f>'D Carriers'!$F$13</f>
        <v/>
      </c>
      <c r="H14" s="287">
        <f>'D Carriers'!$F$13</f>
        <v/>
      </c>
      <c r="I14" s="287">
        <f>'D Carriers'!$F$13</f>
        <v/>
      </c>
      <c r="J14" s="287">
        <f>'D Carriers'!$F$13</f>
        <v/>
      </c>
      <c r="K14" s="287">
        <f>'D Carriers'!$F$13</f>
        <v/>
      </c>
      <c r="L14" s="287">
        <f>'D Carriers'!$F$13</f>
        <v/>
      </c>
      <c r="M14" s="287">
        <f>'D Carriers'!$F$13</f>
        <v/>
      </c>
      <c r="N14" s="287">
        <f>'D Carriers'!$F$13</f>
        <v/>
      </c>
      <c r="O14" s="287">
        <f>'D Carriers'!$F$13</f>
        <v/>
      </c>
    </row>
    <row r="15">
      <c r="B15" s="238" t="inlineStr">
        <is>
          <t>Other (Erie, AAA, AmFam, regionals)</t>
        </is>
      </c>
      <c r="C15" s="256" t="inlineStr">
        <is>
          <t>share</t>
        </is>
      </c>
      <c r="D15" s="287">
        <f>'D Carriers'!$F$14</f>
        <v/>
      </c>
      <c r="E15" s="287">
        <f>'D Carriers'!$F$14</f>
        <v/>
      </c>
      <c r="F15" s="287">
        <f>'D Carriers'!$F$14</f>
        <v/>
      </c>
      <c r="G15" s="287">
        <f>'D Carriers'!$F$14</f>
        <v/>
      </c>
      <c r="H15" s="287">
        <f>'D Carriers'!$F$14</f>
        <v/>
      </c>
      <c r="I15" s="287">
        <f>'D Carriers'!$F$14</f>
        <v/>
      </c>
      <c r="J15" s="287">
        <f>'D Carriers'!$F$14</f>
        <v/>
      </c>
      <c r="K15" s="287">
        <f>'D Carriers'!$F$14</f>
        <v/>
      </c>
      <c r="L15" s="287">
        <f>'D Carriers'!$F$14</f>
        <v/>
      </c>
      <c r="M15" s="287">
        <f>'D Carriers'!$F$14</f>
        <v/>
      </c>
      <c r="N15" s="287">
        <f>'D Carriers'!$F$14</f>
        <v/>
      </c>
      <c r="O15" s="287">
        <f>'D Carriers'!$F$14</f>
        <v/>
      </c>
    </row>
    <row r="16">
      <c r="B16" s="272" t="inlineStr">
        <is>
          <t xml:space="preserve">   check: weights sum to one</t>
        </is>
      </c>
      <c r="D16" s="284">
        <f>SUM(D6:D15)</f>
        <v/>
      </c>
      <c r="E16" s="284">
        <f>SUM(E6:E15)</f>
        <v/>
      </c>
      <c r="F16" s="284">
        <f>SUM(F6:F15)</f>
        <v/>
      </c>
      <c r="G16" s="284">
        <f>SUM(G6:G15)</f>
        <v/>
      </c>
      <c r="H16" s="284">
        <f>SUM(H6:H15)</f>
        <v/>
      </c>
      <c r="I16" s="284">
        <f>SUM(I6:I15)</f>
        <v/>
      </c>
      <c r="J16" s="284">
        <f>SUM(J6:J15)</f>
        <v/>
      </c>
      <c r="K16" s="284">
        <f>SUM(K6:K15)</f>
        <v/>
      </c>
      <c r="L16" s="284">
        <f>SUM(L6:L15)</f>
        <v/>
      </c>
      <c r="M16" s="284">
        <f>SUM(M6:M15)</f>
        <v/>
      </c>
      <c r="N16" s="284">
        <f>SUM(N6:N15)</f>
        <v/>
      </c>
      <c r="O16" s="284">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2">
        <f>'D Carriers'!$C$18</f>
        <v/>
      </c>
      <c r="E19" s="282">
        <f>'D Carriers'!$D$18</f>
        <v/>
      </c>
      <c r="F19" s="282">
        <f>'D Carriers'!$E$18</f>
        <v/>
      </c>
      <c r="G19" s="282">
        <f>'D Carriers'!$F$18</f>
        <v/>
      </c>
      <c r="H19" s="282">
        <f>'D Carriers'!$F$18</f>
        <v/>
      </c>
      <c r="I19" s="282">
        <f>'D Carriers'!$F$18</f>
        <v/>
      </c>
      <c r="J19" s="282">
        <f>'D Carriers'!$F$18</f>
        <v/>
      </c>
      <c r="K19" s="282">
        <f>'D Carriers'!$F$18</f>
        <v/>
      </c>
      <c r="L19" s="282">
        <f>'D Carriers'!$F$18</f>
        <v/>
      </c>
      <c r="M19" s="282">
        <f>'D Carriers'!$F$18</f>
        <v/>
      </c>
      <c r="N19" s="282">
        <f>'D Carriers'!$F$18</f>
        <v/>
      </c>
      <c r="O19" s="282">
        <f>'D Carriers'!$F$18</f>
        <v/>
      </c>
    </row>
    <row r="20">
      <c r="B20" s="238" t="inlineStr">
        <is>
          <t>Progressive</t>
        </is>
      </c>
      <c r="C20" s="256" t="inlineStr">
        <is>
          <t>share</t>
        </is>
      </c>
      <c r="D20" s="282">
        <f>'D Carriers'!$C$19</f>
        <v/>
      </c>
      <c r="E20" s="282">
        <f>'D Carriers'!$D$19</f>
        <v/>
      </c>
      <c r="F20" s="282">
        <f>'D Carriers'!$E$19</f>
        <v/>
      </c>
      <c r="G20" s="282">
        <f>'D Carriers'!$F$19</f>
        <v/>
      </c>
      <c r="H20" s="282">
        <f>'D Carriers'!$G$19</f>
        <v/>
      </c>
      <c r="I20" s="282">
        <f>'D Carriers'!$H$19</f>
        <v/>
      </c>
      <c r="J20" s="282">
        <f>'D Carriers'!$I$19</f>
        <v/>
      </c>
      <c r="K20" s="282">
        <f>'D Carriers'!$J$19</f>
        <v/>
      </c>
      <c r="L20" s="282">
        <f>'D Carriers'!$J$19</f>
        <v/>
      </c>
      <c r="M20" s="282">
        <f>'D Carriers'!$J$19</f>
        <v/>
      </c>
      <c r="N20" s="282">
        <f>'D Carriers'!$J$19</f>
        <v/>
      </c>
      <c r="O20" s="282">
        <f>'D Carriers'!$J$19</f>
        <v/>
      </c>
      <c r="S20" s="234" t="inlineStr">
        <is>
          <t>Progressive: inherited runoff (FITTED to the FQ4 FY26 print), then flat</t>
        </is>
      </c>
    </row>
    <row r="21">
      <c r="B21" s="238" t="inlineStr">
        <is>
          <t>GEICO</t>
        </is>
      </c>
      <c r="C21" s="256" t="inlineStr">
        <is>
          <t>share</t>
        </is>
      </c>
      <c r="D21" s="282">
        <f>'D Carriers'!$C$20</f>
        <v/>
      </c>
      <c r="E21" s="282">
        <f>'D Carriers'!$D$20</f>
        <v/>
      </c>
      <c r="F21" s="282">
        <f>'D Carriers'!$E$20</f>
        <v/>
      </c>
      <c r="G21" s="282">
        <f>'D Carriers'!$F$20</f>
        <v/>
      </c>
      <c r="H21" s="282">
        <f>'D Carriers'!$F$20</f>
        <v/>
      </c>
      <c r="I21" s="282">
        <f>'D Carriers'!$F$20</f>
        <v/>
      </c>
      <c r="J21" s="282">
        <f>'D Carriers'!$F$20</f>
        <v/>
      </c>
      <c r="K21" s="282">
        <f>'D Carriers'!$F$20</f>
        <v/>
      </c>
      <c r="L21" s="282">
        <f>'D Carriers'!$F$20</f>
        <v/>
      </c>
      <c r="M21" s="282">
        <f>'D Carriers'!$F$20</f>
        <v/>
      </c>
      <c r="N21" s="282">
        <f>'D Carriers'!$F$20</f>
        <v/>
      </c>
      <c r="O21" s="282">
        <f>'D Carriers'!$F$20</f>
        <v/>
      </c>
    </row>
    <row r="22">
      <c r="B22" s="238" t="inlineStr">
        <is>
          <t>Allstate</t>
        </is>
      </c>
      <c r="C22" s="256" t="inlineStr">
        <is>
          <t>share</t>
        </is>
      </c>
      <c r="D22" s="282">
        <f>'D Carriers'!$C$21</f>
        <v/>
      </c>
      <c r="E22" s="282">
        <f>'D Carriers'!$D$21</f>
        <v/>
      </c>
      <c r="F22" s="282">
        <f>'D Carriers'!$E$21</f>
        <v/>
      </c>
      <c r="G22" s="282">
        <f>'D Carriers'!$F$21</f>
        <v/>
      </c>
      <c r="H22" s="282">
        <f>'D Carriers'!$F$21</f>
        <v/>
      </c>
      <c r="I22" s="282">
        <f>'D Carriers'!$F$21</f>
        <v/>
      </c>
      <c r="J22" s="282">
        <f>'D Carriers'!$F$21</f>
        <v/>
      </c>
      <c r="K22" s="282">
        <f>'D Carriers'!$F$21</f>
        <v/>
      </c>
      <c r="L22" s="282">
        <f>'D Carriers'!$F$21</f>
        <v/>
      </c>
      <c r="M22" s="282">
        <f>'D Carriers'!$F$21</f>
        <v/>
      </c>
      <c r="N22" s="282">
        <f>'D Carriers'!$F$21</f>
        <v/>
      </c>
      <c r="O22" s="282">
        <f>'D Carriers'!$F$21</f>
        <v/>
      </c>
    </row>
    <row r="23">
      <c r="B23" s="238" t="inlineStr">
        <is>
          <t>USAA</t>
        </is>
      </c>
      <c r="C23" s="256" t="inlineStr">
        <is>
          <t>share</t>
        </is>
      </c>
      <c r="D23" s="282">
        <f>'D Carriers'!$C$22</f>
        <v/>
      </c>
      <c r="E23" s="282">
        <f>'D Carriers'!$D$22</f>
        <v/>
      </c>
      <c r="F23" s="282">
        <f>'D Carriers'!$E$22</f>
        <v/>
      </c>
      <c r="G23" s="282">
        <f>'D Carriers'!$F$22</f>
        <v/>
      </c>
      <c r="H23" s="282">
        <f>'D Carriers'!$F$22</f>
        <v/>
      </c>
      <c r="I23" s="282">
        <f>'D Carriers'!$F$22</f>
        <v/>
      </c>
      <c r="J23" s="282">
        <f>'D Carriers'!$F$22</f>
        <v/>
      </c>
      <c r="K23" s="282">
        <f>'D Carriers'!$F$22</f>
        <v/>
      </c>
      <c r="L23" s="282">
        <f>'D Carriers'!$F$22</f>
        <v/>
      </c>
      <c r="M23" s="282">
        <f>'D Carriers'!$F$22</f>
        <v/>
      </c>
      <c r="N23" s="282">
        <f>'D Carriers'!$F$22</f>
        <v/>
      </c>
      <c r="O23" s="282">
        <f>'D Carriers'!$F$22</f>
        <v/>
      </c>
    </row>
    <row r="24">
      <c r="B24" s="238" t="inlineStr">
        <is>
          <t>Farmers</t>
        </is>
      </c>
      <c r="C24" s="256" t="inlineStr">
        <is>
          <t>share</t>
        </is>
      </c>
      <c r="D24" s="282">
        <f>'D Carriers'!$C$23</f>
        <v/>
      </c>
      <c r="E24" s="282">
        <f>'D Carriers'!$D$23</f>
        <v/>
      </c>
      <c r="F24" s="282">
        <f>'D Carriers'!$E$23</f>
        <v/>
      </c>
      <c r="G24" s="282">
        <f>'D Carriers'!$F$23</f>
        <v/>
      </c>
      <c r="H24" s="282">
        <f>'D Carriers'!$F$23</f>
        <v/>
      </c>
      <c r="I24" s="282">
        <f>'D Carriers'!$F$23</f>
        <v/>
      </c>
      <c r="J24" s="282">
        <f>'D Carriers'!$F$23</f>
        <v/>
      </c>
      <c r="K24" s="282">
        <f>'D Carriers'!$F$23</f>
        <v/>
      </c>
      <c r="L24" s="282">
        <f>'D Carriers'!$F$23</f>
        <v/>
      </c>
      <c r="M24" s="282">
        <f>'D Carriers'!$F$23</f>
        <v/>
      </c>
      <c r="N24" s="282">
        <f>'D Carriers'!$F$23</f>
        <v/>
      </c>
      <c r="O24" s="282">
        <f>'D Carriers'!$F$23</f>
        <v/>
      </c>
    </row>
    <row r="25">
      <c r="B25" s="238" t="inlineStr">
        <is>
          <t>Liberty Mutual</t>
        </is>
      </c>
      <c r="C25" s="256" t="inlineStr">
        <is>
          <t>share</t>
        </is>
      </c>
      <c r="D25" s="282">
        <f>'D Carriers'!$C$24</f>
        <v/>
      </c>
      <c r="E25" s="282">
        <f>'D Carriers'!$D$24</f>
        <v/>
      </c>
      <c r="F25" s="282">
        <f>'D Carriers'!$E$24</f>
        <v/>
      </c>
      <c r="G25" s="282">
        <f>'D Carriers'!$F$24</f>
        <v/>
      </c>
      <c r="H25" s="282">
        <f>'D Carriers'!$F$24</f>
        <v/>
      </c>
      <c r="I25" s="282">
        <f>'D Carriers'!$F$24</f>
        <v/>
      </c>
      <c r="J25" s="282">
        <f>'D Carriers'!$F$24</f>
        <v/>
      </c>
      <c r="K25" s="282">
        <f>'D Carriers'!$F$24</f>
        <v/>
      </c>
      <c r="L25" s="282">
        <f>'D Carriers'!$F$24</f>
        <v/>
      </c>
      <c r="M25" s="282">
        <f>'D Carriers'!$F$24</f>
        <v/>
      </c>
      <c r="N25" s="282">
        <f>'D Carriers'!$F$24</f>
        <v/>
      </c>
      <c r="O25" s="282">
        <f>'D Carriers'!$F$24</f>
        <v/>
      </c>
    </row>
    <row r="26">
      <c r="B26" s="238" t="inlineStr">
        <is>
          <t>Travelers</t>
        </is>
      </c>
      <c r="C26" s="256" t="inlineStr">
        <is>
          <t>share</t>
        </is>
      </c>
      <c r="D26" s="282">
        <f>'D Carriers'!$C$25</f>
        <v/>
      </c>
      <c r="E26" s="282">
        <f>'D Carriers'!$D$25</f>
        <v/>
      </c>
      <c r="F26" s="282">
        <f>'D Carriers'!$E$25</f>
        <v/>
      </c>
      <c r="G26" s="282">
        <f>'D Carriers'!$F$25</f>
        <v/>
      </c>
      <c r="H26" s="282">
        <f>'D Carriers'!$F$25</f>
        <v/>
      </c>
      <c r="I26" s="282">
        <f>'D Carriers'!$F$25</f>
        <v/>
      </c>
      <c r="J26" s="282">
        <f>'D Carriers'!$F$25</f>
        <v/>
      </c>
      <c r="K26" s="282">
        <f>'D Carriers'!$F$25</f>
        <v/>
      </c>
      <c r="L26" s="282">
        <f>'D Carriers'!$F$25</f>
        <v/>
      </c>
      <c r="M26" s="282">
        <f>'D Carriers'!$F$25</f>
        <v/>
      </c>
      <c r="N26" s="282">
        <f>'D Carriers'!$F$25</f>
        <v/>
      </c>
      <c r="O26" s="282">
        <f>'D Carriers'!$F$25</f>
        <v/>
      </c>
    </row>
    <row r="27">
      <c r="B27" s="238" t="inlineStr">
        <is>
          <t>Nationwide</t>
        </is>
      </c>
      <c r="C27" s="256" t="inlineStr">
        <is>
          <t>share</t>
        </is>
      </c>
      <c r="D27" s="282">
        <f>'D Carriers'!$C$26</f>
        <v/>
      </c>
      <c r="E27" s="282">
        <f>'D Carriers'!$D$26</f>
        <v/>
      </c>
      <c r="F27" s="282">
        <f>'D Carriers'!$E$26</f>
        <v/>
      </c>
      <c r="G27" s="282">
        <f>'D Carriers'!$F$26</f>
        <v/>
      </c>
      <c r="H27" s="282">
        <f>'D Carriers'!$F$26</f>
        <v/>
      </c>
      <c r="I27" s="282">
        <f>'D Carriers'!$F$26</f>
        <v/>
      </c>
      <c r="J27" s="282">
        <f>'D Carriers'!$F$26</f>
        <v/>
      </c>
      <c r="K27" s="282">
        <f>'D Carriers'!$F$26</f>
        <v/>
      </c>
      <c r="L27" s="282">
        <f>'D Carriers'!$F$26</f>
        <v/>
      </c>
      <c r="M27" s="282">
        <f>'D Carriers'!$F$26</f>
        <v/>
      </c>
      <c r="N27" s="282">
        <f>'D Carriers'!$F$26</f>
        <v/>
      </c>
      <c r="O27" s="282">
        <f>'D Carriers'!$F$26</f>
        <v/>
      </c>
    </row>
    <row r="28">
      <c r="B28" s="238" t="inlineStr">
        <is>
          <t>Other (Erie, AAA, AmFam, regionals)</t>
        </is>
      </c>
      <c r="C28" s="256" t="inlineStr">
        <is>
          <t>share</t>
        </is>
      </c>
      <c r="D28" s="282">
        <f>'D Carriers'!$C$27</f>
        <v/>
      </c>
      <c r="E28" s="282">
        <f>'D Carriers'!$D$27</f>
        <v/>
      </c>
      <c r="F28" s="282">
        <f>'D Carriers'!$E$27</f>
        <v/>
      </c>
      <c r="G28" s="282">
        <f>'D Carriers'!$F$27</f>
        <v/>
      </c>
      <c r="H28" s="282">
        <f>'D Carriers'!$F$27</f>
        <v/>
      </c>
      <c r="I28" s="282">
        <f>'D Carriers'!$F$27</f>
        <v/>
      </c>
      <c r="J28" s="282">
        <f>'D Carriers'!$F$27</f>
        <v/>
      </c>
      <c r="K28" s="282">
        <f>'D Carriers'!$F$27</f>
        <v/>
      </c>
      <c r="L28" s="282">
        <f>'D Carriers'!$F$27</f>
        <v/>
      </c>
      <c r="M28" s="282">
        <f>'D Carriers'!$F$27</f>
        <v/>
      </c>
      <c r="N28" s="282">
        <f>'D Carriers'!$F$27</f>
        <v/>
      </c>
      <c r="O28" s="282">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57" t="n">
        <v>0.572</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6">
        <f>H43/D43</f>
        <v/>
      </c>
      <c r="I48" s="286">
        <f>I43/E43</f>
        <v/>
      </c>
      <c r="J48" s="286">
        <f>J43/F43</f>
        <v/>
      </c>
      <c r="K48" s="286">
        <f>K43/G43</f>
        <v/>
      </c>
      <c r="L48" s="286">
        <f>L43/H43</f>
        <v/>
      </c>
      <c r="M48" s="286">
        <f>M43/I43</f>
        <v/>
      </c>
      <c r="N48" s="286">
        <f>N43/J43</f>
        <v/>
      </c>
      <c r="O48" s="286">
        <f>O43/K43</f>
        <v/>
      </c>
    </row>
    <row r="49">
      <c r="B49" s="242" t="inlineStr">
        <is>
          <t>Share ratio to same quarter a year earlier, thesis A  (→ Scenarios)</t>
        </is>
      </c>
      <c r="C49" s="256" t="inlineStr">
        <is>
          <t>x</t>
        </is>
      </c>
      <c r="H49" s="286">
        <f>H44/D43</f>
        <v/>
      </c>
      <c r="I49" s="286">
        <f>I44/E43</f>
        <v/>
      </c>
      <c r="J49" s="286">
        <f>J44/F43</f>
        <v/>
      </c>
      <c r="K49" s="286">
        <f>K44/G43</f>
        <v/>
      </c>
      <c r="L49" s="286">
        <f>L44/H43</f>
        <v/>
      </c>
      <c r="M49" s="286">
        <f>M44/I43</f>
        <v/>
      </c>
      <c r="N49" s="286">
        <f>N44/J43</f>
        <v/>
      </c>
      <c r="O49" s="286">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88">
        <f>D52</f>
        <v/>
      </c>
      <c r="E55" s="288">
        <f>E52</f>
        <v/>
      </c>
      <c r="F55" s="288">
        <f>F52</f>
        <v/>
      </c>
      <c r="G55" s="288">
        <f>G52</f>
        <v/>
      </c>
      <c r="H55" s="288">
        <f>H52</f>
        <v/>
      </c>
      <c r="I55" s="288">
        <f>I52</f>
        <v/>
      </c>
      <c r="J55" s="288">
        <f>J52</f>
        <v/>
      </c>
      <c r="K55" s="288">
        <f>K52</f>
        <v/>
      </c>
      <c r="L55" s="288">
        <f>L52</f>
        <v/>
      </c>
      <c r="M55" s="288">
        <f>M52</f>
        <v/>
      </c>
      <c r="N55" s="288">
        <f>N52</f>
        <v/>
      </c>
      <c r="O55" s="288">
        <f>O52</f>
        <v/>
      </c>
    </row>
    <row r="56">
      <c r="B56" s="242" t="inlineStr">
        <is>
          <t>Effective seller commission rate, thesis A  (→ E5)</t>
        </is>
      </c>
      <c r="C56" s="256" t="inlineStr">
        <is>
          <t>%</t>
        </is>
      </c>
      <c r="D56" s="288">
        <f>D52*(1-D53*D54)</f>
        <v/>
      </c>
      <c r="E56" s="288">
        <f>E52*(1-E53*E54)</f>
        <v/>
      </c>
      <c r="F56" s="288">
        <f>F52*(1-F53*F54)</f>
        <v/>
      </c>
      <c r="G56" s="288">
        <f>G52*(1-G53*G54)</f>
        <v/>
      </c>
      <c r="H56" s="288">
        <f>H52*(1-H53*H54)</f>
        <v/>
      </c>
      <c r="I56" s="288">
        <f>I52*(1-I53*I54)</f>
        <v/>
      </c>
      <c r="J56" s="288">
        <f>J52*(1-J53*J54)</f>
        <v/>
      </c>
      <c r="K56" s="288">
        <f>K52*(1-K53*K54)</f>
        <v/>
      </c>
      <c r="L56" s="288">
        <f>L52*(1-L53*L54)</f>
        <v/>
      </c>
      <c r="M56" s="288">
        <f>M52*(1-M53*M54)</f>
        <v/>
      </c>
      <c r="N56" s="288">
        <f>N52*(1-N53*N54)</f>
        <v/>
      </c>
      <c r="O56" s="288">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row>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0" t="n">
        <v>0.04</v>
      </c>
      <c r="E71" s="234" t="inlineStr">
        <is>
          <t>UNVERIFIED</t>
        </is>
      </c>
      <c r="S71" s="234" t="inlineStr">
        <is>
          <t>Barclays 25 Aug 2026 Figure 1 (licensed, local)</t>
        </is>
      </c>
    </row>
    <row r="72">
      <c r="B72" s="238" t="inlineStr">
        <is>
          <t>Concession, share of commission</t>
        </is>
      </c>
      <c r="D72" s="280" t="n">
        <v>0.2</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75">
        <f>$D$54*0</f>
        <v/>
      </c>
      <c r="E7" s="275">
        <f>$D$54*0</f>
        <v/>
      </c>
      <c r="F7" s="275">
        <f>$D$54*0</f>
        <v/>
      </c>
      <c r="G7" s="275">
        <f>$D$54*0</f>
        <v/>
      </c>
      <c r="H7" s="275">
        <f>$D$54*1</f>
        <v/>
      </c>
      <c r="I7" s="275">
        <f>$D$54*2</f>
        <v/>
      </c>
      <c r="J7" s="275">
        <f>$D$54*3</f>
        <v/>
      </c>
      <c r="K7" s="275">
        <f>$D$54*4</f>
        <v/>
      </c>
      <c r="L7" s="275">
        <f>$D$54*4*$D$56</f>
        <v/>
      </c>
      <c r="M7" s="275">
        <f>$D$54*4*$D$56</f>
        <v/>
      </c>
      <c r="N7" s="275">
        <f>$D$54*4*$D$56</f>
        <v/>
      </c>
      <c r="O7" s="275">
        <f>$D$54*4*$D$56</f>
        <v/>
      </c>
      <c r="S7" s="234" t="inlineStr">
        <is>
          <t>ASSUMED: 1 pt per quarter through FY27 (1 Oct audit path), held in FY28; CCC aftermarket dollar share rose 1.7 pts over 2024–25 on a whole-bill denominator</t>
        </is>
      </c>
    </row>
    <row r="8">
      <c r="B8" s="238" t="inlineStr">
        <is>
          <t>Recycled → aftermarket</t>
        </is>
      </c>
      <c r="C8" s="256" t="inlineStr">
        <is>
          <t>pts</t>
        </is>
      </c>
      <c r="D8" s="283">
        <f>$D$55*0</f>
        <v/>
      </c>
      <c r="E8" s="283">
        <f>$D$55*0</f>
        <v/>
      </c>
      <c r="F8" s="283">
        <f>$D$55*0</f>
        <v/>
      </c>
      <c r="G8" s="283">
        <f>$D$55*0</f>
        <v/>
      </c>
      <c r="H8" s="283">
        <f>$D$55*1</f>
        <v/>
      </c>
      <c r="I8" s="283">
        <f>$D$55*2</f>
        <v/>
      </c>
      <c r="J8" s="283">
        <f>$D$55*3</f>
        <v/>
      </c>
      <c r="K8" s="283">
        <f>$D$55*4</f>
        <v/>
      </c>
      <c r="L8" s="283">
        <f>$D$55*4*$D$56</f>
        <v/>
      </c>
      <c r="M8" s="283">
        <f>$D$55*4*$D$56</f>
        <v/>
      </c>
      <c r="N8" s="283">
        <f>$D$55*4*$D$56</f>
        <v/>
      </c>
      <c r="O8" s="283">
        <f>$D$55*4*$D$56</f>
        <v/>
      </c>
      <c r="S8" s="234" t="inlineStr">
        <is>
          <t>ASSUMED: 0.375 pt per quarter; recycled dollar share actually fell only 0.2 pt 2024–25 (CCC)</t>
        </is>
      </c>
    </row>
    <row r="9"/>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3">
        <f>$D$46*$D$49+$D$47*$D$50+$D$48*$D$51</f>
        <v/>
      </c>
      <c r="E11" s="283">
        <f>$D$46*$D$49+$D$47*$D$50+$D$48*$D$51</f>
        <v/>
      </c>
      <c r="F11" s="283">
        <f>$D$46*$D$49+$D$47*$D$50+$D$48*$D$51</f>
        <v/>
      </c>
      <c r="G11" s="283">
        <f>$D$46*$D$49+$D$47*$D$50+$D$48*$D$51</f>
        <v/>
      </c>
      <c r="H11" s="283">
        <f>$D$46*$D$49+$D$47*$D$50+$D$48*$D$51</f>
        <v/>
      </c>
      <c r="I11" s="283">
        <f>$D$46*$D$49+$D$47*$D$50+$D$48*$D$51</f>
        <v/>
      </c>
      <c r="J11" s="283">
        <f>$D$46*$D$49+$D$47*$D$50+$D$48*$D$51</f>
        <v/>
      </c>
      <c r="K11" s="283">
        <f>$D$46*$D$49+$D$47*$D$50+$D$48*$D$51</f>
        <v/>
      </c>
      <c r="L11" s="283">
        <f>$D$46*$D$49+$D$47*$D$50+$D$48*$D$51</f>
        <v/>
      </c>
      <c r="M11" s="283">
        <f>$D$46*$D$49+$D$47*$D$50+$D$48*$D$51</f>
        <v/>
      </c>
      <c r="N11" s="283">
        <f>$D$46*$D$49+$D$47*$D$50+$D$48*$D$51</f>
        <v/>
      </c>
      <c r="O11" s="283">
        <f>$D$46*$D$49+$D$47*$D$50+$D$48*$D$51</f>
        <v/>
      </c>
    </row>
    <row r="12">
      <c r="B12" s="238" t="inlineStr">
        <is>
          <t>Eligible-basket cost index, after the shift</t>
        </is>
      </c>
      <c r="C12" s="256" t="inlineStr">
        <is>
          <t>x</t>
        </is>
      </c>
      <c r="D12" s="283">
        <f>($D$46-D7)*$D$49+($D$47+D7+D8)*$D$50+($D$48-D8)*$D$51</f>
        <v/>
      </c>
      <c r="E12" s="283">
        <f>($D$46-E7)*$D$49+($D$47+E7+E8)*$D$50+($D$48-E8)*$D$51</f>
        <v/>
      </c>
      <c r="F12" s="283">
        <f>($D$46-F7)*$D$49+($D$47+F7+F8)*$D$50+($D$48-F8)*$D$51</f>
        <v/>
      </c>
      <c r="G12" s="283">
        <f>($D$46-G7)*$D$49+($D$47+G7+G8)*$D$50+($D$48-G8)*$D$51</f>
        <v/>
      </c>
      <c r="H12" s="283">
        <f>($D$46-H7)*$D$49+($D$47+H7+H8)*$D$50+($D$48-H8)*$D$51</f>
        <v/>
      </c>
      <c r="I12" s="283">
        <f>($D$46-I7)*$D$49+($D$47+I7+I8)*$D$50+($D$48-I8)*$D$51</f>
        <v/>
      </c>
      <c r="J12" s="283">
        <f>($D$46-J7)*$D$49+($D$47+J7+J8)*$D$50+($D$48-J8)*$D$51</f>
        <v/>
      </c>
      <c r="K12" s="283">
        <f>($D$46-K7)*$D$49+($D$47+K7+K8)*$D$50+($D$48-K8)*$D$51</f>
        <v/>
      </c>
      <c r="L12" s="283">
        <f>($D$46-L7)*$D$49+($D$47+L7+L8)*$D$50+($D$48-L8)*$D$51</f>
        <v/>
      </c>
      <c r="M12" s="283">
        <f>($D$46-M7)*$D$49+($D$47+M7+M8)*$D$50+($D$48-M8)*$D$51</f>
        <v/>
      </c>
      <c r="N12" s="283">
        <f>($D$46-N7)*$D$49+($D$47+N7+N8)*$D$50+($D$48-N8)*$D$51</f>
        <v/>
      </c>
      <c r="O12" s="283">
        <f>($D$46-O7)*$D$49+($D$47+O7+O8)*$D$50+($D$48-O8)*$D$51</f>
        <v/>
      </c>
    </row>
    <row r="13">
      <c r="B13" s="272" t="inlineStr">
        <is>
          <t xml:space="preserve">   basket relative cost change</t>
        </is>
      </c>
      <c r="C13" s="256" t="inlineStr">
        <is>
          <t>%</t>
        </is>
      </c>
      <c r="D13" s="289">
        <f>D12/D11-1</f>
        <v/>
      </c>
      <c r="E13" s="289">
        <f>E12/E11-1</f>
        <v/>
      </c>
      <c r="F13" s="289">
        <f>F12/F11-1</f>
        <v/>
      </c>
      <c r="G13" s="289">
        <f>G12/G11-1</f>
        <v/>
      </c>
      <c r="H13" s="289">
        <f>H12/H11-1</f>
        <v/>
      </c>
      <c r="I13" s="289">
        <f>I12/I11-1</f>
        <v/>
      </c>
      <c r="J13" s="289">
        <f>J12/J11-1</f>
        <v/>
      </c>
      <c r="K13" s="289">
        <f>K12/K11-1</f>
        <v/>
      </c>
      <c r="L13" s="289">
        <f>L12/L11-1</f>
        <v/>
      </c>
      <c r="M13" s="289">
        <f>M12/M11-1</f>
        <v/>
      </c>
      <c r="N13" s="289">
        <f>N12/N11-1</f>
        <v/>
      </c>
      <c r="O13" s="289">
        <f>O12/O11-1</f>
        <v/>
      </c>
    </row>
    <row r="14">
      <c r="B14" s="242" t="inlineStr">
        <is>
          <t>Complete repair-bill change  (× eligible share e)</t>
        </is>
      </c>
      <c r="C14" s="256" t="inlineStr">
        <is>
          <t>%</t>
        </is>
      </c>
      <c r="D14" s="288">
        <f>$D$45*D13</f>
        <v/>
      </c>
      <c r="E14" s="288">
        <f>$D$45*E13</f>
        <v/>
      </c>
      <c r="F14" s="288">
        <f>$D$45*F13</f>
        <v/>
      </c>
      <c r="G14" s="288">
        <f>$D$45*G13</f>
        <v/>
      </c>
      <c r="H14" s="288">
        <f>$D$45*H13</f>
        <v/>
      </c>
      <c r="I14" s="288">
        <f>$D$45*I13</f>
        <v/>
      </c>
      <c r="J14" s="288">
        <f>$D$45*J13</f>
        <v/>
      </c>
      <c r="K14" s="288">
        <f>$D$45*K13</f>
        <v/>
      </c>
      <c r="L14" s="288">
        <f>$D$45*L13</f>
        <v/>
      </c>
      <c r="M14" s="288">
        <f>$D$45*M13</f>
        <v/>
      </c>
      <c r="N14" s="288">
        <f>$D$45*N13</f>
        <v/>
      </c>
      <c r="O14" s="288">
        <f>$D$45*O13</f>
        <v/>
      </c>
    </row>
    <row r="15">
      <c r="B15" s="242" t="inlineStr">
        <is>
          <t>Change in total-loss units, relative  (η × bill change)</t>
        </is>
      </c>
      <c r="C15" s="256" t="inlineStr">
        <is>
          <t>%</t>
        </is>
      </c>
      <c r="D15" s="288">
        <f>$D$61*D14</f>
        <v/>
      </c>
      <c r="E15" s="288">
        <f>$D$61*E14</f>
        <v/>
      </c>
      <c r="F15" s="288">
        <f>$D$61*F14</f>
        <v/>
      </c>
      <c r="G15" s="288">
        <f>$D$61*G14</f>
        <v/>
      </c>
      <c r="H15" s="288">
        <f>$D$61*H14</f>
        <v/>
      </c>
      <c r="I15" s="288">
        <f>$D$61*I14</f>
        <v/>
      </c>
      <c r="J15" s="288">
        <f>$D$61*J14</f>
        <v/>
      </c>
      <c r="K15" s="288">
        <f>$D$61*K14</f>
        <v/>
      </c>
      <c r="L15" s="288">
        <f>$D$61*L14</f>
        <v/>
      </c>
      <c r="M15" s="288">
        <f>$D$61*M14</f>
        <v/>
      </c>
      <c r="N15" s="288">
        <f>$D$61*N14</f>
        <v/>
      </c>
      <c r="O15" s="288">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0">
        <f>D8/$D$48</f>
        <v/>
      </c>
      <c r="E18" s="290">
        <f>E8/$D$48</f>
        <v/>
      </c>
      <c r="F18" s="290">
        <f>F8/$D$48</f>
        <v/>
      </c>
      <c r="G18" s="290">
        <f>G8/$D$48</f>
        <v/>
      </c>
      <c r="H18" s="290">
        <f>H8/$D$48</f>
        <v/>
      </c>
      <c r="I18" s="290">
        <f>I8/$D$48</f>
        <v/>
      </c>
      <c r="J18" s="290">
        <f>J8/$D$48</f>
        <v/>
      </c>
      <c r="K18" s="290">
        <f>K8/$D$48</f>
        <v/>
      </c>
      <c r="L18" s="290">
        <f>L8/$D$48</f>
        <v/>
      </c>
      <c r="M18" s="290">
        <f>M8/$D$48</f>
        <v/>
      </c>
      <c r="N18" s="290">
        <f>N8/$D$48</f>
        <v/>
      </c>
      <c r="O18" s="290">
        <f>O8/$D$48</f>
        <v/>
      </c>
    </row>
    <row r="19">
      <c r="B19" s="272" t="inlineStr">
        <is>
          <t>Recycler-only bid change  (−τ × κ × x × displacement; reduced form)</t>
        </is>
      </c>
      <c r="C19" s="256" t="inlineStr">
        <is>
          <t>%</t>
        </is>
      </c>
      <c r="D19" s="289">
        <f>-$D$52*$D$53*$D$57*D18</f>
        <v/>
      </c>
      <c r="E19" s="289">
        <f>-$D$52*$D$53*$D$57*E18</f>
        <v/>
      </c>
      <c r="F19" s="289">
        <f>-$D$52*$D$53*$D$57*F18</f>
        <v/>
      </c>
      <c r="G19" s="289">
        <f>-$D$52*$D$53*$D$57*G18</f>
        <v/>
      </c>
      <c r="H19" s="289">
        <f>-$D$52*$D$53*$D$57*H18</f>
        <v/>
      </c>
      <c r="I19" s="289">
        <f>-$D$52*$D$53*$D$57*I18</f>
        <v/>
      </c>
      <c r="J19" s="289">
        <f>-$D$52*$D$53*$D$57*J18</f>
        <v/>
      </c>
      <c r="K19" s="289">
        <f>-$D$52*$D$53*$D$57*K18</f>
        <v/>
      </c>
      <c r="L19" s="289">
        <f>-$D$52*$D$53*$D$57*L18</f>
        <v/>
      </c>
      <c r="M19" s="289">
        <f>-$D$52*$D$53*$D$57*M18</f>
        <v/>
      </c>
      <c r="N19" s="289">
        <f>-$D$52*$D$53*$D$57*N18</f>
        <v/>
      </c>
      <c r="O19" s="289">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1">
        <f>SUMIFS('D Engine'!$D$98:$D$102,'D Engine'!$B$98:$B$102,"ccc_larger_shift")</f>
        <v/>
      </c>
      <c r="E20" s="291">
        <f>SUMIFS('D Engine'!$D$98:$D$102,'D Engine'!$B$98:$B$102,"ccc_larger_shift")</f>
        <v/>
      </c>
      <c r="F20" s="291">
        <f>SUMIFS('D Engine'!$D$98:$D$102,'D Engine'!$B$98:$B$102,"ccc_larger_shift")</f>
        <v/>
      </c>
      <c r="G20" s="291">
        <f>SUMIFS('D Engine'!$D$98:$D$102,'D Engine'!$B$98:$B$102,"ccc_larger_shift")</f>
        <v/>
      </c>
      <c r="H20" s="291">
        <f>SUMIFS('D Engine'!$D$98:$D$102,'D Engine'!$B$98:$B$102,"ccc_larger_shift")</f>
        <v/>
      </c>
      <c r="I20" s="291">
        <f>SUMIFS('D Engine'!$D$98:$D$102,'D Engine'!$B$98:$B$102,"ccc_larger_shift")</f>
        <v/>
      </c>
      <c r="J20" s="291">
        <f>SUMIFS('D Engine'!$D$98:$D$102,'D Engine'!$B$98:$B$102,"ccc_larger_shift")</f>
        <v/>
      </c>
      <c r="K20" s="291">
        <f>SUMIFS('D Engine'!$D$98:$D$102,'D Engine'!$B$98:$B$102,"ccc_larger_shift")</f>
        <v/>
      </c>
      <c r="L20" s="291">
        <f>SUMIFS('D Engine'!$D$98:$D$102,'D Engine'!$B$98:$B$102,"ccc_larger_shift")</f>
        <v/>
      </c>
      <c r="M20" s="291">
        <f>SUMIFS('D Engine'!$D$98:$D$102,'D Engine'!$B$98:$B$102,"ccc_larger_shift")</f>
        <v/>
      </c>
      <c r="N20" s="291">
        <f>SUMIFS('D Engine'!$D$98:$D$102,'D Engine'!$B$98:$B$102,"ccc_larger_shift")</f>
        <v/>
      </c>
      <c r="O20" s="291">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88">
        <f>D20*D18/($D$58/$D$48)</f>
        <v/>
      </c>
      <c r="E21" s="288">
        <f>E20*E18/($D$58/$D$48)</f>
        <v/>
      </c>
      <c r="F21" s="288">
        <f>F20*F18/($D$58/$D$48)</f>
        <v/>
      </c>
      <c r="G21" s="288">
        <f>G20*G18/($D$58/$D$48)</f>
        <v/>
      </c>
      <c r="H21" s="288">
        <f>H20*H18/($D$58/$D$48)</f>
        <v/>
      </c>
      <c r="I21" s="288">
        <f>I20*I18/($D$58/$D$48)</f>
        <v/>
      </c>
      <c r="J21" s="288">
        <f>J20*J18/($D$58/$D$48)</f>
        <v/>
      </c>
      <c r="K21" s="288">
        <f>K20*K18/($D$58/$D$48)</f>
        <v/>
      </c>
      <c r="L21" s="288">
        <f>L20*L18/($D$58/$D$48)</f>
        <v/>
      </c>
      <c r="M21" s="288">
        <f>M20*M18/($D$58/$D$48)</f>
        <v/>
      </c>
      <c r="N21" s="288">
        <f>N20*N18/($D$58/$D$48)</f>
        <v/>
      </c>
      <c r="O21" s="288">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row r="31"/>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88">
        <f>D15</f>
        <v/>
      </c>
      <c r="E40" s="288">
        <f>E15</f>
        <v/>
      </c>
      <c r="F40" s="288">
        <f>F15</f>
        <v/>
      </c>
      <c r="G40" s="288">
        <f>G15</f>
        <v/>
      </c>
      <c r="H40" s="288">
        <f>H15</f>
        <v/>
      </c>
      <c r="I40" s="288">
        <f>I15</f>
        <v/>
      </c>
      <c r="J40" s="288">
        <f>J15</f>
        <v/>
      </c>
      <c r="K40" s="288">
        <f>K15</f>
        <v/>
      </c>
      <c r="L40" s="288">
        <f>L15</f>
        <v/>
      </c>
      <c r="M40" s="288">
        <f>M15</f>
        <v/>
      </c>
      <c r="N40" s="288">
        <f>N15</f>
        <v/>
      </c>
      <c r="O40" s="288">
        <f>O15</f>
        <v/>
      </c>
    </row>
    <row r="41">
      <c r="B41" s="242" t="inlineStr">
        <is>
          <t>Δ auction price, relative  (→ Scenarios ASP)</t>
        </is>
      </c>
      <c r="C41" s="256" t="inlineStr">
        <is>
          <t>%</t>
        </is>
      </c>
      <c r="D41" s="288">
        <f>D21</f>
        <v/>
      </c>
      <c r="E41" s="288">
        <f>E21</f>
        <v/>
      </c>
      <c r="F41" s="288">
        <f>F21</f>
        <v/>
      </c>
      <c r="G41" s="288">
        <f>G21</f>
        <v/>
      </c>
      <c r="H41" s="288">
        <f>H21</f>
        <v/>
      </c>
      <c r="I41" s="288">
        <f>I21</f>
        <v/>
      </c>
      <c r="J41" s="288">
        <f>J21</f>
        <v/>
      </c>
      <c r="K41" s="288">
        <f>K21</f>
        <v/>
      </c>
      <c r="L41" s="288">
        <f>L21</f>
        <v/>
      </c>
      <c r="M41" s="288">
        <f>M21</f>
        <v/>
      </c>
      <c r="N41" s="288">
        <f>N21</f>
        <v/>
      </c>
      <c r="O41" s="288">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eligible-parts share of the repair bill</t>
        </is>
      </c>
      <c r="D45" s="280" t="n">
        <v>0.4</v>
      </c>
      <c r="E45" s="234" t="inlineStr">
        <is>
          <t>ASSUMED</t>
        </is>
      </c>
      <c r="S45" s="234" t="inlineStr">
        <is>
          <t>CCC all-parts spend 36–44% by age is the nearest anchor; not the substitutable share</t>
        </is>
      </c>
    </row>
    <row r="46">
      <c r="B46" s="238" t="inlineStr">
        <is>
          <t>q_OEM: OEM share of the eligible basket</t>
        </is>
      </c>
      <c r="D46" s="280" t="n">
        <v>0.65</v>
      </c>
      <c r="E46" s="234" t="inlineStr">
        <is>
          <t>ASSUMED</t>
        </is>
      </c>
      <c r="S46" s="234" t="inlineStr">
        <is>
          <t>CCC 2025 whole-bill dollar shares: AM 22.7%, recycled 10.5% (different denominator)</t>
        </is>
      </c>
    </row>
    <row r="47">
      <c r="B47" s="238" t="inlineStr">
        <is>
          <t>q_AM: aftermarket share</t>
        </is>
      </c>
      <c r="D47" s="280" t="n">
        <v>0.25</v>
      </c>
      <c r="E47" s="234" t="inlineStr">
        <is>
          <t>ASSUMED</t>
        </is>
      </c>
    </row>
    <row r="48">
      <c r="B48" s="238" t="inlineStr">
        <is>
          <t>q_rec: recycled share</t>
        </is>
      </c>
      <c r="D48" s="280" t="n">
        <v>0.1</v>
      </c>
      <c r="E48" s="234" t="inlineStr">
        <is>
          <t>ASSUMED</t>
        </is>
      </c>
    </row>
    <row r="49">
      <c r="B49" s="238" t="inlineStr">
        <is>
          <t>p_OEM: relative price</t>
        </is>
      </c>
      <c r="D49" s="280" t="n">
        <v>1</v>
      </c>
      <c r="E49" s="234" t="inlineStr">
        <is>
          <t>ASSUMED</t>
        </is>
      </c>
    </row>
    <row r="50">
      <c r="B50" s="238" t="inlineStr">
        <is>
          <t>p_AM: relative price</t>
        </is>
      </c>
      <c r="D50" s="280" t="n">
        <v>0.5</v>
      </c>
      <c r="E50" s="234" t="inlineStr">
        <is>
          <t>ASSUMED</t>
        </is>
      </c>
      <c r="S50" s="234" t="inlineStr">
        <is>
          <t>Mitchell 2016 matched discounts were 23–30% (0.70–0.77); 0.50 is the stress</t>
        </is>
      </c>
    </row>
    <row r="51">
      <c r="B51" s="238" t="inlineStr">
        <is>
          <t>p_rec: relative price</t>
        </is>
      </c>
      <c r="D51" s="280" t="n">
        <v>0.6</v>
      </c>
      <c r="E51" s="234" t="inlineStr">
        <is>
          <t>ASSUMED</t>
        </is>
      </c>
      <c r="S51" s="234" t="inlineStr">
        <is>
          <t>No matched national dataset</t>
        </is>
      </c>
    </row>
    <row r="52">
      <c r="B52" s="238" t="inlineStr">
        <is>
          <t>x: donor contribution exposed to collision-part substitution</t>
        </is>
      </c>
      <c r="D52" s="280" t="n">
        <v>0.25</v>
      </c>
      <c r="E52" s="234" t="inlineStr">
        <is>
          <t>ASSUMED</t>
        </is>
      </c>
      <c r="S52" s="234" t="inlineStr">
        <is>
          <t>No supporting record (FORWARD_ASSUMPTIONS.md)</t>
        </is>
      </c>
    </row>
    <row r="53">
      <c r="B53" s="238" t="inlineStr">
        <is>
          <t>κ: contribution-to-hammer bid ratio</t>
        </is>
      </c>
      <c r="D53" s="280" t="n">
        <v>1.5</v>
      </c>
      <c r="E53" s="234" t="inlineStr">
        <is>
          <t>ASSUMED</t>
        </is>
      </c>
      <c r="S53" s="234" t="inlineStr">
        <is>
          <t>Sturgeon 2018 margins make the scale interpretable, not the value</t>
        </is>
      </c>
    </row>
    <row r="54">
      <c r="B54" s="238" t="inlineStr">
        <is>
          <t>OEM → aftermarket shift per quarter through FY27 (points)</t>
        </is>
      </c>
      <c r="D54" s="280" t="n">
        <v>0.01</v>
      </c>
      <c r="E54" s="234" t="inlineStr">
        <is>
          <t>ASSUMED</t>
        </is>
      </c>
      <c r="S54" s="234" t="inlineStr">
        <is>
          <t>model/thesis_audit_2026-10-01/assumptions.json</t>
        </is>
      </c>
    </row>
    <row r="55">
      <c r="B55" s="238" t="inlineStr">
        <is>
          <t>Recycled → aftermarket shift per quarter (points)</t>
        </is>
      </c>
      <c r="D55" s="280" t="n">
        <v>0.00375</v>
      </c>
      <c r="E55" s="234" t="inlineStr">
        <is>
          <t>ASSUMED</t>
        </is>
      </c>
      <c r="S55" s="234" t="inlineStr">
        <is>
          <t>same</t>
        </is>
      </c>
    </row>
    <row r="56">
      <c r="B56" s="238" t="inlineStr">
        <is>
          <t>Hold FY27 endpoint through FY28 (1) or revert to zero (0)</t>
        </is>
      </c>
      <c r="D56" s="243" t="n">
        <v>1</v>
      </c>
      <c r="E56" s="234" t="inlineStr">
        <is>
          <t>TOGGLE</t>
        </is>
      </c>
    </row>
    <row r="57">
      <c r="B57" s="238" t="inlineStr">
        <is>
          <t>τ: recycler bid transmission to the marginal price</t>
        </is>
      </c>
      <c r="D57" s="280" t="n">
        <v>0.5</v>
      </c>
      <c r="E57" s="234" t="inlineStr">
        <is>
          <t>ASSUMED</t>
        </is>
      </c>
      <c r="S57" s="234" t="inlineStr">
        <is>
          <t>The 10% case removes most of the price effect (AUDIT.md)</t>
        </is>
      </c>
    </row>
    <row r="58">
      <c r="B58" s="238" t="inlineStr">
        <is>
          <t>Endpoint recycled displacement used by the engine (points)</t>
        </is>
      </c>
      <c r="D58" s="280" t="n">
        <v>0.015</v>
      </c>
      <c r="E58" s="234" t="inlineStr">
        <is>
          <t>ASSUMED</t>
        </is>
      </c>
      <c r="S58" s="234" t="inlineStr">
        <is>
          <t>ccc_larger_shift case</t>
        </is>
      </c>
    </row>
    <row r="61">
      <c r="B61" s="238" t="inlineStr">
        <is>
          <t>η: selection response, Δ units per unit of bill change (ENGINE-derived: ccc_larger_shift unit delta ÷ repair change)</t>
        </is>
      </c>
      <c r="D61" s="292">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293">
        <f>$D$40*$D$41+$D$42*$D$43</f>
        <v/>
      </c>
      <c r="E9" s="293">
        <f>$D$40*$D$41+$D$42*$D$43</f>
        <v/>
      </c>
      <c r="F9" s="293">
        <f>$D$40*$D$41+$D$42*$D$43</f>
        <v/>
      </c>
      <c r="G9" s="293">
        <f>$D$40*$D$41+$D$42*$D$43</f>
        <v/>
      </c>
      <c r="S9" s="234" t="inlineStr">
        <is>
          <t>ASSUMED 50% × $50 + 10% × $300 = $55; undisclosed products</t>
        </is>
      </c>
    </row>
    <row r="10">
      <c r="B10" s="238" t="inlineStr">
        <is>
          <t>Core RPU at the FY26 price level</t>
        </is>
      </c>
      <c r="C10" s="256" t="inlineStr">
        <is>
          <t>$</t>
        </is>
      </c>
      <c r="D10" s="294">
        <f>D23</f>
        <v/>
      </c>
      <c r="E10" s="294">
        <f>E23</f>
        <v/>
      </c>
      <c r="F10" s="294">
        <f>F23</f>
        <v/>
      </c>
      <c r="G10" s="294">
        <f>G23</f>
        <v/>
      </c>
    </row>
    <row r="11">
      <c r="B11" s="242" t="inlineStr">
        <is>
          <t>Implied US insurance units</t>
        </is>
      </c>
      <c r="C11" s="256" t="inlineStr">
        <is>
          <t>000s</t>
        </is>
      </c>
      <c r="D11" s="285">
        <f>D8*1000/(D10+D9)</f>
        <v/>
      </c>
      <c r="E11" s="285">
        <f>E8*1000/(E10+E9)</f>
        <v/>
      </c>
      <c r="F11" s="285">
        <f>F8*1000/(F10+F9)</f>
        <v/>
      </c>
      <c r="G11" s="285">
        <f>G8*1000/(G10+G9)</f>
        <v/>
      </c>
      <c r="P11" s="285">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294">
        <f>$D$45</f>
        <v/>
      </c>
      <c r="E15" s="294">
        <f>$D$45</f>
        <v/>
      </c>
      <c r="F15" s="294">
        <f>$D$45</f>
        <v/>
      </c>
      <c r="G15" s="294">
        <f>$D$45</f>
        <v/>
      </c>
      <c r="H15" s="295">
        <f>D15*(1+$D$44)</f>
        <v/>
      </c>
      <c r="I15" s="295">
        <f>E15*(1+$D$44)</f>
        <v/>
      </c>
      <c r="J15" s="295">
        <f>F15*(1+$D$44)</f>
        <v/>
      </c>
      <c r="K15" s="295">
        <f>G15*(1+$D$44)</f>
        <v/>
      </c>
      <c r="L15" s="295">
        <f>H15*(1+$D$44)</f>
        <v/>
      </c>
      <c r="M15" s="295">
        <f>I15*(1+$D$44)</f>
        <v/>
      </c>
      <c r="N15" s="295">
        <f>J15*(1+$D$44)</f>
        <v/>
      </c>
      <c r="O15" s="295">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G17" s="257" t="n">
        <v>0.037</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293">
        <f>$D$50*(D15/$D$45)^$D$51</f>
        <v/>
      </c>
      <c r="E20" s="293">
        <f>$D$50*(E15/$D$45)^$D$51</f>
        <v/>
      </c>
      <c r="F20" s="293">
        <f>$D$50*(F15/$D$45)^$D$51</f>
        <v/>
      </c>
      <c r="G20" s="293">
        <f>$D$50*(G15/$D$45)^$D$51</f>
        <v/>
      </c>
      <c r="H20" s="293">
        <f>$D$50*(H15/$D$45)^$D$51</f>
        <v/>
      </c>
      <c r="I20" s="293">
        <f>$D$50*(I15/$D$45)^$D$51</f>
        <v/>
      </c>
      <c r="J20" s="293">
        <f>$D$50*(J15/$D$45)^$D$51</f>
        <v/>
      </c>
      <c r="K20" s="293">
        <f>$D$50*(K15/$D$45)^$D$51</f>
        <v/>
      </c>
      <c r="L20" s="293">
        <f>$D$50*(L15/$D$45)^$D$51</f>
        <v/>
      </c>
      <c r="M20" s="293">
        <f>$D$50*(M15/$D$45)^$D$51</f>
        <v/>
      </c>
      <c r="N20" s="293">
        <f>$D$50*(N15/$D$45)^$D$51</f>
        <v/>
      </c>
      <c r="O20" s="293">
        <f>$D$50*(O15/$D$45)^$D$51</f>
        <v/>
      </c>
      <c r="S20" s="234" t="inlineStr">
        <is>
          <t>β and ε_b derived from the engine's 1,024-node fee integration (Inputs rows 46–51)</t>
        </is>
      </c>
    </row>
    <row r="21">
      <c r="B21" s="238" t="inlineStr">
        <is>
          <t>Seller commission  (rate from E3, base)</t>
        </is>
      </c>
      <c r="C21" s="256" t="inlineStr">
        <is>
          <t>$</t>
        </is>
      </c>
      <c r="D21" s="294">
        <f>'E3 Carriers'!D$55*D15</f>
        <v/>
      </c>
      <c r="E21" s="294">
        <f>'E3 Carriers'!E$55*E15</f>
        <v/>
      </c>
      <c r="F21" s="294">
        <f>'E3 Carriers'!F$55*F15</f>
        <v/>
      </c>
      <c r="G21" s="294">
        <f>'E3 Carriers'!G$55*G15</f>
        <v/>
      </c>
      <c r="H21" s="294">
        <f>'E3 Carriers'!H$55*H15</f>
        <v/>
      </c>
      <c r="I21" s="294">
        <f>'E3 Carriers'!I$55*I15</f>
        <v/>
      </c>
      <c r="J21" s="294">
        <f>'E3 Carriers'!J$55*J15</f>
        <v/>
      </c>
      <c r="K21" s="294">
        <f>'E3 Carriers'!K$55*K15</f>
        <v/>
      </c>
      <c r="L21" s="294">
        <f>'E3 Carriers'!L$55*L15</f>
        <v/>
      </c>
      <c r="M21" s="294">
        <f>'E3 Carriers'!M$55*M15</f>
        <v/>
      </c>
      <c r="N21" s="294">
        <f>'E3 Carriers'!N$55*N15</f>
        <v/>
      </c>
      <c r="O21" s="294">
        <f>'E3 Carriers'!O$55*O15</f>
        <v/>
      </c>
    </row>
    <row r="22">
      <c r="B22" s="238" t="inlineStr">
        <is>
          <t>Fixed buyer fees (gate, environmental)</t>
        </is>
      </c>
      <c r="C22" s="256" t="inlineStr">
        <is>
          <t>$</t>
        </is>
      </c>
      <c r="D22" s="294">
        <f>$D$48</f>
        <v/>
      </c>
      <c r="E22" s="294">
        <f>$D$48</f>
        <v/>
      </c>
      <c r="F22" s="294">
        <f>$D$48</f>
        <v/>
      </c>
      <c r="G22" s="294">
        <f>$D$48</f>
        <v/>
      </c>
      <c r="H22" s="294">
        <f>$D$48</f>
        <v/>
      </c>
      <c r="I22" s="294">
        <f>$D$48</f>
        <v/>
      </c>
      <c r="J22" s="294">
        <f>$D$48</f>
        <v/>
      </c>
      <c r="K22" s="294">
        <f>$D$48</f>
        <v/>
      </c>
      <c r="L22" s="294">
        <f>$D$48</f>
        <v/>
      </c>
      <c r="M22" s="294">
        <f>$D$48</f>
        <v/>
      </c>
      <c r="N22" s="294">
        <f>$D$48</f>
        <v/>
      </c>
      <c r="O22" s="294">
        <f>$D$48</f>
        <v/>
      </c>
      <c r="S22" s="234" t="inlineStr">
        <is>
          <t>ASSUMED $110 inherited; posted fixed fees on D Fees show gate $79/$95 — to be reconciled</t>
        </is>
      </c>
    </row>
    <row r="23">
      <c r="B23" s="242" t="inlineStr">
        <is>
          <t>Core RPU</t>
        </is>
      </c>
      <c r="C23" s="256" t="inlineStr">
        <is>
          <t>$</t>
        </is>
      </c>
      <c r="D23" s="295">
        <f>D20+D21+D22</f>
        <v/>
      </c>
      <c r="E23" s="295">
        <f>E20+E21+E22</f>
        <v/>
      </c>
      <c r="F23" s="295">
        <f>F20+F21+F22</f>
        <v/>
      </c>
      <c r="G23" s="295">
        <f>G20+G21+G22</f>
        <v/>
      </c>
      <c r="H23" s="295">
        <f>H20+H21+H22</f>
        <v/>
      </c>
      <c r="I23" s="295">
        <f>I20+I21+I22</f>
        <v/>
      </c>
      <c r="J23" s="295">
        <f>J20+J21+J22</f>
        <v/>
      </c>
      <c r="K23" s="295">
        <f>K20+K21+K22</f>
        <v/>
      </c>
      <c r="L23" s="295">
        <f>L20+L21+L22</f>
        <v/>
      </c>
      <c r="M23" s="295">
        <f>M20+M21+M22</f>
        <v/>
      </c>
      <c r="N23" s="295">
        <f>N20+N21+N22</f>
        <v/>
      </c>
      <c r="O23" s="295">
        <f>O20+O21+O22</f>
        <v/>
      </c>
    </row>
    <row r="24">
      <c r="B24" s="238" t="inlineStr">
        <is>
          <t>Attached services per sale</t>
        </is>
      </c>
      <c r="C24" s="256" t="inlineStr">
        <is>
          <t>$</t>
        </is>
      </c>
      <c r="D24" s="293">
        <f>$D$40*$D$41+$D$42*$D$43</f>
        <v/>
      </c>
      <c r="E24" s="293">
        <f>$D$40*$D$41+$D$42*$D$43</f>
        <v/>
      </c>
      <c r="F24" s="293">
        <f>$D$40*$D$41+$D$42*$D$43</f>
        <v/>
      </c>
      <c r="G24" s="293">
        <f>$D$40*$D$41+$D$42*$D$43</f>
        <v/>
      </c>
      <c r="H24" s="293">
        <f>$D$40*$D$41+$D$42*$D$43</f>
        <v/>
      </c>
      <c r="I24" s="293">
        <f>$D$40*$D$41+$D$42*$D$43</f>
        <v/>
      </c>
      <c r="J24" s="293">
        <f>$D$40*$D$41+$D$42*$D$43</f>
        <v/>
      </c>
      <c r="K24" s="293">
        <f>$D$40*$D$41+$D$42*$D$43</f>
        <v/>
      </c>
      <c r="L24" s="293">
        <f>$D$40*$D$41+$D$42*$D$43</f>
        <v/>
      </c>
      <c r="M24" s="293">
        <f>$D$40*$D$41+$D$42*$D$43</f>
        <v/>
      </c>
      <c r="N24" s="293">
        <f>$D$40*$D$41+$D$42*$D$43</f>
        <v/>
      </c>
      <c r="O24" s="293">
        <f>$D$40*$D$41+$D$42*$D$43</f>
        <v/>
      </c>
    </row>
    <row r="25">
      <c r="B25" s="242" t="inlineStr">
        <is>
          <t>All-in insurance RPU, base</t>
        </is>
      </c>
      <c r="C25" s="256" t="inlineStr">
        <is>
          <t>$</t>
        </is>
      </c>
      <c r="D25" s="295">
        <f>D23+D24</f>
        <v/>
      </c>
      <c r="E25" s="295">
        <f>E23+E24</f>
        <v/>
      </c>
      <c r="F25" s="295">
        <f>F23+F24</f>
        <v/>
      </c>
      <c r="G25" s="295">
        <f>G23+G24</f>
        <v/>
      </c>
      <c r="H25" s="295">
        <f>H23+H24</f>
        <v/>
      </c>
      <c r="I25" s="295">
        <f>I23+I24</f>
        <v/>
      </c>
      <c r="J25" s="295">
        <f>J23+J24</f>
        <v/>
      </c>
      <c r="K25" s="295">
        <f>K23+K24</f>
        <v/>
      </c>
      <c r="L25" s="295">
        <f>L23+L24</f>
        <v/>
      </c>
      <c r="M25" s="295">
        <f>M23+M24</f>
        <v/>
      </c>
      <c r="N25" s="295">
        <f>N23+N24</f>
        <v/>
      </c>
      <c r="O25" s="295">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296"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297" t="n">
        <v>50</v>
      </c>
      <c r="E41" s="234" t="inlineStr">
        <is>
          <t>ASSUMED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297" t="n">
        <v>300</v>
      </c>
      <c r="E43" s="234" t="inlineStr">
        <is>
          <t>ASSUMED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297" t="n">
        <v>3040.99</v>
      </c>
      <c r="E45" s="234" t="inlineStr">
        <is>
          <t>ENGINE</t>
        </is>
      </c>
      <c r="S45" s="234" t="inlineStr">
        <is>
          <t>age_constrained_engine_results.json baseline_core.ASP</t>
        </is>
      </c>
    </row>
    <row r="46">
      <c r="B46" s="238" t="inlineStr">
        <is>
          <t>Core RPU at the anchor (buyer fees + seller commission + fixed fees)</t>
        </is>
      </c>
      <c r="D46" s="297" t="n">
        <v>851.51</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297" t="n">
        <v>110</v>
      </c>
      <c r="E48" s="234" t="inlineStr">
        <is>
          <t>ASSUMED</t>
        </is>
      </c>
      <c r="S48" s="234" t="inlineStr">
        <is>
          <t>Inherited; contradicts posted $79/$95 gate fee — flagged in source trace</t>
        </is>
      </c>
    </row>
    <row r="49">
      <c r="B49" s="238" t="inlineStr">
        <is>
          <t>Core-RPU elasticity to ASP from the engine's +5% value test  (ln(1.017859) ÷ ln(1.040402))</t>
        </is>
      </c>
      <c r="D49" s="275">
        <f>LN(1+0.017859212)/LN(1+0.040401548)</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298">
        <f>'D Reported'!$E$26</f>
        <v/>
      </c>
      <c r="E12" s="298">
        <f>'D Reported'!$E$27</f>
        <v/>
      </c>
      <c r="F12" s="298">
        <f>'D Reported'!$E$28</f>
        <v/>
      </c>
      <c r="G12" s="298">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298">
        <f>'D Reported'!$F$26+'D Reported'!$G$26</f>
        <v/>
      </c>
      <c r="E16" s="298">
        <f>'D Reported'!$F$27+'D Reported'!$G$27</f>
        <v/>
      </c>
      <c r="F16" s="298">
        <f>'D Reported'!$F$28+'D Reported'!$G$28</f>
        <v/>
      </c>
      <c r="G16" s="298">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A1:S10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299">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Neither (known Progressive runoff only; no thesis)</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0">
        <f>'E5 Prices &amp; Fees'!D11</f>
        <v/>
      </c>
      <c r="E8" s="300">
        <f>'E5 Prices &amp; Fees'!E11</f>
        <v/>
      </c>
      <c r="F8" s="300">
        <f>'E5 Prices &amp; Fees'!F11</f>
        <v/>
      </c>
      <c r="G8" s="300">
        <f>'E5 Prices &amp; Fees'!G11</f>
        <v/>
      </c>
      <c r="H8" s="285">
        <f>D8*'E2 Claims &amp; Totals'!H$75*IF($D$76=1,'E3 Carriers'!H$49,'E3 Carriers'!H$48)*(1+$E$76*'E4 Aftermarket'!H$40)</f>
        <v/>
      </c>
      <c r="I8" s="285">
        <f>E8*'E2 Claims &amp; Totals'!I$75*IF($D$76=1,'E3 Carriers'!I$49,'E3 Carriers'!I$48)*(1+$E$76*'E4 Aftermarket'!I$40)</f>
        <v/>
      </c>
      <c r="J8" s="285">
        <f>F8*'E2 Claims &amp; Totals'!J$75*IF($D$76=1,'E3 Carriers'!J$49,'E3 Carriers'!J$48)*(1+$E$76*'E4 Aftermarket'!J$40)</f>
        <v/>
      </c>
      <c r="K8" s="285">
        <f>G8*'E2 Claims &amp; Totals'!K$75*IF($D$76=1,'E3 Carriers'!K$49,'E3 Carriers'!K$48)*(1+$E$76*'E4 Aftermarket'!K$40)</f>
        <v/>
      </c>
      <c r="L8" s="285">
        <f>H8*'E2 Claims &amp; Totals'!L$75*IF($D$76=1,'E3 Carriers'!L$49,'E3 Carriers'!L$48)*(1+$E$76*'E4 Aftermarket'!L$40)</f>
        <v/>
      </c>
      <c r="M8" s="285">
        <f>I8*'E2 Claims &amp; Totals'!M$75*IF($D$76=1,'E3 Carriers'!M$49,'E3 Carriers'!M$48)*(1+$E$76*'E4 Aftermarket'!M$40)</f>
        <v/>
      </c>
      <c r="N8" s="285">
        <f>J8*'E2 Claims &amp; Totals'!N$75*IF($D$76=1,'E3 Carriers'!N$49,'E3 Carriers'!N$48)*(1+$E$76*'E4 Aftermarket'!N$40)</f>
        <v/>
      </c>
      <c r="O8" s="285">
        <f>K8*'E2 Claims &amp; Totals'!O$75*IF($D$76=1,'E3 Carriers'!O$49,'E3 Carriers'!O$48)*(1+$E$76*'E4 Aftermarket'!O$40)</f>
        <v/>
      </c>
      <c r="P8" s="285">
        <f>SUM(D8:G8)</f>
        <v/>
      </c>
      <c r="Q8" s="285">
        <f>SUM(H8:K8)</f>
        <v/>
      </c>
      <c r="R8" s="285">
        <f>SUM(L8:O8)</f>
        <v/>
      </c>
    </row>
    <row r="9">
      <c r="B9" s="301"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294">
        <f>'E5 Prices &amp; Fees'!$D$45</f>
        <v/>
      </c>
      <c r="E10" s="294">
        <f>'E5 Prices &amp; Fees'!$D$45</f>
        <v/>
      </c>
      <c r="F10" s="294">
        <f>'E5 Prices &amp; Fees'!$D$45</f>
        <v/>
      </c>
      <c r="G10" s="294">
        <f>'E5 Prices &amp; Fees'!$D$45</f>
        <v/>
      </c>
      <c r="H10" s="293">
        <f>'E5 Prices &amp; Fees'!$D$45*(1+$F$76)^1*(1+$E$76*'E4 Aftermarket'!H$41)</f>
        <v/>
      </c>
      <c r="I10" s="293">
        <f>'E5 Prices &amp; Fees'!$D$45*(1+$F$76)^1*(1+$E$76*'E4 Aftermarket'!I$41)</f>
        <v/>
      </c>
      <c r="J10" s="293">
        <f>'E5 Prices &amp; Fees'!$D$45*(1+$F$76)^1*(1+$E$76*'E4 Aftermarket'!J$41)</f>
        <v/>
      </c>
      <c r="K10" s="293">
        <f>'E5 Prices &amp; Fees'!$D$45*(1+$F$76)^1*(1+$E$76*'E4 Aftermarket'!K$41)</f>
        <v/>
      </c>
      <c r="L10" s="293">
        <f>'E5 Prices &amp; Fees'!$D$45*(1+$F$76)^2*(1+$E$76*'E4 Aftermarket'!L$41)</f>
        <v/>
      </c>
      <c r="M10" s="293">
        <f>'E5 Prices &amp; Fees'!$D$45*(1+$F$76)^2*(1+$E$76*'E4 Aftermarket'!M$41)</f>
        <v/>
      </c>
      <c r="N10" s="293">
        <f>'E5 Prices &amp; Fees'!$D$45*(1+$F$76)^2*(1+$E$76*'E4 Aftermarket'!N$41)</f>
        <v/>
      </c>
      <c r="O10" s="293">
        <f>'E5 Prices &amp; Fees'!$D$45*(1+$F$76)^2*(1+$E$76*'E4 Aftermarket'!O$41)</f>
        <v/>
      </c>
      <c r="P10" s="293">
        <f>AVERAGE(D10:G10)</f>
        <v/>
      </c>
      <c r="Q10" s="293">
        <f>AVERAGE(H10:K10)</f>
        <v/>
      </c>
      <c r="R10" s="293">
        <f>AVERAGE(L10:O10)</f>
        <v/>
      </c>
    </row>
    <row r="11">
      <c r="B11" s="238" t="inlineStr">
        <is>
          <t>Core RPU</t>
        </is>
      </c>
      <c r="C11" s="256" t="inlineStr">
        <is>
          <t>$</t>
        </is>
      </c>
      <c r="D11" s="293">
        <f>'E5 Prices &amp; Fees'!$D$50*(D10/'E5 Prices &amp; Fees'!$D$45)^'E5 Prices &amp; Fees'!$D$51+IF($D$76=1,'E3 Carriers'!D$56,'E3 Carriers'!D$55)*D10+'E5 Prices &amp; Fees'!$D$48</f>
        <v/>
      </c>
      <c r="E11" s="293">
        <f>'E5 Prices &amp; Fees'!$D$50*(E10/'E5 Prices &amp; Fees'!$D$45)^'E5 Prices &amp; Fees'!$D$51+IF($D$76=1,'E3 Carriers'!E$56,'E3 Carriers'!E$55)*E10+'E5 Prices &amp; Fees'!$D$48</f>
        <v/>
      </c>
      <c r="F11" s="293">
        <f>'E5 Prices &amp; Fees'!$D$50*(F10/'E5 Prices &amp; Fees'!$D$45)^'E5 Prices &amp; Fees'!$D$51+IF($D$76=1,'E3 Carriers'!F$56,'E3 Carriers'!F$55)*F10+'E5 Prices &amp; Fees'!$D$48</f>
        <v/>
      </c>
      <c r="G11" s="293">
        <f>'E5 Prices &amp; Fees'!$D$50*(G10/'E5 Prices &amp; Fees'!$D$45)^'E5 Prices &amp; Fees'!$D$51+IF($D$76=1,'E3 Carriers'!G$56,'E3 Carriers'!G$55)*G10+'E5 Prices &amp; Fees'!$D$48</f>
        <v/>
      </c>
      <c r="H11" s="293">
        <f>'E5 Prices &amp; Fees'!$D$50*(H10/'E5 Prices &amp; Fees'!$D$45)^'E5 Prices &amp; Fees'!$D$51+IF($D$76=1,'E3 Carriers'!H$56,'E3 Carriers'!H$55)*H10+'E5 Prices &amp; Fees'!$D$48</f>
        <v/>
      </c>
      <c r="I11" s="293">
        <f>'E5 Prices &amp; Fees'!$D$50*(I10/'E5 Prices &amp; Fees'!$D$45)^'E5 Prices &amp; Fees'!$D$51+IF($D$76=1,'E3 Carriers'!I$56,'E3 Carriers'!I$55)*I10+'E5 Prices &amp; Fees'!$D$48</f>
        <v/>
      </c>
      <c r="J11" s="293">
        <f>'E5 Prices &amp; Fees'!$D$50*(J10/'E5 Prices &amp; Fees'!$D$45)^'E5 Prices &amp; Fees'!$D$51+IF($D$76=1,'E3 Carriers'!J$56,'E3 Carriers'!J$55)*J10+'E5 Prices &amp; Fees'!$D$48</f>
        <v/>
      </c>
      <c r="K11" s="293">
        <f>'E5 Prices &amp; Fees'!$D$50*(K10/'E5 Prices &amp; Fees'!$D$45)^'E5 Prices &amp; Fees'!$D$51+IF($D$76=1,'E3 Carriers'!K$56,'E3 Carriers'!K$55)*K10+'E5 Prices &amp; Fees'!$D$48</f>
        <v/>
      </c>
      <c r="L11" s="293">
        <f>'E5 Prices &amp; Fees'!$D$50*(L10/'E5 Prices &amp; Fees'!$D$45)^'E5 Prices &amp; Fees'!$D$51+IF($D$76=1,'E3 Carriers'!L$56,'E3 Carriers'!L$55)*L10+'E5 Prices &amp; Fees'!$D$48</f>
        <v/>
      </c>
      <c r="M11" s="293">
        <f>'E5 Prices &amp; Fees'!$D$50*(M10/'E5 Prices &amp; Fees'!$D$45)^'E5 Prices &amp; Fees'!$D$51+IF($D$76=1,'E3 Carriers'!M$56,'E3 Carriers'!M$55)*M10+'E5 Prices &amp; Fees'!$D$48</f>
        <v/>
      </c>
      <c r="N11" s="293">
        <f>'E5 Prices &amp; Fees'!$D$50*(N10/'E5 Prices &amp; Fees'!$D$45)^'E5 Prices &amp; Fees'!$D$51+IF($D$76=1,'E3 Carriers'!N$56,'E3 Carriers'!N$55)*N10+'E5 Prices &amp; Fees'!$D$48</f>
        <v/>
      </c>
      <c r="O11" s="293">
        <f>'E5 Prices &amp; Fees'!$D$50*(O10/'E5 Prices &amp; Fees'!$D$45)^'E5 Prices &amp; Fees'!$D$51+IF($D$76=1,'E3 Carriers'!O$56,'E3 Carriers'!O$55)*O10+'E5 Prices &amp; Fees'!$D$48</f>
        <v/>
      </c>
    </row>
    <row r="12">
      <c r="B12" s="238" t="inlineStr">
        <is>
          <t>All-in insurance RPU</t>
        </is>
      </c>
      <c r="C12" s="256" t="inlineStr">
        <is>
          <t>$</t>
        </is>
      </c>
      <c r="D12" s="293">
        <f>D11+'E5 Prices &amp; Fees'!D24</f>
        <v/>
      </c>
      <c r="E12" s="293">
        <f>E11+'E5 Prices &amp; Fees'!E24</f>
        <v/>
      </c>
      <c r="F12" s="293">
        <f>F11+'E5 Prices &amp; Fees'!F24</f>
        <v/>
      </c>
      <c r="G12" s="293">
        <f>G11+'E5 Prices &amp; Fees'!G24</f>
        <v/>
      </c>
      <c r="H12" s="293">
        <f>H11+'E5 Prices &amp; Fees'!H24</f>
        <v/>
      </c>
      <c r="I12" s="293">
        <f>I11+'E5 Prices &amp; Fees'!I24</f>
        <v/>
      </c>
      <c r="J12" s="293">
        <f>J11+'E5 Prices &amp; Fees'!J24</f>
        <v/>
      </c>
      <c r="K12" s="293">
        <f>K11+'E5 Prices &amp; Fees'!K24</f>
        <v/>
      </c>
      <c r="L12" s="293">
        <f>L11+'E5 Prices &amp; Fees'!L24</f>
        <v/>
      </c>
      <c r="M12" s="293">
        <f>M11+'E5 Prices &amp; Fees'!M24</f>
        <v/>
      </c>
      <c r="N12" s="293">
        <f>N11+'E5 Prices &amp; Fees'!N24</f>
        <v/>
      </c>
      <c r="O12" s="293">
        <f>O11+'E5 Prices &amp; Fees'!O24</f>
        <v/>
      </c>
      <c r="P12" s="293">
        <f>P13*1000/P8</f>
        <v/>
      </c>
      <c r="Q12" s="293">
        <f>Q13*1000/Q8</f>
        <v/>
      </c>
      <c r="R12" s="293">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2">
        <f>D13+D14+D15</f>
        <v/>
      </c>
      <c r="E16" s="302">
        <f>E13+E14+E15</f>
        <v/>
      </c>
      <c r="F16" s="302">
        <f>F13+F14+F15</f>
        <v/>
      </c>
      <c r="G16" s="302">
        <f>G13+G14+G15</f>
        <v/>
      </c>
      <c r="H16" s="302">
        <f>H13+H14+H15</f>
        <v/>
      </c>
      <c r="I16" s="302">
        <f>I13+I14+I15</f>
        <v/>
      </c>
      <c r="J16" s="302">
        <f>J13+J14+J15</f>
        <v/>
      </c>
      <c r="K16" s="302">
        <f>K13+K14+K15</f>
        <v/>
      </c>
      <c r="L16" s="302">
        <f>L13+L14+L15</f>
        <v/>
      </c>
      <c r="M16" s="302">
        <f>M13+M14+M15</f>
        <v/>
      </c>
      <c r="N16" s="302">
        <f>N13+N14+N15</f>
        <v/>
      </c>
      <c r="O16" s="302">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A only (contestable allocation: events, drift, concessions)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0">
        <f>'E5 Prices &amp; Fees'!D11</f>
        <v/>
      </c>
      <c r="E21" s="300">
        <f>'E5 Prices &amp; Fees'!E11</f>
        <v/>
      </c>
      <c r="F21" s="300">
        <f>'E5 Prices &amp; Fees'!F11</f>
        <v/>
      </c>
      <c r="G21" s="300">
        <f>'E5 Prices &amp; Fees'!G11</f>
        <v/>
      </c>
      <c r="H21" s="285">
        <f>D21*'E2 Claims &amp; Totals'!H$75*IF($D$77=1,'E3 Carriers'!H$49,'E3 Carriers'!H$48)*(1+$E$77*'E4 Aftermarket'!H$40)</f>
        <v/>
      </c>
      <c r="I21" s="285">
        <f>E21*'E2 Claims &amp; Totals'!I$75*IF($D$77=1,'E3 Carriers'!I$49,'E3 Carriers'!I$48)*(1+$E$77*'E4 Aftermarket'!I$40)</f>
        <v/>
      </c>
      <c r="J21" s="285">
        <f>F21*'E2 Claims &amp; Totals'!J$75*IF($D$77=1,'E3 Carriers'!J$49,'E3 Carriers'!J$48)*(1+$E$77*'E4 Aftermarket'!J$40)</f>
        <v/>
      </c>
      <c r="K21" s="285">
        <f>G21*'E2 Claims &amp; Totals'!K$75*IF($D$77=1,'E3 Carriers'!K$49,'E3 Carriers'!K$48)*(1+$E$77*'E4 Aftermarket'!K$40)</f>
        <v/>
      </c>
      <c r="L21" s="285">
        <f>H21*'E2 Claims &amp; Totals'!L$75*IF($D$77=1,'E3 Carriers'!L$49,'E3 Carriers'!L$48)*(1+$E$77*'E4 Aftermarket'!L$40)</f>
        <v/>
      </c>
      <c r="M21" s="285">
        <f>I21*'E2 Claims &amp; Totals'!M$75*IF($D$77=1,'E3 Carriers'!M$49,'E3 Carriers'!M$48)*(1+$E$77*'E4 Aftermarket'!M$40)</f>
        <v/>
      </c>
      <c r="N21" s="285">
        <f>J21*'E2 Claims &amp; Totals'!N$75*IF($D$77=1,'E3 Carriers'!N$49,'E3 Carriers'!N$48)*(1+$E$77*'E4 Aftermarket'!N$40)</f>
        <v/>
      </c>
      <c r="O21" s="285">
        <f>K21*'E2 Claims &amp; Totals'!O$75*IF($D$77=1,'E3 Carriers'!O$49,'E3 Carriers'!O$48)*(1+$E$77*'E4 Aftermarket'!O$40)</f>
        <v/>
      </c>
      <c r="P21" s="285">
        <f>SUM(D21:G21)</f>
        <v/>
      </c>
      <c r="Q21" s="285">
        <f>SUM(H21:K21)</f>
        <v/>
      </c>
      <c r="R21" s="285">
        <f>SUM(L21:O21)</f>
        <v/>
      </c>
    </row>
    <row r="22">
      <c r="B22" s="301"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294">
        <f>'E5 Prices &amp; Fees'!$D$45</f>
        <v/>
      </c>
      <c r="E23" s="294">
        <f>'E5 Prices &amp; Fees'!$D$45</f>
        <v/>
      </c>
      <c r="F23" s="294">
        <f>'E5 Prices &amp; Fees'!$D$45</f>
        <v/>
      </c>
      <c r="G23" s="294">
        <f>'E5 Prices &amp; Fees'!$D$45</f>
        <v/>
      </c>
      <c r="H23" s="293">
        <f>'E5 Prices &amp; Fees'!$D$45*(1+$F$77)^1*(1+$E$77*'E4 Aftermarket'!H$41)</f>
        <v/>
      </c>
      <c r="I23" s="293">
        <f>'E5 Prices &amp; Fees'!$D$45*(1+$F$77)^1*(1+$E$77*'E4 Aftermarket'!I$41)</f>
        <v/>
      </c>
      <c r="J23" s="293">
        <f>'E5 Prices &amp; Fees'!$D$45*(1+$F$77)^1*(1+$E$77*'E4 Aftermarket'!J$41)</f>
        <v/>
      </c>
      <c r="K23" s="293">
        <f>'E5 Prices &amp; Fees'!$D$45*(1+$F$77)^1*(1+$E$77*'E4 Aftermarket'!K$41)</f>
        <v/>
      </c>
      <c r="L23" s="293">
        <f>'E5 Prices &amp; Fees'!$D$45*(1+$F$77)^2*(1+$E$77*'E4 Aftermarket'!L$41)</f>
        <v/>
      </c>
      <c r="M23" s="293">
        <f>'E5 Prices &amp; Fees'!$D$45*(1+$F$77)^2*(1+$E$77*'E4 Aftermarket'!M$41)</f>
        <v/>
      </c>
      <c r="N23" s="293">
        <f>'E5 Prices &amp; Fees'!$D$45*(1+$F$77)^2*(1+$E$77*'E4 Aftermarket'!N$41)</f>
        <v/>
      </c>
      <c r="O23" s="293">
        <f>'E5 Prices &amp; Fees'!$D$45*(1+$F$77)^2*(1+$E$77*'E4 Aftermarket'!O$41)</f>
        <v/>
      </c>
      <c r="P23" s="293">
        <f>AVERAGE(D23:G23)</f>
        <v/>
      </c>
      <c r="Q23" s="293">
        <f>AVERAGE(H23:K23)</f>
        <v/>
      </c>
      <c r="R23" s="293">
        <f>AVERAGE(L23:O23)</f>
        <v/>
      </c>
    </row>
    <row r="24">
      <c r="B24" s="238" t="inlineStr">
        <is>
          <t>Core RPU</t>
        </is>
      </c>
      <c r="C24" s="256" t="inlineStr">
        <is>
          <t>$</t>
        </is>
      </c>
      <c r="D24" s="293">
        <f>'E5 Prices &amp; Fees'!$D$50*(D23/'E5 Prices &amp; Fees'!$D$45)^'E5 Prices &amp; Fees'!$D$51+IF($D$77=1,'E3 Carriers'!D$56,'E3 Carriers'!D$55)*D23+'E5 Prices &amp; Fees'!$D$48</f>
        <v/>
      </c>
      <c r="E24" s="293">
        <f>'E5 Prices &amp; Fees'!$D$50*(E23/'E5 Prices &amp; Fees'!$D$45)^'E5 Prices &amp; Fees'!$D$51+IF($D$77=1,'E3 Carriers'!E$56,'E3 Carriers'!E$55)*E23+'E5 Prices &amp; Fees'!$D$48</f>
        <v/>
      </c>
      <c r="F24" s="293">
        <f>'E5 Prices &amp; Fees'!$D$50*(F23/'E5 Prices &amp; Fees'!$D$45)^'E5 Prices &amp; Fees'!$D$51+IF($D$77=1,'E3 Carriers'!F$56,'E3 Carriers'!F$55)*F23+'E5 Prices &amp; Fees'!$D$48</f>
        <v/>
      </c>
      <c r="G24" s="293">
        <f>'E5 Prices &amp; Fees'!$D$50*(G23/'E5 Prices &amp; Fees'!$D$45)^'E5 Prices &amp; Fees'!$D$51+IF($D$77=1,'E3 Carriers'!G$56,'E3 Carriers'!G$55)*G23+'E5 Prices &amp; Fees'!$D$48</f>
        <v/>
      </c>
      <c r="H24" s="293">
        <f>'E5 Prices &amp; Fees'!$D$50*(H23/'E5 Prices &amp; Fees'!$D$45)^'E5 Prices &amp; Fees'!$D$51+IF($D$77=1,'E3 Carriers'!H$56,'E3 Carriers'!H$55)*H23+'E5 Prices &amp; Fees'!$D$48</f>
        <v/>
      </c>
      <c r="I24" s="293">
        <f>'E5 Prices &amp; Fees'!$D$50*(I23/'E5 Prices &amp; Fees'!$D$45)^'E5 Prices &amp; Fees'!$D$51+IF($D$77=1,'E3 Carriers'!I$56,'E3 Carriers'!I$55)*I23+'E5 Prices &amp; Fees'!$D$48</f>
        <v/>
      </c>
      <c r="J24" s="293">
        <f>'E5 Prices &amp; Fees'!$D$50*(J23/'E5 Prices &amp; Fees'!$D$45)^'E5 Prices &amp; Fees'!$D$51+IF($D$77=1,'E3 Carriers'!J$56,'E3 Carriers'!J$55)*J23+'E5 Prices &amp; Fees'!$D$48</f>
        <v/>
      </c>
      <c r="K24" s="293">
        <f>'E5 Prices &amp; Fees'!$D$50*(K23/'E5 Prices &amp; Fees'!$D$45)^'E5 Prices &amp; Fees'!$D$51+IF($D$77=1,'E3 Carriers'!K$56,'E3 Carriers'!K$55)*K23+'E5 Prices &amp; Fees'!$D$48</f>
        <v/>
      </c>
      <c r="L24" s="293">
        <f>'E5 Prices &amp; Fees'!$D$50*(L23/'E5 Prices &amp; Fees'!$D$45)^'E5 Prices &amp; Fees'!$D$51+IF($D$77=1,'E3 Carriers'!L$56,'E3 Carriers'!L$55)*L23+'E5 Prices &amp; Fees'!$D$48</f>
        <v/>
      </c>
      <c r="M24" s="293">
        <f>'E5 Prices &amp; Fees'!$D$50*(M23/'E5 Prices &amp; Fees'!$D$45)^'E5 Prices &amp; Fees'!$D$51+IF($D$77=1,'E3 Carriers'!M$56,'E3 Carriers'!M$55)*M23+'E5 Prices &amp; Fees'!$D$48</f>
        <v/>
      </c>
      <c r="N24" s="293">
        <f>'E5 Prices &amp; Fees'!$D$50*(N23/'E5 Prices &amp; Fees'!$D$45)^'E5 Prices &amp; Fees'!$D$51+IF($D$77=1,'E3 Carriers'!N$56,'E3 Carriers'!N$55)*N23+'E5 Prices &amp; Fees'!$D$48</f>
        <v/>
      </c>
      <c r="O24" s="293">
        <f>'E5 Prices &amp; Fees'!$D$50*(O23/'E5 Prices &amp; Fees'!$D$45)^'E5 Prices &amp; Fees'!$D$51+IF($D$77=1,'E3 Carriers'!O$56,'E3 Carriers'!O$55)*O23+'E5 Prices &amp; Fees'!$D$48</f>
        <v/>
      </c>
    </row>
    <row r="25">
      <c r="B25" s="238" t="inlineStr">
        <is>
          <t>All-in insurance RPU</t>
        </is>
      </c>
      <c r="C25" s="256" t="inlineStr">
        <is>
          <t>$</t>
        </is>
      </c>
      <c r="D25" s="293">
        <f>D24+'E5 Prices &amp; Fees'!D24</f>
        <v/>
      </c>
      <c r="E25" s="293">
        <f>E24+'E5 Prices &amp; Fees'!E24</f>
        <v/>
      </c>
      <c r="F25" s="293">
        <f>F24+'E5 Prices &amp; Fees'!F24</f>
        <v/>
      </c>
      <c r="G25" s="293">
        <f>G24+'E5 Prices &amp; Fees'!G24</f>
        <v/>
      </c>
      <c r="H25" s="293">
        <f>H24+'E5 Prices &amp; Fees'!H24</f>
        <v/>
      </c>
      <c r="I25" s="293">
        <f>I24+'E5 Prices &amp; Fees'!I24</f>
        <v/>
      </c>
      <c r="J25" s="293">
        <f>J24+'E5 Prices &amp; Fees'!J24</f>
        <v/>
      </c>
      <c r="K25" s="293">
        <f>K24+'E5 Prices &amp; Fees'!K24</f>
        <v/>
      </c>
      <c r="L25" s="293">
        <f>L24+'E5 Prices &amp; Fees'!L24</f>
        <v/>
      </c>
      <c r="M25" s="293">
        <f>M24+'E5 Prices &amp; Fees'!M24</f>
        <v/>
      </c>
      <c r="N25" s="293">
        <f>N24+'E5 Prices &amp; Fees'!N24</f>
        <v/>
      </c>
      <c r="O25" s="293">
        <f>O24+'E5 Prices &amp; Fees'!O24</f>
        <v/>
      </c>
      <c r="P25" s="293">
        <f>P26*1000/P21</f>
        <v/>
      </c>
      <c r="Q25" s="293">
        <f>Q26*1000/Q21</f>
        <v/>
      </c>
      <c r="R25" s="293">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2">
        <f>D26+D27+D28</f>
        <v/>
      </c>
      <c r="E29" s="302">
        <f>E26+E27+E28</f>
        <v/>
      </c>
      <c r="F29" s="302">
        <f>F26+F27+F28</f>
        <v/>
      </c>
      <c r="G29" s="302">
        <f>G26+G27+G28</f>
        <v/>
      </c>
      <c r="H29" s="302">
        <f>H26+H27+H28</f>
        <v/>
      </c>
      <c r="I29" s="302">
        <f>I26+I27+I28</f>
        <v/>
      </c>
      <c r="J29" s="302">
        <f>J26+J27+J28</f>
        <v/>
      </c>
      <c r="K29" s="302">
        <f>K26+K27+K28</f>
        <v/>
      </c>
      <c r="L29" s="302">
        <f>L26+L27+L28</f>
        <v/>
      </c>
      <c r="M29" s="302">
        <f>M26+M27+M28</f>
        <v/>
      </c>
      <c r="N29" s="302">
        <f>N26+N27+N28</f>
        <v/>
      </c>
      <c r="O29" s="302">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B only (aftermarket substitution)</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0">
        <f>'E5 Prices &amp; Fees'!D11</f>
        <v/>
      </c>
      <c r="E34" s="300">
        <f>'E5 Prices &amp; Fees'!E11</f>
        <v/>
      </c>
      <c r="F34" s="300">
        <f>'E5 Prices &amp; Fees'!F11</f>
        <v/>
      </c>
      <c r="G34" s="300">
        <f>'E5 Prices &amp; Fees'!G11</f>
        <v/>
      </c>
      <c r="H34" s="285">
        <f>D34*'E2 Claims &amp; Totals'!H$75*IF($D$78=1,'E3 Carriers'!H$49,'E3 Carriers'!H$48)*(1+$E$78*'E4 Aftermarket'!H$40)</f>
        <v/>
      </c>
      <c r="I34" s="285">
        <f>E34*'E2 Claims &amp; Totals'!I$75*IF($D$78=1,'E3 Carriers'!I$49,'E3 Carriers'!I$48)*(1+$E$78*'E4 Aftermarket'!I$40)</f>
        <v/>
      </c>
      <c r="J34" s="285">
        <f>F34*'E2 Claims &amp; Totals'!J$75*IF($D$78=1,'E3 Carriers'!J$49,'E3 Carriers'!J$48)*(1+$E$78*'E4 Aftermarket'!J$40)</f>
        <v/>
      </c>
      <c r="K34" s="285">
        <f>G34*'E2 Claims &amp; Totals'!K$75*IF($D$78=1,'E3 Carriers'!K$49,'E3 Carriers'!K$48)*(1+$E$78*'E4 Aftermarket'!K$40)</f>
        <v/>
      </c>
      <c r="L34" s="285">
        <f>H34*'E2 Claims &amp; Totals'!L$75*IF($D$78=1,'E3 Carriers'!L$49,'E3 Carriers'!L$48)*(1+$E$78*'E4 Aftermarket'!L$40)</f>
        <v/>
      </c>
      <c r="M34" s="285">
        <f>I34*'E2 Claims &amp; Totals'!M$75*IF($D$78=1,'E3 Carriers'!M$49,'E3 Carriers'!M$48)*(1+$E$78*'E4 Aftermarket'!M$40)</f>
        <v/>
      </c>
      <c r="N34" s="285">
        <f>J34*'E2 Claims &amp; Totals'!N$75*IF($D$78=1,'E3 Carriers'!N$49,'E3 Carriers'!N$48)*(1+$E$78*'E4 Aftermarket'!N$40)</f>
        <v/>
      </c>
      <c r="O34" s="285">
        <f>K34*'E2 Claims &amp; Totals'!O$75*IF($D$78=1,'E3 Carriers'!O$49,'E3 Carriers'!O$48)*(1+$E$78*'E4 Aftermarket'!O$40)</f>
        <v/>
      </c>
      <c r="P34" s="285">
        <f>SUM(D34:G34)</f>
        <v/>
      </c>
      <c r="Q34" s="285">
        <f>SUM(H34:K34)</f>
        <v/>
      </c>
      <c r="R34" s="285">
        <f>SUM(L34:O34)</f>
        <v/>
      </c>
    </row>
    <row r="35">
      <c r="B35" s="301"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294">
        <f>'E5 Prices &amp; Fees'!$D$45</f>
        <v/>
      </c>
      <c r="E36" s="294">
        <f>'E5 Prices &amp; Fees'!$D$45</f>
        <v/>
      </c>
      <c r="F36" s="294">
        <f>'E5 Prices &amp; Fees'!$D$45</f>
        <v/>
      </c>
      <c r="G36" s="294">
        <f>'E5 Prices &amp; Fees'!$D$45</f>
        <v/>
      </c>
      <c r="H36" s="293">
        <f>'E5 Prices &amp; Fees'!$D$45*(1+$F$78)^1*(1+$E$78*'E4 Aftermarket'!H$41)</f>
        <v/>
      </c>
      <c r="I36" s="293">
        <f>'E5 Prices &amp; Fees'!$D$45*(1+$F$78)^1*(1+$E$78*'E4 Aftermarket'!I$41)</f>
        <v/>
      </c>
      <c r="J36" s="293">
        <f>'E5 Prices &amp; Fees'!$D$45*(1+$F$78)^1*(1+$E$78*'E4 Aftermarket'!J$41)</f>
        <v/>
      </c>
      <c r="K36" s="293">
        <f>'E5 Prices &amp; Fees'!$D$45*(1+$F$78)^1*(1+$E$78*'E4 Aftermarket'!K$41)</f>
        <v/>
      </c>
      <c r="L36" s="293">
        <f>'E5 Prices &amp; Fees'!$D$45*(1+$F$78)^2*(1+$E$78*'E4 Aftermarket'!L$41)</f>
        <v/>
      </c>
      <c r="M36" s="293">
        <f>'E5 Prices &amp; Fees'!$D$45*(1+$F$78)^2*(1+$E$78*'E4 Aftermarket'!M$41)</f>
        <v/>
      </c>
      <c r="N36" s="293">
        <f>'E5 Prices &amp; Fees'!$D$45*(1+$F$78)^2*(1+$E$78*'E4 Aftermarket'!N$41)</f>
        <v/>
      </c>
      <c r="O36" s="293">
        <f>'E5 Prices &amp; Fees'!$D$45*(1+$F$78)^2*(1+$E$78*'E4 Aftermarket'!O$41)</f>
        <v/>
      </c>
      <c r="P36" s="293">
        <f>AVERAGE(D36:G36)</f>
        <v/>
      </c>
      <c r="Q36" s="293">
        <f>AVERAGE(H36:K36)</f>
        <v/>
      </c>
      <c r="R36" s="293">
        <f>AVERAGE(L36:O36)</f>
        <v/>
      </c>
    </row>
    <row r="37">
      <c r="B37" s="238" t="inlineStr">
        <is>
          <t>Core RPU</t>
        </is>
      </c>
      <c r="C37" s="256" t="inlineStr">
        <is>
          <t>$</t>
        </is>
      </c>
      <c r="D37" s="293">
        <f>'E5 Prices &amp; Fees'!$D$50*(D36/'E5 Prices &amp; Fees'!$D$45)^'E5 Prices &amp; Fees'!$D$51+IF($D$78=1,'E3 Carriers'!D$56,'E3 Carriers'!D$55)*D36+'E5 Prices &amp; Fees'!$D$48</f>
        <v/>
      </c>
      <c r="E37" s="293">
        <f>'E5 Prices &amp; Fees'!$D$50*(E36/'E5 Prices &amp; Fees'!$D$45)^'E5 Prices &amp; Fees'!$D$51+IF($D$78=1,'E3 Carriers'!E$56,'E3 Carriers'!E$55)*E36+'E5 Prices &amp; Fees'!$D$48</f>
        <v/>
      </c>
      <c r="F37" s="293">
        <f>'E5 Prices &amp; Fees'!$D$50*(F36/'E5 Prices &amp; Fees'!$D$45)^'E5 Prices &amp; Fees'!$D$51+IF($D$78=1,'E3 Carriers'!F$56,'E3 Carriers'!F$55)*F36+'E5 Prices &amp; Fees'!$D$48</f>
        <v/>
      </c>
      <c r="G37" s="293">
        <f>'E5 Prices &amp; Fees'!$D$50*(G36/'E5 Prices &amp; Fees'!$D$45)^'E5 Prices &amp; Fees'!$D$51+IF($D$78=1,'E3 Carriers'!G$56,'E3 Carriers'!G$55)*G36+'E5 Prices &amp; Fees'!$D$48</f>
        <v/>
      </c>
      <c r="H37" s="293">
        <f>'E5 Prices &amp; Fees'!$D$50*(H36/'E5 Prices &amp; Fees'!$D$45)^'E5 Prices &amp; Fees'!$D$51+IF($D$78=1,'E3 Carriers'!H$56,'E3 Carriers'!H$55)*H36+'E5 Prices &amp; Fees'!$D$48</f>
        <v/>
      </c>
      <c r="I37" s="293">
        <f>'E5 Prices &amp; Fees'!$D$50*(I36/'E5 Prices &amp; Fees'!$D$45)^'E5 Prices &amp; Fees'!$D$51+IF($D$78=1,'E3 Carriers'!I$56,'E3 Carriers'!I$55)*I36+'E5 Prices &amp; Fees'!$D$48</f>
        <v/>
      </c>
      <c r="J37" s="293">
        <f>'E5 Prices &amp; Fees'!$D$50*(J36/'E5 Prices &amp; Fees'!$D$45)^'E5 Prices &amp; Fees'!$D$51+IF($D$78=1,'E3 Carriers'!J$56,'E3 Carriers'!J$55)*J36+'E5 Prices &amp; Fees'!$D$48</f>
        <v/>
      </c>
      <c r="K37" s="293">
        <f>'E5 Prices &amp; Fees'!$D$50*(K36/'E5 Prices &amp; Fees'!$D$45)^'E5 Prices &amp; Fees'!$D$51+IF($D$78=1,'E3 Carriers'!K$56,'E3 Carriers'!K$55)*K36+'E5 Prices &amp; Fees'!$D$48</f>
        <v/>
      </c>
      <c r="L37" s="293">
        <f>'E5 Prices &amp; Fees'!$D$50*(L36/'E5 Prices &amp; Fees'!$D$45)^'E5 Prices &amp; Fees'!$D$51+IF($D$78=1,'E3 Carriers'!L$56,'E3 Carriers'!L$55)*L36+'E5 Prices &amp; Fees'!$D$48</f>
        <v/>
      </c>
      <c r="M37" s="293">
        <f>'E5 Prices &amp; Fees'!$D$50*(M36/'E5 Prices &amp; Fees'!$D$45)^'E5 Prices &amp; Fees'!$D$51+IF($D$78=1,'E3 Carriers'!M$56,'E3 Carriers'!M$55)*M36+'E5 Prices &amp; Fees'!$D$48</f>
        <v/>
      </c>
      <c r="N37" s="293">
        <f>'E5 Prices &amp; Fees'!$D$50*(N36/'E5 Prices &amp; Fees'!$D$45)^'E5 Prices &amp; Fees'!$D$51+IF($D$78=1,'E3 Carriers'!N$56,'E3 Carriers'!N$55)*N36+'E5 Prices &amp; Fees'!$D$48</f>
        <v/>
      </c>
      <c r="O37" s="293">
        <f>'E5 Prices &amp; Fees'!$D$50*(O36/'E5 Prices &amp; Fees'!$D$45)^'E5 Prices &amp; Fees'!$D$51+IF($D$78=1,'E3 Carriers'!O$56,'E3 Carriers'!O$55)*O36+'E5 Prices &amp; Fees'!$D$48</f>
        <v/>
      </c>
    </row>
    <row r="38">
      <c r="B38" s="238" t="inlineStr">
        <is>
          <t>All-in insurance RPU</t>
        </is>
      </c>
      <c r="C38" s="256" t="inlineStr">
        <is>
          <t>$</t>
        </is>
      </c>
      <c r="D38" s="293">
        <f>D37+'E5 Prices &amp; Fees'!D24</f>
        <v/>
      </c>
      <c r="E38" s="293">
        <f>E37+'E5 Prices &amp; Fees'!E24</f>
        <v/>
      </c>
      <c r="F38" s="293">
        <f>F37+'E5 Prices &amp; Fees'!F24</f>
        <v/>
      </c>
      <c r="G38" s="293">
        <f>G37+'E5 Prices &amp; Fees'!G24</f>
        <v/>
      </c>
      <c r="H38" s="293">
        <f>H37+'E5 Prices &amp; Fees'!H24</f>
        <v/>
      </c>
      <c r="I38" s="293">
        <f>I37+'E5 Prices &amp; Fees'!I24</f>
        <v/>
      </c>
      <c r="J38" s="293">
        <f>J37+'E5 Prices &amp; Fees'!J24</f>
        <v/>
      </c>
      <c r="K38" s="293">
        <f>K37+'E5 Prices &amp; Fees'!K24</f>
        <v/>
      </c>
      <c r="L38" s="293">
        <f>L37+'E5 Prices &amp; Fees'!L24</f>
        <v/>
      </c>
      <c r="M38" s="293">
        <f>M37+'E5 Prices &amp; Fees'!M24</f>
        <v/>
      </c>
      <c r="N38" s="293">
        <f>N37+'E5 Prices &amp; Fees'!N24</f>
        <v/>
      </c>
      <c r="O38" s="293">
        <f>O37+'E5 Prices &amp; Fees'!O24</f>
        <v/>
      </c>
      <c r="P38" s="293">
        <f>P39*1000/P34</f>
        <v/>
      </c>
      <c r="Q38" s="293">
        <f>Q39*1000/Q34</f>
        <v/>
      </c>
      <c r="R38" s="293">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2">
        <f>D39+D40+D41</f>
        <v/>
      </c>
      <c r="E42" s="302">
        <f>E39+E40+E41</f>
        <v/>
      </c>
      <c r="F42" s="302">
        <f>F39+F40+F41</f>
        <v/>
      </c>
      <c r="G42" s="302">
        <f>G39+G40+G41</f>
        <v/>
      </c>
      <c r="H42" s="302">
        <f>H39+H40+H41</f>
        <v/>
      </c>
      <c r="I42" s="302">
        <f>I39+I40+I41</f>
        <v/>
      </c>
      <c r="J42" s="302">
        <f>J39+J40+J41</f>
        <v/>
      </c>
      <c r="K42" s="302">
        <f>K39+K40+K41</f>
        <v/>
      </c>
      <c r="L42" s="302">
        <f>L39+L40+L41</f>
        <v/>
      </c>
      <c r="M42" s="302">
        <f>M39+M40+M41</f>
        <v/>
      </c>
      <c r="N42" s="302">
        <f>N39+N40+N41</f>
        <v/>
      </c>
      <c r="O42" s="302">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Both (A and B)</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0">
        <f>'E5 Prices &amp; Fees'!D11</f>
        <v/>
      </c>
      <c r="E47" s="300">
        <f>'E5 Prices &amp; Fees'!E11</f>
        <v/>
      </c>
      <c r="F47" s="300">
        <f>'E5 Prices &amp; Fees'!F11</f>
        <v/>
      </c>
      <c r="G47" s="300">
        <f>'E5 Prices &amp; Fees'!G11</f>
        <v/>
      </c>
      <c r="H47" s="285">
        <f>D47*'E2 Claims &amp; Totals'!H$75*IF($D$79=1,'E3 Carriers'!H$49,'E3 Carriers'!H$48)*(1+$E$79*'E4 Aftermarket'!H$40)</f>
        <v/>
      </c>
      <c r="I47" s="285">
        <f>E47*'E2 Claims &amp; Totals'!I$75*IF($D$79=1,'E3 Carriers'!I$49,'E3 Carriers'!I$48)*(1+$E$79*'E4 Aftermarket'!I$40)</f>
        <v/>
      </c>
      <c r="J47" s="285">
        <f>F47*'E2 Claims &amp; Totals'!J$75*IF($D$79=1,'E3 Carriers'!J$49,'E3 Carriers'!J$48)*(1+$E$79*'E4 Aftermarket'!J$40)</f>
        <v/>
      </c>
      <c r="K47" s="285">
        <f>G47*'E2 Claims &amp; Totals'!K$75*IF($D$79=1,'E3 Carriers'!K$49,'E3 Carriers'!K$48)*(1+$E$79*'E4 Aftermarket'!K$40)</f>
        <v/>
      </c>
      <c r="L47" s="285">
        <f>H47*'E2 Claims &amp; Totals'!L$75*IF($D$79=1,'E3 Carriers'!L$49,'E3 Carriers'!L$48)*(1+$E$79*'E4 Aftermarket'!L$40)</f>
        <v/>
      </c>
      <c r="M47" s="285">
        <f>I47*'E2 Claims &amp; Totals'!M$75*IF($D$79=1,'E3 Carriers'!M$49,'E3 Carriers'!M$48)*(1+$E$79*'E4 Aftermarket'!M$40)</f>
        <v/>
      </c>
      <c r="N47" s="285">
        <f>J47*'E2 Claims &amp; Totals'!N$75*IF($D$79=1,'E3 Carriers'!N$49,'E3 Carriers'!N$48)*(1+$E$79*'E4 Aftermarket'!N$40)</f>
        <v/>
      </c>
      <c r="O47" s="285">
        <f>K47*'E2 Claims &amp; Totals'!O$75*IF($D$79=1,'E3 Carriers'!O$49,'E3 Carriers'!O$48)*(1+$E$79*'E4 Aftermarket'!O$40)</f>
        <v/>
      </c>
      <c r="P47" s="285">
        <f>SUM(D47:G47)</f>
        <v/>
      </c>
      <c r="Q47" s="285">
        <f>SUM(H47:K47)</f>
        <v/>
      </c>
      <c r="R47" s="285">
        <f>SUM(L47:O47)</f>
        <v/>
      </c>
    </row>
    <row r="48">
      <c r="B48" s="301"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294">
        <f>'E5 Prices &amp; Fees'!$D$45</f>
        <v/>
      </c>
      <c r="E49" s="294">
        <f>'E5 Prices &amp; Fees'!$D$45</f>
        <v/>
      </c>
      <c r="F49" s="294">
        <f>'E5 Prices &amp; Fees'!$D$45</f>
        <v/>
      </c>
      <c r="G49" s="294">
        <f>'E5 Prices &amp; Fees'!$D$45</f>
        <v/>
      </c>
      <c r="H49" s="293">
        <f>'E5 Prices &amp; Fees'!$D$45*(1+$F$79)^1*(1+$E$79*'E4 Aftermarket'!H$41)</f>
        <v/>
      </c>
      <c r="I49" s="293">
        <f>'E5 Prices &amp; Fees'!$D$45*(1+$F$79)^1*(1+$E$79*'E4 Aftermarket'!I$41)</f>
        <v/>
      </c>
      <c r="J49" s="293">
        <f>'E5 Prices &amp; Fees'!$D$45*(1+$F$79)^1*(1+$E$79*'E4 Aftermarket'!J$41)</f>
        <v/>
      </c>
      <c r="K49" s="293">
        <f>'E5 Prices &amp; Fees'!$D$45*(1+$F$79)^1*(1+$E$79*'E4 Aftermarket'!K$41)</f>
        <v/>
      </c>
      <c r="L49" s="293">
        <f>'E5 Prices &amp; Fees'!$D$45*(1+$F$79)^2*(1+$E$79*'E4 Aftermarket'!L$41)</f>
        <v/>
      </c>
      <c r="M49" s="293">
        <f>'E5 Prices &amp; Fees'!$D$45*(1+$F$79)^2*(1+$E$79*'E4 Aftermarket'!M$41)</f>
        <v/>
      </c>
      <c r="N49" s="293">
        <f>'E5 Prices &amp; Fees'!$D$45*(1+$F$79)^2*(1+$E$79*'E4 Aftermarket'!N$41)</f>
        <v/>
      </c>
      <c r="O49" s="293">
        <f>'E5 Prices &amp; Fees'!$D$45*(1+$F$79)^2*(1+$E$79*'E4 Aftermarket'!O$41)</f>
        <v/>
      </c>
      <c r="P49" s="293">
        <f>AVERAGE(D49:G49)</f>
        <v/>
      </c>
      <c r="Q49" s="293">
        <f>AVERAGE(H49:K49)</f>
        <v/>
      </c>
      <c r="R49" s="293">
        <f>AVERAGE(L49:O49)</f>
        <v/>
      </c>
    </row>
    <row r="50">
      <c r="B50" s="238" t="inlineStr">
        <is>
          <t>Core RPU</t>
        </is>
      </c>
      <c r="C50" s="256" t="inlineStr">
        <is>
          <t>$</t>
        </is>
      </c>
      <c r="D50" s="293">
        <f>'E5 Prices &amp; Fees'!$D$50*(D49/'E5 Prices &amp; Fees'!$D$45)^'E5 Prices &amp; Fees'!$D$51+IF($D$79=1,'E3 Carriers'!D$56,'E3 Carriers'!D$55)*D49+'E5 Prices &amp; Fees'!$D$48</f>
        <v/>
      </c>
      <c r="E50" s="293">
        <f>'E5 Prices &amp; Fees'!$D$50*(E49/'E5 Prices &amp; Fees'!$D$45)^'E5 Prices &amp; Fees'!$D$51+IF($D$79=1,'E3 Carriers'!E$56,'E3 Carriers'!E$55)*E49+'E5 Prices &amp; Fees'!$D$48</f>
        <v/>
      </c>
      <c r="F50" s="293">
        <f>'E5 Prices &amp; Fees'!$D$50*(F49/'E5 Prices &amp; Fees'!$D$45)^'E5 Prices &amp; Fees'!$D$51+IF($D$79=1,'E3 Carriers'!F$56,'E3 Carriers'!F$55)*F49+'E5 Prices &amp; Fees'!$D$48</f>
        <v/>
      </c>
      <c r="G50" s="293">
        <f>'E5 Prices &amp; Fees'!$D$50*(G49/'E5 Prices &amp; Fees'!$D$45)^'E5 Prices &amp; Fees'!$D$51+IF($D$79=1,'E3 Carriers'!G$56,'E3 Carriers'!G$55)*G49+'E5 Prices &amp; Fees'!$D$48</f>
        <v/>
      </c>
      <c r="H50" s="293">
        <f>'E5 Prices &amp; Fees'!$D$50*(H49/'E5 Prices &amp; Fees'!$D$45)^'E5 Prices &amp; Fees'!$D$51+IF($D$79=1,'E3 Carriers'!H$56,'E3 Carriers'!H$55)*H49+'E5 Prices &amp; Fees'!$D$48</f>
        <v/>
      </c>
      <c r="I50" s="293">
        <f>'E5 Prices &amp; Fees'!$D$50*(I49/'E5 Prices &amp; Fees'!$D$45)^'E5 Prices &amp; Fees'!$D$51+IF($D$79=1,'E3 Carriers'!I$56,'E3 Carriers'!I$55)*I49+'E5 Prices &amp; Fees'!$D$48</f>
        <v/>
      </c>
      <c r="J50" s="293">
        <f>'E5 Prices &amp; Fees'!$D$50*(J49/'E5 Prices &amp; Fees'!$D$45)^'E5 Prices &amp; Fees'!$D$51+IF($D$79=1,'E3 Carriers'!J$56,'E3 Carriers'!J$55)*J49+'E5 Prices &amp; Fees'!$D$48</f>
        <v/>
      </c>
      <c r="K50" s="293">
        <f>'E5 Prices &amp; Fees'!$D$50*(K49/'E5 Prices &amp; Fees'!$D$45)^'E5 Prices &amp; Fees'!$D$51+IF($D$79=1,'E3 Carriers'!K$56,'E3 Carriers'!K$55)*K49+'E5 Prices &amp; Fees'!$D$48</f>
        <v/>
      </c>
      <c r="L50" s="293">
        <f>'E5 Prices &amp; Fees'!$D$50*(L49/'E5 Prices &amp; Fees'!$D$45)^'E5 Prices &amp; Fees'!$D$51+IF($D$79=1,'E3 Carriers'!L$56,'E3 Carriers'!L$55)*L49+'E5 Prices &amp; Fees'!$D$48</f>
        <v/>
      </c>
      <c r="M50" s="293">
        <f>'E5 Prices &amp; Fees'!$D$50*(M49/'E5 Prices &amp; Fees'!$D$45)^'E5 Prices &amp; Fees'!$D$51+IF($D$79=1,'E3 Carriers'!M$56,'E3 Carriers'!M$55)*M49+'E5 Prices &amp; Fees'!$D$48</f>
        <v/>
      </c>
      <c r="N50" s="293">
        <f>'E5 Prices &amp; Fees'!$D$50*(N49/'E5 Prices &amp; Fees'!$D$45)^'E5 Prices &amp; Fees'!$D$51+IF($D$79=1,'E3 Carriers'!N$56,'E3 Carriers'!N$55)*N49+'E5 Prices &amp; Fees'!$D$48</f>
        <v/>
      </c>
      <c r="O50" s="293">
        <f>'E5 Prices &amp; Fees'!$D$50*(O49/'E5 Prices &amp; Fees'!$D$45)^'E5 Prices &amp; Fees'!$D$51+IF($D$79=1,'E3 Carriers'!O$56,'E3 Carriers'!O$55)*O49+'E5 Prices &amp; Fees'!$D$48</f>
        <v/>
      </c>
    </row>
    <row r="51">
      <c r="B51" s="238" t="inlineStr">
        <is>
          <t>All-in insurance RPU</t>
        </is>
      </c>
      <c r="C51" s="256" t="inlineStr">
        <is>
          <t>$</t>
        </is>
      </c>
      <c r="D51" s="293">
        <f>D50+'E5 Prices &amp; Fees'!D24</f>
        <v/>
      </c>
      <c r="E51" s="293">
        <f>E50+'E5 Prices &amp; Fees'!E24</f>
        <v/>
      </c>
      <c r="F51" s="293">
        <f>F50+'E5 Prices &amp; Fees'!F24</f>
        <v/>
      </c>
      <c r="G51" s="293">
        <f>G50+'E5 Prices &amp; Fees'!G24</f>
        <v/>
      </c>
      <c r="H51" s="293">
        <f>H50+'E5 Prices &amp; Fees'!H24</f>
        <v/>
      </c>
      <c r="I51" s="293">
        <f>I50+'E5 Prices &amp; Fees'!I24</f>
        <v/>
      </c>
      <c r="J51" s="293">
        <f>J50+'E5 Prices &amp; Fees'!J24</f>
        <v/>
      </c>
      <c r="K51" s="293">
        <f>K50+'E5 Prices &amp; Fees'!K24</f>
        <v/>
      </c>
      <c r="L51" s="293">
        <f>L50+'E5 Prices &amp; Fees'!L24</f>
        <v/>
      </c>
      <c r="M51" s="293">
        <f>M50+'E5 Prices &amp; Fees'!M24</f>
        <v/>
      </c>
      <c r="N51" s="293">
        <f>N50+'E5 Prices &amp; Fees'!N24</f>
        <v/>
      </c>
      <c r="O51" s="293">
        <f>O50+'E5 Prices &amp; Fees'!O24</f>
        <v/>
      </c>
      <c r="P51" s="293">
        <f>P52*1000/P47</f>
        <v/>
      </c>
      <c r="Q51" s="293">
        <f>Q52*1000/Q47</f>
        <v/>
      </c>
      <c r="R51" s="293">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2">
        <f>D52+D53+D54</f>
        <v/>
      </c>
      <c r="E55" s="302">
        <f>E52+E53+E54</f>
        <v/>
      </c>
      <c r="F55" s="302">
        <f>F52+F53+F54</f>
        <v/>
      </c>
      <c r="G55" s="302">
        <f>G52+G53+G54</f>
        <v/>
      </c>
      <c r="H55" s="302">
        <f>H52+H53+H54</f>
        <v/>
      </c>
      <c r="I55" s="302">
        <f>I52+I53+I54</f>
        <v/>
      </c>
      <c r="J55" s="302">
        <f>J52+J53+J54</f>
        <v/>
      </c>
      <c r="K55" s="302">
        <f>K52+K53+K54</f>
        <v/>
      </c>
      <c r="L55" s="302">
        <f>L52+L53+L54</f>
        <v/>
      </c>
      <c r="M55" s="302">
        <f>M52+M53+M54</f>
        <v/>
      </c>
      <c r="N55" s="302">
        <f>N52+N53+N54</f>
        <v/>
      </c>
      <c r="O55" s="302">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Bull offset (no thesis; ASP +6%)</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0">
        <f>'E5 Prices &amp; Fees'!D11</f>
        <v/>
      </c>
      <c r="E60" s="300">
        <f>'E5 Prices &amp; Fees'!E11</f>
        <v/>
      </c>
      <c r="F60" s="300">
        <f>'E5 Prices &amp; Fees'!F11</f>
        <v/>
      </c>
      <c r="G60" s="300">
        <f>'E5 Prices &amp; Fees'!G11</f>
        <v/>
      </c>
      <c r="H60" s="285">
        <f>D60*'E2 Claims &amp; Totals'!H$75*IF($D$80=1,'E3 Carriers'!H$49,'E3 Carriers'!H$48)*(1+$E$80*'E4 Aftermarket'!H$40)</f>
        <v/>
      </c>
      <c r="I60" s="285">
        <f>E60*'E2 Claims &amp; Totals'!I$75*IF($D$80=1,'E3 Carriers'!I$49,'E3 Carriers'!I$48)*(1+$E$80*'E4 Aftermarket'!I$40)</f>
        <v/>
      </c>
      <c r="J60" s="285">
        <f>F60*'E2 Claims &amp; Totals'!J$75*IF($D$80=1,'E3 Carriers'!J$49,'E3 Carriers'!J$48)*(1+$E$80*'E4 Aftermarket'!J$40)</f>
        <v/>
      </c>
      <c r="K60" s="285">
        <f>G60*'E2 Claims &amp; Totals'!K$75*IF($D$80=1,'E3 Carriers'!K$49,'E3 Carriers'!K$48)*(1+$E$80*'E4 Aftermarket'!K$40)</f>
        <v/>
      </c>
      <c r="L60" s="285">
        <f>H60*'E2 Claims &amp; Totals'!L$75*IF($D$80=1,'E3 Carriers'!L$49,'E3 Carriers'!L$48)*(1+$E$80*'E4 Aftermarket'!L$40)</f>
        <v/>
      </c>
      <c r="M60" s="285">
        <f>I60*'E2 Claims &amp; Totals'!M$75*IF($D$80=1,'E3 Carriers'!M$49,'E3 Carriers'!M$48)*(1+$E$80*'E4 Aftermarket'!M$40)</f>
        <v/>
      </c>
      <c r="N60" s="285">
        <f>J60*'E2 Claims &amp; Totals'!N$75*IF($D$80=1,'E3 Carriers'!N$49,'E3 Carriers'!N$48)*(1+$E$80*'E4 Aftermarket'!N$40)</f>
        <v/>
      </c>
      <c r="O60" s="285">
        <f>K60*'E2 Claims &amp; Totals'!O$75*IF($D$80=1,'E3 Carriers'!O$49,'E3 Carriers'!O$48)*(1+$E$80*'E4 Aftermarket'!O$40)</f>
        <v/>
      </c>
      <c r="P60" s="285">
        <f>SUM(D60:G60)</f>
        <v/>
      </c>
      <c r="Q60" s="285">
        <f>SUM(H60:K60)</f>
        <v/>
      </c>
      <c r="R60" s="285">
        <f>SUM(L60:O60)</f>
        <v/>
      </c>
    </row>
    <row r="61">
      <c r="B61" s="301"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294">
        <f>'E5 Prices &amp; Fees'!$D$45</f>
        <v/>
      </c>
      <c r="E62" s="294">
        <f>'E5 Prices &amp; Fees'!$D$45</f>
        <v/>
      </c>
      <c r="F62" s="294">
        <f>'E5 Prices &amp; Fees'!$D$45</f>
        <v/>
      </c>
      <c r="G62" s="294">
        <f>'E5 Prices &amp; Fees'!$D$45</f>
        <v/>
      </c>
      <c r="H62" s="293">
        <f>'E5 Prices &amp; Fees'!$D$45*(1+$F$80)^1*(1+$E$80*'E4 Aftermarket'!H$41)</f>
        <v/>
      </c>
      <c r="I62" s="293">
        <f>'E5 Prices &amp; Fees'!$D$45*(1+$F$80)^1*(1+$E$80*'E4 Aftermarket'!I$41)</f>
        <v/>
      </c>
      <c r="J62" s="293">
        <f>'E5 Prices &amp; Fees'!$D$45*(1+$F$80)^1*(1+$E$80*'E4 Aftermarket'!J$41)</f>
        <v/>
      </c>
      <c r="K62" s="293">
        <f>'E5 Prices &amp; Fees'!$D$45*(1+$F$80)^1*(1+$E$80*'E4 Aftermarket'!K$41)</f>
        <v/>
      </c>
      <c r="L62" s="293">
        <f>'E5 Prices &amp; Fees'!$D$45*(1+$F$80)^2*(1+$E$80*'E4 Aftermarket'!L$41)</f>
        <v/>
      </c>
      <c r="M62" s="293">
        <f>'E5 Prices &amp; Fees'!$D$45*(1+$F$80)^2*(1+$E$80*'E4 Aftermarket'!M$41)</f>
        <v/>
      </c>
      <c r="N62" s="293">
        <f>'E5 Prices &amp; Fees'!$D$45*(1+$F$80)^2*(1+$E$80*'E4 Aftermarket'!N$41)</f>
        <v/>
      </c>
      <c r="O62" s="293">
        <f>'E5 Prices &amp; Fees'!$D$45*(1+$F$80)^2*(1+$E$80*'E4 Aftermarket'!O$41)</f>
        <v/>
      </c>
      <c r="P62" s="293">
        <f>AVERAGE(D62:G62)</f>
        <v/>
      </c>
      <c r="Q62" s="293">
        <f>AVERAGE(H62:K62)</f>
        <v/>
      </c>
      <c r="R62" s="293">
        <f>AVERAGE(L62:O62)</f>
        <v/>
      </c>
    </row>
    <row r="63">
      <c r="B63" s="238" t="inlineStr">
        <is>
          <t>Core RPU</t>
        </is>
      </c>
      <c r="C63" s="256" t="inlineStr">
        <is>
          <t>$</t>
        </is>
      </c>
      <c r="D63" s="293">
        <f>'E5 Prices &amp; Fees'!$D$50*(D62/'E5 Prices &amp; Fees'!$D$45)^'E5 Prices &amp; Fees'!$D$51+IF($D$80=1,'E3 Carriers'!D$56,'E3 Carriers'!D$55)*D62+'E5 Prices &amp; Fees'!$D$48</f>
        <v/>
      </c>
      <c r="E63" s="293">
        <f>'E5 Prices &amp; Fees'!$D$50*(E62/'E5 Prices &amp; Fees'!$D$45)^'E5 Prices &amp; Fees'!$D$51+IF($D$80=1,'E3 Carriers'!E$56,'E3 Carriers'!E$55)*E62+'E5 Prices &amp; Fees'!$D$48</f>
        <v/>
      </c>
      <c r="F63" s="293">
        <f>'E5 Prices &amp; Fees'!$D$50*(F62/'E5 Prices &amp; Fees'!$D$45)^'E5 Prices &amp; Fees'!$D$51+IF($D$80=1,'E3 Carriers'!F$56,'E3 Carriers'!F$55)*F62+'E5 Prices &amp; Fees'!$D$48</f>
        <v/>
      </c>
      <c r="G63" s="293">
        <f>'E5 Prices &amp; Fees'!$D$50*(G62/'E5 Prices &amp; Fees'!$D$45)^'E5 Prices &amp; Fees'!$D$51+IF($D$80=1,'E3 Carriers'!G$56,'E3 Carriers'!G$55)*G62+'E5 Prices &amp; Fees'!$D$48</f>
        <v/>
      </c>
      <c r="H63" s="293">
        <f>'E5 Prices &amp; Fees'!$D$50*(H62/'E5 Prices &amp; Fees'!$D$45)^'E5 Prices &amp; Fees'!$D$51+IF($D$80=1,'E3 Carriers'!H$56,'E3 Carriers'!H$55)*H62+'E5 Prices &amp; Fees'!$D$48</f>
        <v/>
      </c>
      <c r="I63" s="293">
        <f>'E5 Prices &amp; Fees'!$D$50*(I62/'E5 Prices &amp; Fees'!$D$45)^'E5 Prices &amp; Fees'!$D$51+IF($D$80=1,'E3 Carriers'!I$56,'E3 Carriers'!I$55)*I62+'E5 Prices &amp; Fees'!$D$48</f>
        <v/>
      </c>
      <c r="J63" s="293">
        <f>'E5 Prices &amp; Fees'!$D$50*(J62/'E5 Prices &amp; Fees'!$D$45)^'E5 Prices &amp; Fees'!$D$51+IF($D$80=1,'E3 Carriers'!J$56,'E3 Carriers'!J$55)*J62+'E5 Prices &amp; Fees'!$D$48</f>
        <v/>
      </c>
      <c r="K63" s="293">
        <f>'E5 Prices &amp; Fees'!$D$50*(K62/'E5 Prices &amp; Fees'!$D$45)^'E5 Prices &amp; Fees'!$D$51+IF($D$80=1,'E3 Carriers'!K$56,'E3 Carriers'!K$55)*K62+'E5 Prices &amp; Fees'!$D$48</f>
        <v/>
      </c>
      <c r="L63" s="293">
        <f>'E5 Prices &amp; Fees'!$D$50*(L62/'E5 Prices &amp; Fees'!$D$45)^'E5 Prices &amp; Fees'!$D$51+IF($D$80=1,'E3 Carriers'!L$56,'E3 Carriers'!L$55)*L62+'E5 Prices &amp; Fees'!$D$48</f>
        <v/>
      </c>
      <c r="M63" s="293">
        <f>'E5 Prices &amp; Fees'!$D$50*(M62/'E5 Prices &amp; Fees'!$D$45)^'E5 Prices &amp; Fees'!$D$51+IF($D$80=1,'E3 Carriers'!M$56,'E3 Carriers'!M$55)*M62+'E5 Prices &amp; Fees'!$D$48</f>
        <v/>
      </c>
      <c r="N63" s="293">
        <f>'E5 Prices &amp; Fees'!$D$50*(N62/'E5 Prices &amp; Fees'!$D$45)^'E5 Prices &amp; Fees'!$D$51+IF($D$80=1,'E3 Carriers'!N$56,'E3 Carriers'!N$55)*N62+'E5 Prices &amp; Fees'!$D$48</f>
        <v/>
      </c>
      <c r="O63" s="293">
        <f>'E5 Prices &amp; Fees'!$D$50*(O62/'E5 Prices &amp; Fees'!$D$45)^'E5 Prices &amp; Fees'!$D$51+IF($D$80=1,'E3 Carriers'!O$56,'E3 Carriers'!O$55)*O62+'E5 Prices &amp; Fees'!$D$48</f>
        <v/>
      </c>
    </row>
    <row r="64">
      <c r="B64" s="238" t="inlineStr">
        <is>
          <t>All-in insurance RPU</t>
        </is>
      </c>
      <c r="C64" s="256" t="inlineStr">
        <is>
          <t>$</t>
        </is>
      </c>
      <c r="D64" s="293">
        <f>D63+'E5 Prices &amp; Fees'!D24</f>
        <v/>
      </c>
      <c r="E64" s="293">
        <f>E63+'E5 Prices &amp; Fees'!E24</f>
        <v/>
      </c>
      <c r="F64" s="293">
        <f>F63+'E5 Prices &amp; Fees'!F24</f>
        <v/>
      </c>
      <c r="G64" s="293">
        <f>G63+'E5 Prices &amp; Fees'!G24</f>
        <v/>
      </c>
      <c r="H64" s="293">
        <f>H63+'E5 Prices &amp; Fees'!H24</f>
        <v/>
      </c>
      <c r="I64" s="293">
        <f>I63+'E5 Prices &amp; Fees'!I24</f>
        <v/>
      </c>
      <c r="J64" s="293">
        <f>J63+'E5 Prices &amp; Fees'!J24</f>
        <v/>
      </c>
      <c r="K64" s="293">
        <f>K63+'E5 Prices &amp; Fees'!K24</f>
        <v/>
      </c>
      <c r="L64" s="293">
        <f>L63+'E5 Prices &amp; Fees'!L24</f>
        <v/>
      </c>
      <c r="M64" s="293">
        <f>M63+'E5 Prices &amp; Fees'!M24</f>
        <v/>
      </c>
      <c r="N64" s="293">
        <f>N63+'E5 Prices &amp; Fees'!N24</f>
        <v/>
      </c>
      <c r="O64" s="293">
        <f>O63+'E5 Prices &amp; Fees'!O24</f>
        <v/>
      </c>
      <c r="P64" s="293">
        <f>P65*1000/P60</f>
        <v/>
      </c>
      <c r="Q64" s="293">
        <f>Q65*1000/Q60</f>
        <v/>
      </c>
      <c r="R64" s="293">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2">
        <f>D65+D66+D67</f>
        <v/>
      </c>
      <c r="E68" s="302">
        <f>E65+E66+E67</f>
        <v/>
      </c>
      <c r="F68" s="302">
        <f>F65+F66+F67</f>
        <v/>
      </c>
      <c r="G68" s="302">
        <f>G65+G66+G67</f>
        <v/>
      </c>
      <c r="H68" s="302">
        <f>H65+H66+H67</f>
        <v/>
      </c>
      <c r="I68" s="302">
        <f>I65+I66+I67</f>
        <v/>
      </c>
      <c r="J68" s="302">
        <f>J65+J66+J67</f>
        <v/>
      </c>
      <c r="K68" s="302">
        <f>K65+K66+K67</f>
        <v/>
      </c>
      <c r="L68" s="302">
        <f>L65+L66+L67</f>
        <v/>
      </c>
      <c r="M68" s="302">
        <f>M65+M66+M67</f>
        <v/>
      </c>
      <c r="N68" s="302">
        <f>N65+N66+N67</f>
        <v/>
      </c>
      <c r="O68" s="302">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row r="73"/>
    <row r="74"/>
    <row r="75">
      <c r="B75" s="235" t="inlineStr">
        <is>
          <t>Case parameters</t>
        </is>
      </c>
      <c r="C75" s="236" t="n"/>
      <c r="D75" s="269" t="inlineStr">
        <is>
          <t>a (thesis A)</t>
        </is>
      </c>
      <c r="E75" s="269" t="inlineStr">
        <is>
          <t>b (thesis B)</t>
        </is>
      </c>
      <c r="F75" s="269" t="inlineStr">
        <is>
          <t>ASP growth</t>
        </is>
      </c>
      <c r="G75" s="269" t="inlineStr">
        <is>
          <t>Label</t>
        </is>
      </c>
      <c r="H75" s="236" t="n"/>
      <c r="I75" s="236" t="n"/>
      <c r="J75" s="236" t="n"/>
      <c r="K75" s="236" t="n"/>
      <c r="L75" s="236" t="n"/>
      <c r="M75" s="236" t="n"/>
      <c r="N75" s="236" t="n"/>
      <c r="O75" s="236" t="n"/>
      <c r="P75" s="236" t="n"/>
      <c r="Q75" s="236" t="n"/>
      <c r="R75" s="236" t="n"/>
      <c r="S75" s="236" t="n"/>
    </row>
    <row r="76">
      <c r="B76" s="238" t="inlineStr">
        <is>
          <t>Case 1: Neither (known Progressive runoff only; no thesis)</t>
        </is>
      </c>
      <c r="D76" s="243" t="n">
        <v>0</v>
      </c>
      <c r="E76" s="243" t="n">
        <v>0</v>
      </c>
      <c r="F76" s="279">
        <f>'E5 Prices &amp; Fees'!$D$44</f>
        <v/>
      </c>
      <c r="G76" s="234" t="inlineStr">
        <is>
          <t>TOGGLE / ASSUMED</t>
        </is>
      </c>
    </row>
    <row r="77">
      <c r="B77" s="238" t="inlineStr">
        <is>
          <t>Case 2: A only (contestable allocation: events, drift, concessions)</t>
        </is>
      </c>
      <c r="D77" s="243" t="n">
        <v>1</v>
      </c>
      <c r="E77" s="243" t="n">
        <v>0</v>
      </c>
      <c r="F77" s="279">
        <f>'E5 Prices &amp; Fees'!$D$44</f>
        <v/>
      </c>
      <c r="G77" s="234" t="inlineStr">
        <is>
          <t>TOGGLE / ASSUMED</t>
        </is>
      </c>
    </row>
    <row r="78">
      <c r="B78" s="238" t="inlineStr">
        <is>
          <t>Case 3: B only (aftermarket substitution)</t>
        </is>
      </c>
      <c r="D78" s="243" t="n">
        <v>0</v>
      </c>
      <c r="E78" s="243" t="n">
        <v>1</v>
      </c>
      <c r="F78" s="279">
        <f>'E5 Prices &amp; Fees'!$D$44</f>
        <v/>
      </c>
      <c r="G78" s="234" t="inlineStr">
        <is>
          <t>TOGGLE / ASSUMED</t>
        </is>
      </c>
    </row>
    <row r="79">
      <c r="B79" s="238" t="inlineStr">
        <is>
          <t>Case 4: Both (A and B)</t>
        </is>
      </c>
      <c r="D79" s="243" t="n">
        <v>1</v>
      </c>
      <c r="E79" s="243" t="n">
        <v>1</v>
      </c>
      <c r="F79" s="279">
        <f>'E5 Prices &amp; Fees'!$D$44</f>
        <v/>
      </c>
      <c r="G79" s="234" t="inlineStr">
        <is>
          <t>TOGGLE / ASSUMED</t>
        </is>
      </c>
    </row>
    <row r="80">
      <c r="B80" s="238" t="inlineStr">
        <is>
          <t>Case 5: Bull offset (no thesis; ASP +6%)</t>
        </is>
      </c>
      <c r="D80" s="243" t="n">
        <v>0</v>
      </c>
      <c r="E80" s="243" t="n">
        <v>0</v>
      </c>
      <c r="F80" s="257" t="n">
        <v>0.06</v>
      </c>
      <c r="G80" s="234" t="inlineStr">
        <is>
          <t>TOGGLE / ASSUMED</t>
        </is>
      </c>
    </row>
    <row r="81">
      <c r="B81" s="238" t="inlineStr">
        <is>
          <t>JPMorgan FY27 service revenue, 11 Sep 2026 (ex-ACV)</t>
        </is>
      </c>
      <c r="C81" s="256" t="inlineStr">
        <is>
          <t>$M</t>
        </is>
      </c>
      <c r="D81" s="303" t="n">
        <v>4061</v>
      </c>
      <c r="S81" s="234" t="inlineStr">
        <is>
          <t>VERIFIED, licensed report held locally, Table 3 lines 275–278</t>
        </is>
      </c>
    </row>
    <row r="84">
      <c r="B84" s="254" t="inlineStr">
        <is>
          <t>Summary — FY27 legacy service revenue by case; quote both deltas, never only the larger one</t>
        </is>
      </c>
      <c r="C84" s="274" t="n"/>
      <c r="D84" s="254" t="inlineStr">
        <is>
          <t>FY27E</t>
        </is>
      </c>
      <c r="E84" s="254" t="inlineStr">
        <is>
          <t>Δ vs Neither (own reference)</t>
        </is>
      </c>
      <c r="F84" s="254" t="inlineStr">
        <is>
          <t>Δ vs JPM $4,061m</t>
        </is>
      </c>
      <c r="G84" s="254" t="inlineStr">
        <is>
          <t>Δ vs JPM %</t>
        </is>
      </c>
      <c r="H84" s="254" t="inlineStr">
        <is>
          <t>FY28E</t>
        </is>
      </c>
      <c r="I84" s="274" t="n"/>
      <c r="J84" s="274" t="n"/>
      <c r="K84" s="274" t="n"/>
      <c r="L84" s="274" t="n"/>
      <c r="M84" s="274" t="n"/>
      <c r="N84" s="274" t="n"/>
      <c r="O84" s="274" t="n"/>
      <c r="P84" s="274" t="n"/>
      <c r="Q84" s="274" t="n"/>
      <c r="R84" s="274" t="n"/>
      <c r="S84" s="274" t="n"/>
    </row>
    <row r="85">
      <c r="B85" s="238" t="inlineStr">
        <is>
          <t>Case 1: Neither (known Progressive runoff only; no thesis)</t>
        </is>
      </c>
      <c r="D85" s="260">
        <f>Q16</f>
        <v/>
      </c>
      <c r="E85" s="259">
        <f>D85-$D$85</f>
        <v/>
      </c>
      <c r="F85" s="259">
        <f>D85-$D$81</f>
        <v/>
      </c>
      <c r="G85" s="278">
        <f>F85/$D$81</f>
        <v/>
      </c>
      <c r="H85" s="259">
        <f>R16</f>
        <v/>
      </c>
    </row>
    <row r="86">
      <c r="B86" s="238" t="inlineStr">
        <is>
          <t>Case 2: A only (contestable allocation: events, drift, concessions)</t>
        </is>
      </c>
      <c r="D86" s="260">
        <f>Q29</f>
        <v/>
      </c>
      <c r="E86" s="259">
        <f>D86-$D$85</f>
        <v/>
      </c>
      <c r="F86" s="259">
        <f>D86-$D$81</f>
        <v/>
      </c>
      <c r="G86" s="278">
        <f>F86/$D$81</f>
        <v/>
      </c>
      <c r="H86" s="259">
        <f>R29</f>
        <v/>
      </c>
    </row>
    <row r="87">
      <c r="B87" s="238" t="inlineStr">
        <is>
          <t>Case 3: B only (aftermarket substitution)</t>
        </is>
      </c>
      <c r="D87" s="260">
        <f>Q42</f>
        <v/>
      </c>
      <c r="E87" s="259">
        <f>D87-$D$85</f>
        <v/>
      </c>
      <c r="F87" s="259">
        <f>D87-$D$81</f>
        <v/>
      </c>
      <c r="G87" s="278">
        <f>F87/$D$81</f>
        <v/>
      </c>
      <c r="H87" s="259">
        <f>R42</f>
        <v/>
      </c>
    </row>
    <row r="88">
      <c r="B88" s="238" t="inlineStr">
        <is>
          <t>Case 4: Both (A and B)</t>
        </is>
      </c>
      <c r="D88" s="260">
        <f>Q55</f>
        <v/>
      </c>
      <c r="E88" s="259">
        <f>D88-$D$85</f>
        <v/>
      </c>
      <c r="F88" s="259">
        <f>D88-$D$81</f>
        <v/>
      </c>
      <c r="G88" s="278">
        <f>F88/$D$81</f>
        <v/>
      </c>
      <c r="H88" s="259">
        <f>R55</f>
        <v/>
      </c>
    </row>
    <row r="89">
      <c r="B89" s="238" t="inlineStr">
        <is>
          <t>Case 5: Bull offset (no thesis; ASP +6%)</t>
        </is>
      </c>
      <c r="D89" s="260">
        <f>Q68</f>
        <v/>
      </c>
      <c r="E89" s="259">
        <f>D89-$D$85</f>
        <v/>
      </c>
      <c r="F89" s="259">
        <f>D89-$D$81</f>
        <v/>
      </c>
      <c r="G89" s="278">
        <f>F89/$D$81</f>
        <v/>
      </c>
      <c r="H89" s="259">
        <f>R68</f>
        <v/>
      </c>
    </row>
    <row r="91">
      <c r="B91" s="238" t="inlineStr">
        <is>
          <t>Engine parity — saved reference (mask 10) FY27 service revenue</t>
        </is>
      </c>
      <c r="C91" s="256" t="inlineStr">
        <is>
          <t>$M</t>
        </is>
      </c>
      <c r="D91" s="262">
        <f>SUMIFS('D Engine'!$D$5:$D$20,'D Engine'!$B$5:$B$20,10)</f>
        <v/>
      </c>
      <c r="S91" s="234" t="inlineStr">
        <is>
          <t>ENGINE: D Engine; the engine reference repeats prior-year carrier conditions (implies a rebound after the account loss), so it sits above case 1 by design</t>
        </is>
      </c>
    </row>
    <row r="92">
      <c r="B92" s="242" t="inlineStr">
        <is>
          <t>Engine parity — reference + allocation (mask 11): the like-for-like comparator for case 1</t>
        </is>
      </c>
      <c r="C92" s="256" t="inlineStr">
        <is>
          <t>$M</t>
        </is>
      </c>
      <c r="D92" s="304">
        <f>SUMIFS('D Engine'!$D$5:$D$20,'D Engine'!$B$5:$B$20,11)</f>
        <v/>
      </c>
      <c r="E92" s="260">
        <f>D85</f>
        <v/>
      </c>
      <c r="F92" s="234" t="inlineStr">
        <is>
          <t>← workbook case 1</t>
        </is>
      </c>
    </row>
    <row r="93">
      <c r="B93" s="242" t="inlineStr">
        <is>
          <t>Engine parity — aftermarket effect (mask 14 − mask 10): the comparator for case 3 − case 1</t>
        </is>
      </c>
      <c r="C93" s="256" t="inlineStr">
        <is>
          <t>$M</t>
        </is>
      </c>
      <c r="D93" s="304">
        <f>SUMIFS('D Engine'!$D$5:$D$20,'D Engine'!$B$5:$B$20,14)-D91</f>
        <v/>
      </c>
      <c r="E93" s="260">
        <f>E87</f>
        <v/>
      </c>
      <c r="F93" s="234" t="inlineStr">
        <is>
          <t>← workbook case 3 − case 1</t>
        </is>
      </c>
    </row>
    <row r="94">
      <c r="B94" s="272" t="inlineStr">
        <is>
          <t>Engine all four drivers (mask 15), for reference only: its allocation term is measured against a rebound reference, so it is not comparable with case 4 − case 1</t>
        </is>
      </c>
      <c r="C94" s="256" t="inlineStr">
        <is>
          <t>$M</t>
        </is>
      </c>
      <c r="D94" s="262">
        <f>SUMIFS('D Engine'!$D$5:$D$20,'D Engine'!$B$5:$B$20,15)</f>
        <v/>
      </c>
    </row>
    <row r="96">
      <c r="B96" s="254" t="inlineStr">
        <is>
          <t>Selected case → RPM</t>
        </is>
      </c>
      <c r="C96" s="274" t="n"/>
      <c r="D96" s="274" t="n"/>
      <c r="E96" s="274" t="n"/>
      <c r="F96" s="274" t="n"/>
      <c r="G96" s="274" t="n"/>
      <c r="H96" s="274" t="n"/>
      <c r="I96" s="274" t="n"/>
      <c r="J96" s="274" t="n"/>
      <c r="K96" s="274" t="n"/>
      <c r="L96" s="274" t="n"/>
      <c r="M96" s="274" t="n"/>
      <c r="N96" s="274" t="n"/>
      <c r="O96" s="274" t="n"/>
      <c r="P96" s="274" t="n"/>
      <c r="Q96" s="274" t="n"/>
      <c r="R96" s="274" t="n"/>
      <c r="S96" s="274" t="n"/>
    </row>
    <row r="97">
      <c r="B97" s="242" t="inlineStr">
        <is>
          <t>Selected: legacy service revenue</t>
        </is>
      </c>
      <c r="D97" s="260">
        <f>CHOOSE($D$3,D16,D29,D42,D55,D68)</f>
        <v/>
      </c>
      <c r="E97" s="260">
        <f>CHOOSE($D$3,E16,E29,E42,E55,E68)</f>
        <v/>
      </c>
      <c r="F97" s="260">
        <f>CHOOSE($D$3,F16,F29,F42,F55,F68)</f>
        <v/>
      </c>
      <c r="G97" s="260">
        <f>CHOOSE($D$3,G16,G29,G42,G55,G68)</f>
        <v/>
      </c>
      <c r="H97" s="260">
        <f>CHOOSE($D$3,H16,H29,H42,H55,H68)</f>
        <v/>
      </c>
      <c r="I97" s="260">
        <f>CHOOSE($D$3,I16,I29,I42,I55,I68)</f>
        <v/>
      </c>
      <c r="J97" s="260">
        <f>CHOOSE($D$3,J16,J29,J42,J55,J68)</f>
        <v/>
      </c>
      <c r="K97" s="260">
        <f>CHOOSE($D$3,K16,K29,K42,K55,K68)</f>
        <v/>
      </c>
      <c r="L97" s="260">
        <f>CHOOSE($D$3,L16,L29,L42,L55,L68)</f>
        <v/>
      </c>
      <c r="M97" s="260">
        <f>CHOOSE($D$3,M16,M29,M42,M55,M68)</f>
        <v/>
      </c>
      <c r="N97" s="260">
        <f>CHOOSE($D$3,N16,N29,N42,N55,N68)</f>
        <v/>
      </c>
      <c r="O97" s="260">
        <f>CHOOSE($D$3,O16,O29,O42,O55,O68)</f>
        <v/>
      </c>
      <c r="P97" s="260">
        <f>CHOOSE($D$3,P16,P29,P42,P55,P68)</f>
        <v/>
      </c>
      <c r="Q97" s="260">
        <f>CHOOSE($D$3,Q16,Q29,Q42,Q55,Q68)</f>
        <v/>
      </c>
      <c r="R97" s="260">
        <f>CHOOSE($D$3,R16,R29,R42,R55,R68)</f>
        <v/>
      </c>
    </row>
    <row r="98">
      <c r="B98" s="242" t="inlineStr">
        <is>
          <t>Selected: purchased-vehicle revenue</t>
        </is>
      </c>
      <c r="D98" s="260">
        <f>CHOOSE($D$3,D17,D30,D43,D56,D69)</f>
        <v/>
      </c>
      <c r="E98" s="260">
        <f>CHOOSE($D$3,E17,E30,E43,E56,E69)</f>
        <v/>
      </c>
      <c r="F98" s="260">
        <f>CHOOSE($D$3,F17,F30,F43,F56,F69)</f>
        <v/>
      </c>
      <c r="G98" s="260">
        <f>CHOOSE($D$3,G17,G30,G43,G56,G69)</f>
        <v/>
      </c>
      <c r="H98" s="260">
        <f>CHOOSE($D$3,H17,H30,H43,H56,H69)</f>
        <v/>
      </c>
      <c r="I98" s="260">
        <f>CHOOSE($D$3,I17,I30,I43,I56,I69)</f>
        <v/>
      </c>
      <c r="J98" s="260">
        <f>CHOOSE($D$3,J17,J30,J43,J56,J69)</f>
        <v/>
      </c>
      <c r="K98" s="260">
        <f>CHOOSE($D$3,K17,K30,K43,K56,K69)</f>
        <v/>
      </c>
      <c r="L98" s="260">
        <f>CHOOSE($D$3,L17,L30,L43,L56,L69)</f>
        <v/>
      </c>
      <c r="M98" s="260">
        <f>CHOOSE($D$3,M17,M30,M43,M56,M69)</f>
        <v/>
      </c>
      <c r="N98" s="260">
        <f>CHOOSE($D$3,N17,N30,N43,N56,N69)</f>
        <v/>
      </c>
      <c r="O98" s="260">
        <f>CHOOSE($D$3,O17,O30,O43,O56,O69)</f>
        <v/>
      </c>
      <c r="P98" s="260">
        <f>CHOOSE($D$3,P17,P30,P43,P56,P69)</f>
        <v/>
      </c>
      <c r="Q98" s="260">
        <f>CHOOSE($D$3,Q17,Q30,Q43,Q56,Q69)</f>
        <v/>
      </c>
      <c r="R98" s="260">
        <f>CHOOSE($D$3,R17,R30,R43,R56,R69)</f>
        <v/>
      </c>
    </row>
    <row r="99">
      <c r="B99" s="242" t="inlineStr">
        <is>
          <t>Selected: insurance units</t>
        </is>
      </c>
      <c r="D99" s="285">
        <f>CHOOSE($D$3,D8,D21,D34,D47,D60)</f>
        <v/>
      </c>
      <c r="E99" s="285">
        <f>CHOOSE($D$3,E8,E21,E34,E47,E60)</f>
        <v/>
      </c>
      <c r="F99" s="285">
        <f>CHOOSE($D$3,F8,F21,F34,F47,F60)</f>
        <v/>
      </c>
      <c r="G99" s="285">
        <f>CHOOSE($D$3,G8,G21,G34,G47,G60)</f>
        <v/>
      </c>
      <c r="H99" s="285">
        <f>CHOOSE($D$3,H8,H21,H34,H47,H60)</f>
        <v/>
      </c>
      <c r="I99" s="285">
        <f>CHOOSE($D$3,I8,I21,I34,I47,I60)</f>
        <v/>
      </c>
      <c r="J99" s="285">
        <f>CHOOSE($D$3,J8,J21,J34,J47,J60)</f>
        <v/>
      </c>
      <c r="K99" s="285">
        <f>CHOOSE($D$3,K8,K21,K34,K47,K60)</f>
        <v/>
      </c>
      <c r="L99" s="285">
        <f>CHOOSE($D$3,L8,L21,L34,L47,L60)</f>
        <v/>
      </c>
      <c r="M99" s="285">
        <f>CHOOSE($D$3,M8,M21,M34,M47,M60)</f>
        <v/>
      </c>
      <c r="N99" s="285">
        <f>CHOOSE($D$3,N8,N21,N34,N47,N60)</f>
        <v/>
      </c>
      <c r="O99" s="285">
        <f>CHOOSE($D$3,O8,O21,O34,O47,O60)</f>
        <v/>
      </c>
      <c r="P99" s="285">
        <f>CHOOSE($D$3,P8,P21,P34,P47,P60)</f>
        <v/>
      </c>
      <c r="Q99" s="285">
        <f>CHOOSE($D$3,Q8,Q21,Q34,Q47,Q60)</f>
        <v/>
      </c>
      <c r="R99" s="285">
        <f>CHOOSE($D$3,R8,R21,R34,R47,R60)</f>
        <v/>
      </c>
    </row>
    <row r="100">
      <c r="B100" s="242" t="inlineStr">
        <is>
          <t>Selected: total revenue</t>
        </is>
      </c>
      <c r="D100" s="260">
        <f>CHOOSE($D$3,D18,D31,D44,D57,D70)</f>
        <v/>
      </c>
      <c r="E100" s="260">
        <f>CHOOSE($D$3,E18,E31,E44,E57,E70)</f>
        <v/>
      </c>
      <c r="F100" s="260">
        <f>CHOOSE($D$3,F18,F31,F44,F57,F70)</f>
        <v/>
      </c>
      <c r="G100" s="260">
        <f>CHOOSE($D$3,G18,G31,G44,G57,G70)</f>
        <v/>
      </c>
      <c r="H100" s="260">
        <f>CHOOSE($D$3,H18,H31,H44,H57,H70)</f>
        <v/>
      </c>
      <c r="I100" s="260">
        <f>CHOOSE($D$3,I18,I31,I44,I57,I70)</f>
        <v/>
      </c>
      <c r="J100" s="260">
        <f>CHOOSE($D$3,J18,J31,J44,J57,J70)</f>
        <v/>
      </c>
      <c r="K100" s="260">
        <f>CHOOSE($D$3,K18,K31,K44,K57,K70)</f>
        <v/>
      </c>
      <c r="L100" s="260">
        <f>CHOOSE($D$3,L18,L31,L44,L57,L70)</f>
        <v/>
      </c>
      <c r="M100" s="260">
        <f>CHOOSE($D$3,M18,M31,M44,M57,M70)</f>
        <v/>
      </c>
      <c r="N100" s="260">
        <f>CHOOSE($D$3,N18,N31,N44,N57,N70)</f>
        <v/>
      </c>
      <c r="O100" s="260">
        <f>CHOOSE($D$3,O18,O31,O44,O57,O70)</f>
        <v/>
      </c>
      <c r="P100" s="260">
        <f>CHOOSE($D$3,P18,P31,P44,P57,P70)</f>
        <v/>
      </c>
      <c r="Q100" s="260">
        <f>CHOOSE($D$3,Q18,Q31,Q44,Q57,Q70)</f>
        <v/>
      </c>
      <c r="R100" s="260">
        <f>CHOOSE($D$3,R18,R31,R44,R57,R70)</f>
        <v/>
      </c>
    </row>
    <row r="101">
      <c r="B101" s="242" t="inlineStr">
        <is>
          <t>Selected: all-in insurance RPU</t>
        </is>
      </c>
      <c r="D101" s="295">
        <f>CHOOSE($D$3,D12,D25,D38,D51,D64)</f>
        <v/>
      </c>
      <c r="E101" s="295">
        <f>CHOOSE($D$3,E12,E25,E38,E51,E64)</f>
        <v/>
      </c>
      <c r="F101" s="295">
        <f>CHOOSE($D$3,F12,F25,F38,F51,F64)</f>
        <v/>
      </c>
      <c r="G101" s="295">
        <f>CHOOSE($D$3,G12,G25,G38,G51,G64)</f>
        <v/>
      </c>
      <c r="H101" s="295">
        <f>CHOOSE($D$3,H12,H25,H38,H51,H64)</f>
        <v/>
      </c>
      <c r="I101" s="295">
        <f>CHOOSE($D$3,I12,I25,I38,I51,I64)</f>
        <v/>
      </c>
      <c r="J101" s="295">
        <f>CHOOSE($D$3,J12,J25,J38,J51,J64)</f>
        <v/>
      </c>
      <c r="K101" s="295">
        <f>CHOOSE($D$3,K12,K25,K38,K51,K64)</f>
        <v/>
      </c>
      <c r="L101" s="295">
        <f>CHOOSE($D$3,L12,L25,L38,L51,L64)</f>
        <v/>
      </c>
      <c r="M101" s="295">
        <f>CHOOSE($D$3,M12,M25,M38,M51,M64)</f>
        <v/>
      </c>
      <c r="N101" s="295">
        <f>CHOOSE($D$3,N12,N25,N38,N51,N64)</f>
        <v/>
      </c>
      <c r="O101" s="295">
        <f>CHOOSE($D$3,O12,O25,O38,O51,O64)</f>
        <v/>
      </c>
      <c r="P101" s="295">
        <f>CHOOSE($D$3,P12,P25,P38,P51,P64)</f>
        <v/>
      </c>
      <c r="Q101" s="295">
        <f>CHOOSE($D$3,Q12,Q25,Q38,Q51,Q64)</f>
        <v/>
      </c>
      <c r="R101" s="295">
        <f>CHOOSE($D$3,R12,R25,R38,R51,R64)</f>
        <v/>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05" t="inlineStr">
        <is>
          <t>Jefferies</t>
        </is>
      </c>
      <c r="E4" s="305" t="inlineStr">
        <is>
          <t>BNP Paribas</t>
        </is>
      </c>
      <c r="F4" s="305" t="inlineStr">
        <is>
          <t>J.P. Morgan</t>
        </is>
      </c>
      <c r="G4" s="305" t="inlineStr">
        <is>
          <t>BofA Global Research</t>
        </is>
      </c>
      <c r="H4" s="305" t="inlineStr">
        <is>
          <t>Stephens Inc.</t>
        </is>
      </c>
      <c r="I4" s="305" t="inlineStr">
        <is>
          <t>Barclays</t>
        </is>
      </c>
      <c r="J4" s="305" t="inlineStr">
        <is>
          <t>HSBC Global Investment Resea</t>
        </is>
      </c>
      <c r="K4" s="305" t="inlineStr">
        <is>
          <t>BNP Paribas</t>
        </is>
      </c>
      <c r="L4" s="305" t="inlineStr">
        <is>
          <t>Barclays</t>
        </is>
      </c>
      <c r="M4" s="305" t="inlineStr">
        <is>
          <t>J.P. Morgan Securities LLC</t>
        </is>
      </c>
    </row>
    <row r="5" ht="15" customHeight="1">
      <c r="B5" s="238" t="inlineStr">
        <is>
          <t>Report date</t>
        </is>
      </c>
      <c r="D5" s="306" t="inlineStr">
        <is>
          <t>2026-06-29 (line 5, repeated on every page header e.g. lines 75, 85); recommendation published and distributed June 29, 2026 at 18:36 (lines 112-113); rating/PT history chart dated as of 06-29-2026 (line 164).</t>
        </is>
      </c>
      <c r="E5" s="306" t="inlineStr">
        <is>
          <t>2026-07-06 (line 17; price basis close 1 July 2026 USD28.8, line 63; production 17:38 London, line 19)</t>
        </is>
      </c>
      <c r="F5" s="306" t="inlineStr">
        <is>
          <t>2026-07-06</t>
        </is>
      </c>
      <c r="G5" s="306" t="inlineStr">
        <is>
          <t>2026-07-28 (dated 28 July 2026 at line 68; timestamp 28 July 2026 05:00AM EDT at line 118; page headers lines 123, 235, 248). VERIFIED.</t>
        </is>
      </c>
      <c r="H5" s="306" t="inlineStr">
        <is>
          <t>2026-08-19</t>
        </is>
      </c>
      <c r="I5" s="306" t="inlineStr">
        <is>
          <t>2026-08-25 (dateline line 44; completed 25-Aug-26 00:51 GMT, released 25-Aug-26 10:00 GMT, line 58). Pricing and Bloomberg consensus as of 24-Aug-2026 (lines 131-132, 134, 279, 323-324, 336, 505, 641).</t>
        </is>
      </c>
      <c r="J5" s="306" t="inlineStr">
        <is>
          <t>10 September 2026 (lines 52, 78, 101, 147, 217, 246, 267); produced and signed off 11 Sep 2026 00:16 GMT (line 259); cover says priced as of 10 Sep 2026 at USD30.75 (lines 17-18; disclosure checklist line 174 repeats 30.75 / 10 Sep 2026), while the boilerplate</t>
        </is>
      </c>
      <c r="K5" s="306" t="inlineStr">
        <is>
          <t>2026-09-11 (line 20; production time 18:27 London, line 22); prices as of 10 Sep 2026 close $30.8 (lines 65, 546-547); model update dated 11 Sep 26 (line 651). Post-FQ4 FY26 earnings note (FQ4 FY26 = May-Jul 2026 quarter ended 31 Jul 2026). Results-release dat</t>
        </is>
      </c>
      <c r="L5" s="306" t="inlineStr">
        <is>
          <t>2026-09-11 (dated 11 September 2026, line 45; completed 11-Sep-26 02:23 GMT, released 11-Sep-26 10:00 GMT, line 77; prices as of 10-Sep-2026 close, lines 53, 256, 258). CONFIRMED.</t>
        </is>
      </c>
      <c r="M5" s="306"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06" t="inlineStr">
        <is>
          <t xml:space="preserve">Analyst rating: BUY (line 58). Price $28.10, prior trading day's close (line 59; footnote lines 65-66). Price target $45.00, +60% to PT (line 60; arithmetic checks: 45.00/28.10 = 1.60). 52-week high-low $50.11-$28.08 (line 61), so the stock is within $0.02 of </t>
        </is>
      </c>
      <c r="E6" s="306"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06" t="inlineStr">
        <is>
          <t>Neutral (unchanged; lines 10, 69, 265). Price target cut to $32 (Dec-2027 horizon) from $35 (Dec-2026 horizon) (lines 13-14, 42, 265-266; down-arrow marker at line 13). Method: 50/50 blend of ~15x FY28E EBITDA (vs ~18x long-term average) and ~20x FY27E EPS (vs</t>
        </is>
      </c>
      <c r="G6" s="306" t="inlineStr">
        <is>
          <t>Reiterate BUY; price objective USD 123.00 (unchanged; date established 14-Jan-2026); price USD 116.35; Investment Opinion B-1-7 (lines 16, 95-98). PO basis: 16x 2026E EV/EBITDA, near the middle of a 10-22x historical range (lines 51, 253-254). Estimate changes</t>
        </is>
      </c>
      <c r="H6" s="306" t="inlineStr">
        <is>
          <t xml:space="preserve">Equal-Weight, $35.00 price target, no change in this note (Changes table shows '--' as previous for both rating and PT; lines 6-8; rating also line 46). Price at publication $31.51 (line 9); 52-week high $50.11 / low $26.81 (lines 11-12). Valuation method: PT </t>
        </is>
      </c>
      <c r="I6" s="306" t="inlineStr">
        <is>
          <t>CPRT: Underweight (unchanged), price target cut to $25 from $26 (-4%), based on 10x EV/EBITDA applied to Barclays' FY2026 (Jul year-end) forecast; stock $33.26 on 24-Aug-2026, implying -24.8%. Upside scenario $55 (25x EV/EBITDA on 2026), downside $21 (8x on 20</t>
        </is>
      </c>
      <c r="J6" s="306" t="inlineStr">
        <is>
          <t>Buy, target price USD46.00, share price USD30.75 (line 17). Rating history: N/A to Hold 04 Dec 2023; Hold to Buy 04 Sep 2025, both Wesley Brooks (lines 154-155). TP history: 51.00 (04 Dec 2023), 56.00 (11 Dec 2024), 62.00 (04 Sep 2025), 46.00 (20 Feb 2026) (li</t>
        </is>
      </c>
      <c r="K6" s="306" t="inlineStr">
        <is>
          <t>Outperform, 12-month TP $40 unchanged, 30% upside on cover (line 11) / 31% in thesis text (line 105); lines 10-11, 43, 105, 332, 547. TP = 17.5x EV/EBIT (multiple unchanged) applied to FY29E EBIT $2,063m, rolled forward from the PRIOR FY28E EBIT of $1,868m (th</t>
        </is>
      </c>
      <c r="L6" s="306" t="inlineStr">
        <is>
          <t xml:space="preserve">Underweight, unchanged (lines 47-48); industry view U.S. Auto Retail Neutral, unchanged (lines 49-50). Price target $25.00, unchanged (lines 51-52, 104, 109); price $30.75 at 10-Sep-26 close (line 53); potential downside -18.7% (line 54; arithmetic 25/30.75-1 </t>
        </is>
      </c>
      <c r="M6" s="306"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06" t="inlineStr">
        <is>
          <t>not disclosed</t>
        </is>
      </c>
      <c r="E7" s="306" t="inlineStr">
        <is>
          <t>not disclosed</t>
        </is>
      </c>
      <c r="F7" s="303" t="n">
        <v>3932</v>
      </c>
      <c r="G7" s="306" t="inlineStr">
        <is>
          <t>not disclosed</t>
        </is>
      </c>
      <c r="H7" s="306" t="inlineStr">
        <is>
          <t>not disclosed</t>
        </is>
      </c>
      <c r="I7" s="306" t="inlineStr">
        <is>
          <t>not disclosed</t>
        </is>
      </c>
      <c r="J7" s="306" t="inlineStr">
        <is>
          <t>not disclosed</t>
        </is>
      </c>
      <c r="K7" s="306" t="inlineStr">
        <is>
          <t>not disclosed</t>
        </is>
      </c>
      <c r="L7" s="306" t="inlineStr">
        <is>
          <t>not disclosed</t>
        </is>
      </c>
      <c r="M7" s="303" t="n">
        <v>4061</v>
      </c>
    </row>
    <row r="8" ht="15" customHeight="1">
      <c r="B8" s="238" t="inlineStr">
        <is>
          <t>FY27E purchased-vehicle revenue ($M)</t>
        </is>
      </c>
      <c r="D8" s="306" t="inlineStr">
        <is>
          <t>not disclosed</t>
        </is>
      </c>
      <c r="E8" s="306" t="inlineStr">
        <is>
          <t>not disclosed</t>
        </is>
      </c>
      <c r="F8" s="303" t="n">
        <v>710</v>
      </c>
      <c r="G8" s="306" t="inlineStr">
        <is>
          <t>not disclosed</t>
        </is>
      </c>
      <c r="H8" s="306" t="inlineStr">
        <is>
          <t>not disclosed</t>
        </is>
      </c>
      <c r="I8" s="306" t="inlineStr">
        <is>
          <t>not disclosed</t>
        </is>
      </c>
      <c r="J8" s="306" t="inlineStr">
        <is>
          <t>not disclosed</t>
        </is>
      </c>
      <c r="K8" s="306" t="inlineStr">
        <is>
          <t>not disclosed</t>
        </is>
      </c>
      <c r="L8" s="306" t="inlineStr">
        <is>
          <t>not disclosed</t>
        </is>
      </c>
      <c r="M8" s="303" t="n">
        <v>721</v>
      </c>
    </row>
    <row r="9" ht="15" customHeight="1">
      <c r="B9" s="238" t="inlineStr">
        <is>
          <t>FY27E total revenue ($M)</t>
        </is>
      </c>
      <c r="D9" s="306" t="inlineStr">
        <is>
          <t>not disclosed</t>
        </is>
      </c>
      <c r="E9" s="303" t="n">
        <v>4800</v>
      </c>
      <c r="F9" s="303" t="n">
        <v>4643</v>
      </c>
      <c r="G9" s="303" t="n">
        <v>5338.9</v>
      </c>
      <c r="H9" s="306" t="inlineStr">
        <is>
          <t>not disclosed</t>
        </is>
      </c>
      <c r="I9" s="303" t="n">
        <v>4759</v>
      </c>
      <c r="J9" s="306" t="inlineStr">
        <is>
          <t>not disclosed</t>
        </is>
      </c>
      <c r="K9" s="303" t="n">
        <v>4891</v>
      </c>
      <c r="L9" s="303" t="n">
        <v>4768</v>
      </c>
      <c r="M9" s="303" t="n">
        <v>4782</v>
      </c>
    </row>
    <row r="10" ht="15" customHeight="1">
      <c r="B10" s="238" t="inlineStr">
        <is>
          <t>FY28E total revenue ($M)</t>
        </is>
      </c>
      <c r="D10" s="306" t="inlineStr">
        <is>
          <t>not disclosed</t>
        </is>
      </c>
      <c r="E10" s="303" t="n">
        <v>5123</v>
      </c>
      <c r="F10" s="303" t="n">
        <v>4870</v>
      </c>
      <c r="G10" s="303" t="n">
        <v>5998.8</v>
      </c>
      <c r="H10" s="306" t="inlineStr">
        <is>
          <t>not disclosed</t>
        </is>
      </c>
      <c r="I10" s="303" t="n">
        <v>4939</v>
      </c>
      <c r="J10" s="306" t="inlineStr">
        <is>
          <t>not disclosed</t>
        </is>
      </c>
      <c r="K10" s="303" t="n">
        <v>5240</v>
      </c>
      <c r="L10" s="303" t="n">
        <v>4948</v>
      </c>
      <c r="M10" s="303" t="n">
        <v>5067</v>
      </c>
    </row>
    <row r="11" ht="75" customHeight="1">
      <c r="B11" s="238" t="inlineStr">
        <is>
          <t>Lost account: carrier named?</t>
        </is>
      </c>
      <c r="D11" s="306" t="inlineStr">
        <is>
          <t>not named (no lost account described; Progressive is named only as IAA's top insurance partner gaining market share, lines 32-33 and 36; grep for GEICO, State Farm, Allstate, USAA, customer returns no hits)</t>
        </is>
      </c>
      <c r="E11" s="306" t="inlineStr">
        <is>
          <t>not named</t>
        </is>
      </c>
      <c r="F11" s="306" t="inlineStr">
        <is>
          <t>PGR (Progressive) — JPM's own inference, worded as likely referring to PGR in JPM's view (line 59); management did not name the carrier in the text as extracted. Grep confirms no mention of GEICO, State Farm, Allstate or any other carrier name; "Progressive" a</t>
        </is>
      </c>
      <c r="G11" s="306" t="inlineStr">
        <is>
          <t>not named (no Copart lost account is discussed; the only carrier named anywhere is Progressive, cited as an IAA volume win, lines 47-48; grep for GEICO, State Farm, Allstate, USAA returns nothing). VERIFIED.</t>
        </is>
      </c>
      <c r="H11" s="306" t="inlineStr">
        <is>
          <t>not named</t>
        </is>
      </c>
      <c r="I11" s="306" t="inlineStr">
        <is>
          <t>not named (described only as RBA's largest auto insurer / largest customer / largest automotive insurance customer; lines 32, 67, 69, 102)</t>
        </is>
      </c>
      <c r="J11" s="306" t="inlineStr">
        <is>
          <t>not named</t>
        </is>
      </c>
      <c r="K11" s="306"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06" t="inlineStr">
        <is>
          <t>not named (described only as one of the largest auto insurers, line 95; details deferred to a prior Barclays report, line 95). CONFIRMED: case-insensitive grep for Progressive, GEICO, State Farm, Allstate returns nothing.</t>
        </is>
      </c>
      <c r="M11" s="306" t="inlineStr">
        <is>
          <t>PGR (ticker only, line 49; the only occurrence in the file -- 'Progressive' has zero hits; PGR is Progressive Corp's ticker, a gloss not in the source)</t>
        </is>
      </c>
    </row>
    <row r="12" ht="75" customHeight="1">
      <c r="B12" s="238" t="inlineStr">
        <is>
          <t>US insurance units / assignments</t>
        </is>
      </c>
      <c r="D12" s="306"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06" t="inlineStr">
        <is>
          <t>Not quantified anywhere in the note. Qualitative only: (a) management, in the 6 Jul 2026 intraquarter sell-side Q&amp;A, kept pointing to secular headwinds as a challenge to a volume recovery (lines 29-30); (b) analyst's standing investment case assumes a multi-ye</t>
        </is>
      </c>
      <c r="F12" s="306" t="inlineStr">
        <is>
          <t>Not quantified (verified by grep: no unit, assignment or volume growth figure anywhere; the only volume-related numbers are whole car &lt;20% of US volumes at line 50 and the Figure 1 share labels). JPM cut F4Q26E/FY27E EPS to 0.37/1.55 (from 0.38/1.63) citing lo</t>
        </is>
      </c>
      <c r="G12" s="306" t="inlineStr">
        <is>
          <t>Copart US insurance units: NOT DISCLOSED (grep: 'unit' appears only inside 'opportunity' and 'United Rentals'; 'assignment' absent). What the source gives is the IAA (RB Global) side, qualitatively: IAA's lost auto-salvage market share is put at 38% today vers</t>
        </is>
      </c>
      <c r="H12" s="306" t="inlineStr">
        <is>
          <t>Not disclosed (confirmed by grep: 'unit' appears only at lines 179, 181, 195 plus boilerplate line 240; 'assignment' zero hits). No US insurance unit or assignment growth path, driver discussion or recovery timing. The only related content is in the standing r</t>
        </is>
      </c>
      <c r="I12" s="306"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06" t="inlineStr">
        <is>
          <t>Not disclosed for FY27 (confirmed by grep: unit/volume/assignment hits only at lines 13, 20-21, 32-33). No forward growth path, driver decomposition or recovery timing. Actuals only: US insurance units -7.5% y-o-y in 4Q FY26 (lines 21, 32-33); global insurance</t>
        </is>
      </c>
      <c r="K12" s="306" t="inlineStr">
        <is>
          <t>No US insurance unit or assignment growth number is given for any period (grep 'unit', 'volume', 'assignment' confirms). The only volume forecast is global volume growth (line 299): FY21 -0.7%, FY22 +13.8%, FY23 +5.0%, FY24 +9.8%, FY25 +4.8%, FY26 -5.5% (preli</t>
        </is>
      </c>
      <c r="L12" s="306"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06"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06" t="inlineStr">
        <is>
          <t>No number. Analyst expects volume stabilization to be supported by higher ASPs, attributed to CPRT's robust international buyer pool and network liquidity (lines 44-45, "We expect"). "ASP" appears only on line 45; no YoY ASP assumption, used-car price link (gr</t>
        </is>
      </c>
      <c r="E13" s="306"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06"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06" t="inlineStr">
        <is>
          <t>NOT DISCLOSED. No US insurance ASP, used-vehicle price, or salvage-price assumption appears anywhere in the text (grep for ASP, 'average selling', 'selling price', Manheim returns nothing; 'price' occurs only as share price, price objective and iQmethod defini</t>
        </is>
      </c>
      <c r="H13" s="306" t="inlineStr">
        <is>
          <t>Not disclosed (confirmed: 'ASP' and 'average selling' zero hits). No US insurance ASP figure, YoY path or driver appears. Macro variables such as used-car values, labor rates, auto-part inflation and availability, non-discretionary inflation, miles driven, and</t>
        </is>
      </c>
      <c r="I13" s="306" t="inlineStr">
        <is>
          <t>Not disclosed. Case-insensitive grep for 'ASP', 'average selling', 'selling price', 'used car', 'used vehicle', 'Manheim' returns nothing; 'mix' appears only in an RBA take-rate risk (line 468). No US insurance ASP, salvage-vehicle price, used-car price, or mi</t>
        </is>
      </c>
      <c r="J13" s="306" t="inlineStr">
        <is>
          <t>No forward assumption (grep ASP: lines 14, 21-22, 31 only, all actuals). US insurance ASP +3.7% y-o-y in 4Q FY26 (lines 22, 31). Total ASP growth decelerated to 3.1% y-o-y from 4.6% in 3Q (lines 21-22), though line 31 separately states overall ASPs +4.2% (inte</t>
        </is>
      </c>
      <c r="K13" s="306" t="inlineStr">
        <is>
          <t>Not disclosed. No ASP growth number for any period ('ASP' appears once, line 226, qualitatively; no 'average selling price' or 'selling price' hits). Related qualitative points: combining ACV's inspection/condition data and AI valuation tools with Copart's dat</t>
        </is>
      </c>
      <c r="L13" s="306" t="inlineStr">
        <is>
          <t>Not disclosed. CONFIRMED by case-insensitive grep: no hits for ASP, average selling, used vehicle, used-vehicle; 'pric' hits are stock/target-price references (lines 30, 51, 53, 64, 104, 109, 192-193, 255-260, 329, 356-358, 393-403, 412-415, 424, 434-444, 453-</t>
        </is>
      </c>
      <c r="M13" s="306"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06"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06" t="inlineStr">
        <is>
          <t>Not disclosed. Zero grep hits for RPU, revenue per unit, take rate, fee, Title Express; 'delivery' appears only in legal boilerplate (lines 369, 457). "Tech services" is named only as an area of stepped-up investment (line 35).</t>
        </is>
      </c>
      <c r="F14" s="306" t="inlineStr">
        <is>
          <t>Not disclosed (grep for RPU, revenue per unit, take rate, Title Express, delivery, aftermarket returns nothing; "fee" appears only at line 273). No fee increase, service revenue per unit, Title Express, delivery/transportation or other ancillary-service revenu</t>
        </is>
      </c>
      <c r="G14" s="306" t="inlineStr">
        <is>
          <t>NOT DISCLOSED. No take rate, fee, revenue-per-unit, Title Express, delivery or other-services assumption appears (grep for fee, RPU, 'revenue per', 'take rate', 'Title Express', delivery returns nothing in the report body; 'delivery' occurs only in legal boile</t>
        </is>
      </c>
      <c r="H14" s="306" t="inlineStr">
        <is>
          <t>Not disclosed (confirmed: 'RPU', 'revenue per', 'take rate', 'take-rate', 'Title Express', 'deliver' zero hits; 'fee' hits only 'feel' at line 104 and boilerplate 'fees and expenses' at line 244). No take-rate, fee-increase, service revenue-per-unit, Title Exp</t>
        </is>
      </c>
      <c r="I14" s="306"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06" t="inlineStr">
        <is>
          <t>Not disclosed (grep fee, take rate, RPU, revenue per, Title Express, deliver: no hits). The only related item is that costs per vehicle rose 13% y-o-y due to investment in new products and capacity expansion (lines 25-26), a cost statement, not a fee or RPU st</t>
        </is>
      </c>
      <c r="K14" s="306" t="inlineStr">
        <is>
          <t>Not quantified. Analyst raises top line partly on RPU improvement, aided by long-haul transport investments (lines 282-283); long-haul investments are 'likely translating' to RPU growth (lines 181-182); ACV could see higher RPU from Copart's buyer base (line 1</t>
        </is>
      </c>
      <c r="L14" s="306"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06"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06"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06"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06"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06"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06"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06" t="inlineStr">
        <is>
          <t>Not disclosed. Grep for 'international', 'Europe', 'Germany', 'UK', 'Canada', 'Brazil', 'Spain' hits only distribution disclaimers (lines 776-869). No international unit, revenue or growth assumption for CPRT.</t>
        </is>
      </c>
      <c r="J15" s="306" t="inlineStr">
        <is>
          <t>No forward assumption (grep international: lines 33, 35 only). Actuals for 4Q FY26: international insurance units +11% y-o-y (line 33); international vehicle (purchased) sales +6.6% y-o-y (lines 35-36).</t>
        </is>
      </c>
      <c r="K15" s="306" t="inlineStr">
        <is>
          <t>No forward international growth number. Q4 FY26 actual: international units +10%, international insurance units +11.2% (lines 41-42, 267-268). Management keen to expand in existing international markets and enter new ones including the rest of Europe (lines 26</t>
        </is>
      </c>
      <c r="L15" s="306"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06"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06" t="inlineStr">
        <is>
          <t>Unclear / not mentioned. Grep "ACV" and "acqui" return no hits; the file contains no reference to ACV Auctions or any specific acquisition. The only adjacent content is management listing wholesale (line 19), whole-car business (line 29) and wholecar (line 56)</t>
        </is>
      </c>
      <c r="E16" s="306"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06"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06"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06"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06"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06"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06"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06"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06"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06" t="inlineStr">
        <is>
          <t>No total-loss frequency, repair-cost or aftermarket-parts commentary (grep "total loss", "total-loss", "frequency", "severity": none; the "Automotive Aftermarket" label on line 2 is the Jefferies sector header). Claims-frequency related: analyst says moderatin</t>
        </is>
      </c>
      <c r="E17" s="306" t="inlineStr">
        <is>
          <t>No aftermarket-parts, repair-cost or claims-severity commentary (zero grep hits for aftermarket, repair, severity; 'parts' only in peer names, lines 171, 197, 631). Total-loss frequency appears only directionally: investment case assumes loss rates revert towa</t>
        </is>
      </c>
      <c r="F17" s="306" t="inlineStr">
        <is>
          <t>No aftermarket parts commentary, no total-loss frequency numbers, no claims-frequency numbers, no repair-cost inflation figures (grep for aftermarket / total loss / total-loss returns nothing). Qualitative only: long-term thesis cites rising miles driven and a</t>
        </is>
      </c>
      <c r="G17" s="306"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06" t="inlineStr">
        <is>
          <t>Not disclosed (confirmed: 'aftermarket', 'total loss', 'frequency' zero hits; 'claims' only at line 145 re EvolutionIQ). No total-loss frequency, repair-cost, claims-frequency or aftermarket-parts figures or trend commentary. The repair-vs-total decision is de</t>
        </is>
      </c>
      <c r="I17" s="306" t="inlineStr">
        <is>
          <t>Not disclosed. Grep for 'aftermarket', 'total loss', 'total-loss', 'repair', 'parts', 'frequency' returns nothing; 'accident' appears only in an RBA risk factor. Nearest references: North American industry fundamentals described as challenged (lines 287-288, 3</t>
        </is>
      </c>
      <c r="J17" s="306" t="inlineStr">
        <is>
          <t>US total-loss frequency described as remaining elevated at 23.3% in 4Q FY26 (line 23); no prior-period comparison or forward assumption given. No aftermarket parts, repair-cost or claims-frequency commentary (grep aftermarket, parts, repair, claim: no hits).</t>
        </is>
      </c>
      <c r="K17" s="306" t="inlineStr">
        <is>
          <t>No aftermarket-parts or repair-cost commentary (grep 'aftermarket' returns nothing) and no total-loss-frequency figures. Total-loss rates appear only qualitatively: the key debate on sustainability of industry total-loss rates and RPU (lines 98-99); the ration</t>
        </is>
      </c>
      <c r="L17" s="306" t="inlineStr">
        <is>
          <t>Not disclosed. CONFIRMED by case-insensitive grep: zero hits for total loss, total-loss, repair, aftermarket, used vehicle, hurricane, catastroph, Manheim; 'claims' hits only the legal disclaimer (line 482). The only industry commentary is qualitative: industr</t>
        </is>
      </c>
      <c r="M17" s="306"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07" t="n">
        <v>2</v>
      </c>
      <c r="E18" s="307" t="n">
        <v>1</v>
      </c>
      <c r="F18" s="307" t="n">
        <v>6</v>
      </c>
      <c r="G18" s="307" t="n">
        <v>4</v>
      </c>
      <c r="H18" s="307" t="n">
        <v>1</v>
      </c>
      <c r="I18" s="307" t="n">
        <v>25</v>
      </c>
      <c r="J18" s="307" t="n">
        <v>3</v>
      </c>
      <c r="K18" s="307" t="n">
        <v>2</v>
      </c>
      <c r="L18" s="307" t="n">
        <v>3</v>
      </c>
      <c r="M18" s="307" t="n">
        <v>6</v>
      </c>
    </row>
    <row r="20">
      <c r="B20" s="242" t="inlineStr">
        <is>
          <t>Model FY27E legacy service revenue, selected case</t>
        </is>
      </c>
      <c r="C20" s="256" t="inlineStr">
        <is>
          <t>$M</t>
        </is>
      </c>
      <c r="D20" s="298">
        <f>Scenarios!Q97</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19"/>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87">
        <f>'E2 Claims &amp; Totals'!O13</f>
        <v/>
      </c>
      <c r="E9" s="308" t="n">
        <v>1</v>
      </c>
      <c r="F9" s="283">
        <f>D9-E9</f>
        <v/>
      </c>
      <c r="G9" s="242">
        <f>IF(ABS(F9)&lt;=1e-06,"PASS","FAIL")</f>
        <v/>
      </c>
    </row>
    <row r="10">
      <c r="B10" s="238" t="inlineStr">
        <is>
          <t>E3: carrier weights sum to one</t>
        </is>
      </c>
      <c r="D10" s="287">
        <f>'E3 Carriers'!D16</f>
        <v/>
      </c>
      <c r="E10" s="308" t="n">
        <v>1</v>
      </c>
      <c r="F10" s="283">
        <f>D10-E10</f>
        <v/>
      </c>
      <c r="G10" s="242">
        <f>IF(ABS(F10)&lt;=1e-06,"PASS","FAIL")</f>
        <v/>
      </c>
    </row>
    <row r="11">
      <c r="B11" s="238" t="inlineStr">
        <is>
          <t>E4: complete-bill saving at the FQ4 FY27 endpoint reproduces the documented 1.03%</t>
        </is>
      </c>
      <c r="D11" s="309">
        <f>'E4 Aftermarket'!K14</f>
        <v/>
      </c>
      <c r="E11" s="310" t="n">
        <v>-0.0103</v>
      </c>
      <c r="F11" s="290">
        <f>D11-E11</f>
        <v/>
      </c>
      <c r="G11" s="242">
        <f>IF(ABS(F11)&lt;=0.0003,"PASS","FAIL")</f>
        <v/>
      </c>
    </row>
    <row r="12">
      <c r="B12" s="238" t="inlineStr">
        <is>
          <t>E5: core RPU at the anchor reproduces the engine ($851.51)</t>
        </is>
      </c>
      <c r="D12" s="294">
        <f>'E5 Prices &amp; Fees'!D23</f>
        <v/>
      </c>
      <c r="E12" s="294">
        <f>'E5 Prices &amp; Fees'!D46</f>
        <v/>
      </c>
      <c r="F12" s="293">
        <f>D12-E12</f>
        <v/>
      </c>
      <c r="G12" s="242">
        <f>IF(ABS(F12)&lt;=0.05,"PASS","FAIL")</f>
        <v/>
      </c>
    </row>
    <row r="13">
      <c r="B13" s="238" t="inlineStr">
        <is>
          <t>Engine parity: case 1 (known runoff, no thesis) vs engine reference + allocation (mask 11), within $25m</t>
        </is>
      </c>
      <c r="D13" s="258">
        <f>Scenarios!D85</f>
        <v/>
      </c>
      <c r="E13" s="258">
        <f>SUMIFS('D Engine'!$D$5:$D$20,'D Engine'!$B$5:$B$20,11)</f>
        <v/>
      </c>
      <c r="F13" s="259">
        <f>D13-E13</f>
        <v/>
      </c>
      <c r="G13" s="242">
        <f>IF(ABS(F13)&lt;=25,"PASS","FAIL")</f>
        <v/>
      </c>
    </row>
    <row r="14">
      <c r="B14" s="238" t="inlineStr">
        <is>
          <t>Engine parity: case 3 − case 1 (thesis B) vs engine aftermarket effect (mask 14 − mask 10), within $15m</t>
        </is>
      </c>
      <c r="D14" s="258">
        <f>Scenarios!E87</f>
        <v/>
      </c>
      <c r="E14" s="258">
        <f>SUMIFS('D Engine'!$D$5:$D$20,'D Engine'!$B$5:$B$20,14)-SUMIFS('D Engine'!$D$5:$D$20,'D Engine'!$B$5:$B$20,10)</f>
        <v/>
      </c>
      <c r="F14" s="259">
        <f>D14-E14</f>
        <v/>
      </c>
      <c r="G14" s="242">
        <f>IF(ABS(F14)&lt;=15,"PASS","FAIL")</f>
        <v/>
      </c>
    </row>
    <row r="15">
      <c r="B15" s="238" t="inlineStr">
        <is>
          <t>DCF still reads RPM: DCF revenue FY27E equals RPM total revenue FY27E</t>
        </is>
      </c>
      <c r="D15" s="258">
        <f>DCF!I6</f>
        <v/>
      </c>
      <c r="E15" s="258">
        <f>RPM!I6</f>
        <v/>
      </c>
      <c r="F15" s="259">
        <f>D15-E15</f>
        <v/>
      </c>
      <c r="G15" s="242">
        <f>IF(ABS(F15)&lt;=0.001,"PASS","FAIL")</f>
        <v/>
      </c>
    </row>
    <row r="17">
      <c r="B17" s="242" t="inlineStr">
        <is>
          <t>Typed numbers inside calculation blocks (should be reference rows only)</t>
        </is>
      </c>
      <c r="D17" s="311" t="n">
        <v>2</v>
      </c>
      <c r="E17" s="234" t="inlineStr">
        <is>
          <t>E3 Carriers!G45=0.572; E5 Prices &amp; Fees!G17=0.037</t>
        </is>
      </c>
    </row>
    <row r="19">
      <c r="B19" s="234" t="inlineStr">
        <is>
          <t>Not checked here: the economic coefficients (every ASSUMED input). See docs/source_trace_2026-10-01/README.md for the 21 numbers with no source.</t>
        </is>
      </c>
    </row>
  </sheetData>
  <pageMargins left="0.75" right="0.75" top="1" bottom="1" header="0.5" footer="0.5"/>
</worksheet>
</file>

<file path=xl/worksheets/sheet16.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7.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2" t="inlineStr">
        <is>
          <t>Fiscal quarter</t>
        </is>
      </c>
      <c r="C4" s="313" t="inlineStr">
        <is>
          <t>Quarter end</t>
        </is>
      </c>
      <c r="D4" s="313" t="inlineStr">
        <is>
          <t>Service revenue</t>
        </is>
      </c>
      <c r="E4" s="313" t="inlineStr">
        <is>
          <t>Vehicle sales</t>
        </is>
      </c>
      <c r="F4" s="313" t="inlineStr">
        <is>
          <t>Total revenue</t>
        </is>
      </c>
      <c r="G4" s="313" t="inlineStr">
        <is>
          <t>Service y/y %</t>
        </is>
      </c>
      <c r="H4" s="313" t="inlineStr">
        <is>
          <t>Total y/y %</t>
        </is>
      </c>
    </row>
    <row r="5">
      <c r="B5" s="238" t="inlineStr">
        <is>
          <t>FY2021 Q4</t>
        </is>
      </c>
      <c r="C5" s="238" t="inlineStr">
        <is>
          <t>2021-07-31</t>
        </is>
      </c>
      <c r="D5" s="303" t="n">
        <v>620.048</v>
      </c>
      <c r="E5" s="303" t="n">
        <v>128.582</v>
      </c>
      <c r="F5" s="303" t="n">
        <v>748.63</v>
      </c>
      <c r="G5" s="314" t="n">
        <v>35.5</v>
      </c>
      <c r="H5" s="314" t="n">
        <v>42.4</v>
      </c>
    </row>
    <row r="6">
      <c r="B6" s="238" t="inlineStr">
        <is>
          <t>FY2022 Q2</t>
        </is>
      </c>
      <c r="C6" s="238" t="inlineStr">
        <is>
          <t>2022-01-31</t>
        </is>
      </c>
      <c r="D6" s="303" t="n">
        <v>711.09</v>
      </c>
      <c r="E6" s="303" t="n">
        <v>156.37</v>
      </c>
      <c r="F6" s="303" t="n">
        <v>867.46</v>
      </c>
      <c r="G6" s="314" t="n">
        <v>33.5</v>
      </c>
      <c r="H6" s="314" t="n">
        <v>40.6</v>
      </c>
    </row>
    <row r="7">
      <c r="B7" s="238" t="inlineStr">
        <is>
          <t>FY2022 Q3</t>
        </is>
      </c>
      <c r="C7" s="238" t="inlineStr">
        <is>
          <t>2022-04-30</t>
        </is>
      </c>
      <c r="D7" s="303" t="n">
        <v>766.316</v>
      </c>
      <c r="E7" s="303" t="n">
        <v>173.625</v>
      </c>
      <c r="F7" s="303" t="n">
        <v>939.941</v>
      </c>
      <c r="G7" s="314" t="n">
        <v>22.8</v>
      </c>
      <c r="H7" s="314" t="n">
        <v>28.1</v>
      </c>
    </row>
    <row r="8">
      <c r="B8" s="238" t="inlineStr">
        <is>
          <t>FY2022 Q4</t>
        </is>
      </c>
      <c r="C8" s="238" t="inlineStr">
        <is>
          <t>2022-07-31</t>
        </is>
      </c>
      <c r="D8" s="303" t="n">
        <v>707.816</v>
      </c>
      <c r="E8" s="303" t="n">
        <v>175.572</v>
      </c>
      <c r="F8" s="303" t="n">
        <v>883.388</v>
      </c>
      <c r="G8" s="314" t="n">
        <v>14.2</v>
      </c>
      <c r="H8" s="314" t="n">
        <v>18</v>
      </c>
    </row>
    <row r="9">
      <c r="B9" s="238" t="inlineStr">
        <is>
          <t>FY2023 Q2</t>
        </is>
      </c>
      <c r="C9" s="238" t="inlineStr">
        <is>
          <t>2023-01-31</t>
        </is>
      </c>
      <c r="D9" s="303" t="n">
        <v>789.797</v>
      </c>
      <c r="E9" s="303" t="n">
        <v>166.927</v>
      </c>
      <c r="F9" s="303" t="n">
        <v>956.724</v>
      </c>
      <c r="G9" s="314" t="n">
        <v>11.1</v>
      </c>
      <c r="H9" s="314" t="n">
        <v>10.3</v>
      </c>
    </row>
    <row r="10">
      <c r="B10" s="238" t="inlineStr">
        <is>
          <t>FY2023 Q3</t>
        </is>
      </c>
      <c r="C10" s="238" t="inlineStr">
        <is>
          <t>2023-04-30</t>
        </is>
      </c>
      <c r="D10" s="303" t="n">
        <v>847.249</v>
      </c>
      <c r="E10" s="303" t="n">
        <v>174.582</v>
      </c>
      <c r="F10" s="303" t="n">
        <v>1021.831</v>
      </c>
      <c r="G10" s="314" t="n">
        <v>10.6</v>
      </c>
      <c r="H10" s="314" t="n">
        <v>8.699999999999999</v>
      </c>
    </row>
    <row r="11">
      <c r="B11" s="238" t="inlineStr">
        <is>
          <t>FY2023 Q4</t>
        </is>
      </c>
      <c r="C11" s="238" t="inlineStr">
        <is>
          <t>2023-07-31</t>
        </is>
      </c>
      <c r="D11" s="303" t="n">
        <v>834.242</v>
      </c>
      <c r="E11" s="303" t="n">
        <v>163.349</v>
      </c>
      <c r="F11" s="303" t="n">
        <v>997.591</v>
      </c>
      <c r="G11" s="314" t="n">
        <v>17.9</v>
      </c>
      <c r="H11" s="314" t="n">
        <v>12.9</v>
      </c>
    </row>
    <row r="12">
      <c r="B12" s="238" t="inlineStr">
        <is>
          <t>FY2024 Q2</t>
        </is>
      </c>
      <c r="C12" s="238" t="inlineStr">
        <is>
          <t>2024-01-31</t>
        </is>
      </c>
      <c r="D12" s="303" t="n">
        <v>861.745</v>
      </c>
      <c r="E12" s="303" t="n">
        <v>158.404</v>
      </c>
      <c r="F12" s="303" t="n">
        <v>1020.149</v>
      </c>
      <c r="G12" s="314" t="n">
        <v>9.1</v>
      </c>
      <c r="H12" s="314" t="n">
        <v>6.6</v>
      </c>
    </row>
    <row r="13">
      <c r="B13" s="238" t="inlineStr">
        <is>
          <t>FY2024 Q3</t>
        </is>
      </c>
      <c r="C13" s="238" t="inlineStr">
        <is>
          <t>2024-04-30</t>
        </is>
      </c>
      <c r="D13" s="303" t="n">
        <v>946.63</v>
      </c>
      <c r="E13" s="303" t="n">
        <v>180.629</v>
      </c>
      <c r="F13" s="303" t="n">
        <v>1127.259</v>
      </c>
      <c r="G13" s="314" t="n">
        <v>11.7</v>
      </c>
      <c r="H13" s="314" t="n">
        <v>10.3</v>
      </c>
    </row>
    <row r="14">
      <c r="B14" s="238" t="inlineStr">
        <is>
          <t>FY2024 Q4</t>
        </is>
      </c>
      <c r="C14" s="238" t="inlineStr">
        <is>
          <t>2024-07-31</t>
        </is>
      </c>
      <c r="D14" s="303" t="n">
        <v>893.091</v>
      </c>
      <c r="E14" s="303" t="n">
        <v>175.908</v>
      </c>
      <c r="F14" s="303" t="n">
        <v>1068.999</v>
      </c>
      <c r="G14" s="314" t="n">
        <v>7.1</v>
      </c>
      <c r="H14" s="314" t="n">
        <v>7.2</v>
      </c>
    </row>
    <row r="15">
      <c r="B15" s="238" t="inlineStr">
        <is>
          <t>FY2025 Q2</t>
        </is>
      </c>
      <c r="C15" s="238" t="inlineStr">
        <is>
          <t>2025-01-31</t>
        </is>
      </c>
      <c r="D15" s="303" t="n">
        <v>991.2809999999999</v>
      </c>
      <c r="E15" s="303" t="n">
        <v>172.035</v>
      </c>
      <c r="F15" s="303" t="n">
        <v>1163.316</v>
      </c>
      <c r="G15" s="314" t="n">
        <v>15</v>
      </c>
      <c r="H15" s="314" t="n">
        <v>14</v>
      </c>
    </row>
    <row r="16">
      <c r="B16" s="238" t="inlineStr">
        <is>
          <t>FY2025 Q3</t>
        </is>
      </c>
      <c r="C16" s="238" t="inlineStr">
        <is>
          <t>2025-04-30</t>
        </is>
      </c>
      <c r="D16" s="303" t="n">
        <v>1034.836</v>
      </c>
      <c r="E16" s="303" t="n">
        <v>176.88</v>
      </c>
      <c r="F16" s="303" t="n">
        <v>1211.716</v>
      </c>
      <c r="G16" s="314" t="n">
        <v>9.300000000000001</v>
      </c>
      <c r="H16" s="314" t="n">
        <v>7.5</v>
      </c>
    </row>
    <row r="17">
      <c r="B17" s="238" t="inlineStr">
        <is>
          <t>FY2025 Q4</t>
        </is>
      </c>
      <c r="C17" s="238" t="inlineStr">
        <is>
          <t>2025-07-31</t>
        </is>
      </c>
      <c r="D17" s="303" t="n">
        <v>956.2089999999999</v>
      </c>
      <c r="E17" s="303" t="n">
        <v>168.888</v>
      </c>
      <c r="F17" s="303" t="n">
        <v>1125.097</v>
      </c>
      <c r="G17" s="314" t="n">
        <v>7.1</v>
      </c>
      <c r="H17" s="314" t="n">
        <v>5.2</v>
      </c>
    </row>
    <row r="18">
      <c r="B18" s="238" t="inlineStr">
        <is>
          <t>FY2026 Q3</t>
        </is>
      </c>
      <c r="C18" s="238" t="inlineStr">
        <is>
          <t>2026-04-30</t>
        </is>
      </c>
      <c r="D18" s="303" t="n">
        <v>1056.08</v>
      </c>
      <c r="E18" s="303" t="n">
        <v>180.986</v>
      </c>
      <c r="F18" s="303" t="n">
        <v>1237.066</v>
      </c>
      <c r="G18" s="314" t="n">
        <v>2.1</v>
      </c>
      <c r="H18" s="314" t="n">
        <v>2.1</v>
      </c>
    </row>
    <row r="20">
      <c r="B20" s="242" t="inlineStr">
        <is>
          <t>Geography split, service and vehicle revenue by quarter (8-K segment tables)</t>
        </is>
      </c>
    </row>
    <row r="21">
      <c r="B21" s="312" t="inlineStr">
        <is>
          <t>Fiscal quarter</t>
        </is>
      </c>
      <c r="C21" s="313" t="inlineStr">
        <is>
          <t>Quarter end</t>
        </is>
      </c>
      <c r="D21" s="313" t="inlineStr">
        <is>
          <t>US service</t>
        </is>
      </c>
      <c r="E21" s="313" t="inlineStr">
        <is>
          <t>Intl service</t>
        </is>
      </c>
      <c r="F21" s="313" t="inlineStr">
        <is>
          <t>US vehicle</t>
        </is>
      </c>
      <c r="G21" s="313" t="inlineStr">
        <is>
          <t>Intl vehicle</t>
        </is>
      </c>
      <c r="H21" s="313" t="inlineStr">
        <is>
          <t>Source exhibit</t>
        </is>
      </c>
    </row>
    <row r="22">
      <c r="B22" s="238" t="inlineStr">
        <is>
          <t>FY2025 Q1</t>
        </is>
      </c>
      <c r="C22" s="238" t="inlineStr">
        <is>
          <t>2024-10-31</t>
        </is>
      </c>
      <c r="D22" s="303" t="n">
        <v>859.99</v>
      </c>
      <c r="E22" s="303" t="n">
        <v>126.346</v>
      </c>
      <c r="F22" s="303" t="n">
        <v>87.54900000000001</v>
      </c>
      <c r="G22" s="303" t="n">
        <v>72.944</v>
      </c>
      <c r="H22" s="238" t="inlineStr">
        <is>
          <t>er_2025-11-20_cprt-ex99_1.htm</t>
        </is>
      </c>
    </row>
    <row r="23">
      <c r="B23" s="238" t="inlineStr">
        <is>
          <t>FY2025 Q2</t>
        </is>
      </c>
      <c r="C23" s="238" t="inlineStr">
        <is>
          <t>2025-01-31</t>
        </is>
      </c>
      <c r="D23" s="303" t="n">
        <v>868.13</v>
      </c>
      <c r="E23" s="303" t="n">
        <v>123.151</v>
      </c>
      <c r="F23" s="303" t="n">
        <v>106.715</v>
      </c>
      <c r="G23" s="303" t="n">
        <v>65.31999999999999</v>
      </c>
      <c r="H23" s="238" t="inlineStr">
        <is>
          <t>er_2026-02-19_cprt-ex99_1.htm</t>
        </is>
      </c>
    </row>
    <row r="24">
      <c r="B24" s="238" t="inlineStr">
        <is>
          <t>FY2025 Q3</t>
        </is>
      </c>
      <c r="C24" s="238" t="inlineStr">
        <is>
          <t>2025-04-30</t>
        </is>
      </c>
      <c r="D24" s="303" t="n">
        <v>898.625</v>
      </c>
      <c r="E24" s="303" t="n">
        <v>136.211</v>
      </c>
      <c r="F24" s="303" t="n">
        <v>107.832</v>
      </c>
      <c r="G24" s="303" t="n">
        <v>69.048</v>
      </c>
      <c r="H24" s="238" t="inlineStr">
        <is>
          <t>er_2026-05-21_cprt-ex99_1.htm</t>
        </is>
      </c>
    </row>
    <row r="25">
      <c r="B25" s="238" t="inlineStr">
        <is>
          <t>FY2025 Q4</t>
        </is>
      </c>
      <c r="C25" s="238" t="inlineStr">
        <is>
          <t>2025-07-31</t>
        </is>
      </c>
      <c r="D25" s="303" t="n">
        <v>824.813</v>
      </c>
      <c r="E25" s="303" t="n">
        <v>131.396</v>
      </c>
      <c r="F25" s="303" t="n">
        <v>101.45</v>
      </c>
      <c r="G25" s="303" t="n">
        <v>67.438</v>
      </c>
      <c r="H25" s="238" t="inlineStr">
        <is>
          <t>er_2026-09-10_cprt-ex99_1.htm</t>
        </is>
      </c>
    </row>
    <row r="26">
      <c r="B26" s="238" t="inlineStr">
        <is>
          <t>FY2026 Q1</t>
        </is>
      </c>
      <c r="C26" s="238" t="inlineStr">
        <is>
          <t>2025-10-31</t>
        </is>
      </c>
      <c r="D26" s="303" t="n">
        <v>855.534</v>
      </c>
      <c r="E26" s="303" t="n">
        <v>136.311</v>
      </c>
      <c r="F26" s="303" t="n">
        <v>97.08</v>
      </c>
      <c r="G26" s="303" t="n">
        <v>66.105</v>
      </c>
      <c r="H26" s="238" t="inlineStr">
        <is>
          <t>er_2025-11-20_cprt-ex99_1.htm</t>
        </is>
      </c>
    </row>
    <row r="27">
      <c r="B27" s="238" t="inlineStr">
        <is>
          <t>FY2026 Q2</t>
        </is>
      </c>
      <c r="C27" s="238" t="inlineStr">
        <is>
          <t>2026-01-31</t>
        </is>
      </c>
      <c r="D27" s="303" t="n">
        <v>819.467</v>
      </c>
      <c r="E27" s="303" t="n">
        <v>132.584</v>
      </c>
      <c r="F27" s="303" t="n">
        <v>102.153</v>
      </c>
      <c r="G27" s="303" t="n">
        <v>67.47</v>
      </c>
      <c r="H27" s="238" t="inlineStr">
        <is>
          <t>er_2026-02-19_cprt-ex99_1.htm</t>
        </is>
      </c>
    </row>
    <row r="28">
      <c r="B28" s="238" t="inlineStr">
        <is>
          <t>FY2026 Q3</t>
        </is>
      </c>
      <c r="C28" s="238" t="inlineStr">
        <is>
          <t>2026-04-30</t>
        </is>
      </c>
      <c r="D28" s="303" t="n">
        <v>895.4640000000001</v>
      </c>
      <c r="E28" s="303" t="n">
        <v>160.616</v>
      </c>
      <c r="F28" s="303" t="n">
        <v>107.398</v>
      </c>
      <c r="G28" s="303" t="n">
        <v>73.58799999999999</v>
      </c>
      <c r="H28" s="238" t="inlineStr">
        <is>
          <t>er_2026-05-21_cprt-ex99_1.htm</t>
        </is>
      </c>
    </row>
    <row r="29">
      <c r="B29" s="238" t="inlineStr">
        <is>
          <t>FY2026 Q4</t>
        </is>
      </c>
      <c r="C29" s="238" t="inlineStr">
        <is>
          <t>2026-07-31</t>
        </is>
      </c>
      <c r="D29" s="303" t="n">
        <v>817.822</v>
      </c>
      <c r="E29" s="303" t="n">
        <v>151.722</v>
      </c>
      <c r="F29" s="303" t="n">
        <v>112.512</v>
      </c>
      <c r="G29" s="303" t="n">
        <v>70.383</v>
      </c>
      <c r="H29" s="238" t="inlineStr">
        <is>
          <t>er_2026-09-10_cprt-ex99_1.htm</t>
        </is>
      </c>
    </row>
    <row r="31">
      <c r="B31" s="242" t="inlineStr">
        <is>
          <t>Disclosed growth rates by quarter (calls; per cent)</t>
        </is>
      </c>
    </row>
    <row r="32">
      <c r="B32" s="312" t="inlineStr">
        <is>
          <t>Fiscal quarter</t>
        </is>
      </c>
      <c r="C32" s="313" t="inlineStr">
        <is>
          <t>Call date</t>
        </is>
      </c>
      <c r="D32" s="313" t="inlineStr">
        <is>
          <t>US inventory y/y</t>
        </is>
      </c>
      <c r="E32" s="313" t="inlineStr">
        <is>
          <t>US ins. units y/y</t>
        </is>
      </c>
      <c r="F32" s="313" t="inlineStr">
        <is>
          <t>US ins. units ex-CAT y/y</t>
        </is>
      </c>
      <c r="G32" s="313" t="inlineStr">
        <is>
          <t>US ins. ASP y/y</t>
        </is>
      </c>
      <c r="H32" s="313" t="inlineStr">
        <is>
          <t>Global ASP y/y</t>
        </is>
      </c>
      <c r="I32" s="313"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2" t="inlineStr">
        <is>
          <t>Year</t>
        </is>
      </c>
      <c r="C4" s="313" t="inlineStr">
        <is>
          <t>Body</t>
        </is>
      </c>
      <c r="D4" s="313" t="inlineStr">
        <is>
          <t>Age group</t>
        </is>
      </c>
      <c r="E4" s="313" t="inlineStr">
        <is>
          <t>Age label</t>
        </is>
      </c>
      <c r="F4" s="313" t="inlineStr">
        <is>
          <t>TLF</t>
        </is>
      </c>
      <c r="G4" s="313" t="inlineStr">
        <is>
          <t>TL mix</t>
        </is>
      </c>
      <c r="H4" s="313" t="inlineStr">
        <is>
          <t>TLF cell</t>
        </is>
      </c>
      <c r="I4" s="313"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0" t="n">
        <v>0.09410538385365091</v>
      </c>
      <c r="G5" s="310" t="n">
        <v>0.006857920716116418</v>
      </c>
      <c r="H5" s="238" t="inlineStr">
        <is>
          <t>C4</t>
        </is>
      </c>
      <c r="I5" s="238" t="inlineStr">
        <is>
          <t>M5</t>
        </is>
      </c>
      <c r="J5" s="283">
        <f>G5/F5</f>
        <v/>
      </c>
      <c r="K5" s="283">
        <f>J5/SUMIFS($J$5:$J$100,$B$5:$B$100,B5)</f>
        <v/>
      </c>
    </row>
    <row r="6">
      <c r="B6" s="237" t="n">
        <v>2020</v>
      </c>
      <c r="C6" s="238" t="inlineStr">
        <is>
          <t>Car</t>
        </is>
      </c>
      <c r="D6" s="237" t="n">
        <v>1</v>
      </c>
      <c r="E6" s="238" t="inlineStr">
        <is>
          <t>1 - 3 Years Old</t>
        </is>
      </c>
      <c r="F6" s="310" t="n">
        <v>0.1311760375102815</v>
      </c>
      <c r="G6" s="310" t="n">
        <v>0.07159720882323004</v>
      </c>
      <c r="H6" s="238" t="inlineStr">
        <is>
          <t>C5</t>
        </is>
      </c>
      <c r="I6" s="238" t="inlineStr">
        <is>
          <t>M9</t>
        </is>
      </c>
      <c r="J6" s="283">
        <f>G6/F6</f>
        <v/>
      </c>
      <c r="K6" s="283">
        <f>J6/SUMIFS($J$5:$J$100,$B$5:$B$100,B6)</f>
        <v/>
      </c>
    </row>
    <row r="7">
      <c r="B7" s="237" t="n">
        <v>2020</v>
      </c>
      <c r="C7" s="238" t="inlineStr">
        <is>
          <t>Car</t>
        </is>
      </c>
      <c r="D7" s="237" t="n">
        <v>2</v>
      </c>
      <c r="E7" s="238" t="inlineStr">
        <is>
          <t>4 - 6 Years Old</t>
        </is>
      </c>
      <c r="F7" s="310" t="n">
        <v>0.1924797004881514</v>
      </c>
      <c r="G7" s="310" t="n">
        <v>0.1214569055493857</v>
      </c>
      <c r="H7" s="238" t="inlineStr">
        <is>
          <t>C6</t>
        </is>
      </c>
      <c r="I7" s="238" t="inlineStr">
        <is>
          <t>M13</t>
        </is>
      </c>
      <c r="J7" s="283">
        <f>G7/F7</f>
        <v/>
      </c>
      <c r="K7" s="283">
        <f>J7/SUMIFS($J$5:$J$100,$B$5:$B$100,B7)</f>
        <v/>
      </c>
    </row>
    <row r="8">
      <c r="B8" s="237" t="n">
        <v>2020</v>
      </c>
      <c r="C8" s="238" t="inlineStr">
        <is>
          <t>Car</t>
        </is>
      </c>
      <c r="D8" s="237" t="n">
        <v>3</v>
      </c>
      <c r="E8" s="238" t="inlineStr">
        <is>
          <t>7 Years and Older</t>
        </is>
      </c>
      <c r="F8" s="310" t="n">
        <v>0.3646806049668614</v>
      </c>
      <c r="G8" s="310" t="n">
        <v>0.3935020669475264</v>
      </c>
      <c r="H8" s="238" t="inlineStr">
        <is>
          <t>C7</t>
        </is>
      </c>
      <c r="I8" s="238" t="inlineStr">
        <is>
          <t>M17</t>
        </is>
      </c>
      <c r="J8" s="283">
        <f>G8/F8</f>
        <v/>
      </c>
      <c r="K8" s="283">
        <f>J8/SUMIFS($J$5:$J$100,$B$5:$B$100,B8)</f>
        <v/>
      </c>
    </row>
    <row r="9">
      <c r="B9" s="237" t="n">
        <v>2020</v>
      </c>
      <c r="C9" s="238" t="inlineStr">
        <is>
          <t>Pickup</t>
        </is>
      </c>
      <c r="D9" s="237" t="n">
        <v>0</v>
      </c>
      <c r="E9" s="238" t="inlineStr">
        <is>
          <t>Current Yr or Newer Group</t>
        </is>
      </c>
      <c r="F9" s="310" t="n">
        <v>0.04164382226445899</v>
      </c>
      <c r="G9" s="310" t="n">
        <v>0.001298204087709676</v>
      </c>
      <c r="H9" s="238" t="inlineStr">
        <is>
          <t>C9</t>
        </is>
      </c>
      <c r="I9" s="238" t="inlineStr">
        <is>
          <t>M6</t>
        </is>
      </c>
      <c r="J9" s="283">
        <f>G9/F9</f>
        <v/>
      </c>
      <c r="K9" s="283">
        <f>J9/SUMIFS($J$5:$J$100,$B$5:$B$100,B9)</f>
        <v/>
      </c>
    </row>
    <row r="10">
      <c r="B10" s="237" t="n">
        <v>2020</v>
      </c>
      <c r="C10" s="238" t="inlineStr">
        <is>
          <t>Pickup</t>
        </is>
      </c>
      <c r="D10" s="237" t="n">
        <v>1</v>
      </c>
      <c r="E10" s="238" t="inlineStr">
        <is>
          <t>1 - 3 Years Old</t>
        </is>
      </c>
      <c r="F10" s="310" t="n">
        <v>0.05836406816448181</v>
      </c>
      <c r="G10" s="310" t="n">
        <v>0.01127553679105827</v>
      </c>
      <c r="H10" s="238" t="inlineStr">
        <is>
          <t>C10</t>
        </is>
      </c>
      <c r="I10" s="238" t="inlineStr">
        <is>
          <t>M10</t>
        </is>
      </c>
      <c r="J10" s="283">
        <f>G10/F10</f>
        <v/>
      </c>
      <c r="K10" s="283">
        <f>J10/SUMIFS($J$5:$J$100,$B$5:$B$100,B10)</f>
        <v/>
      </c>
    </row>
    <row r="11">
      <c r="B11" s="237" t="n">
        <v>2020</v>
      </c>
      <c r="C11" s="238" t="inlineStr">
        <is>
          <t>Pickup</t>
        </is>
      </c>
      <c r="D11" s="237" t="n">
        <v>2</v>
      </c>
      <c r="E11" s="238" t="inlineStr">
        <is>
          <t>4 - 6 Years Old</t>
        </is>
      </c>
      <c r="F11" s="310" t="n">
        <v>0.08241473302899244</v>
      </c>
      <c r="G11" s="310" t="n">
        <v>0.01225317790333583</v>
      </c>
      <c r="H11" s="238" t="inlineStr">
        <is>
          <t>C11</t>
        </is>
      </c>
      <c r="I11" s="238" t="inlineStr">
        <is>
          <t>M14</t>
        </is>
      </c>
      <c r="J11" s="283">
        <f>G11/F11</f>
        <v/>
      </c>
      <c r="K11" s="283">
        <f>J11/SUMIFS($J$5:$J$100,$B$5:$B$100,B11)</f>
        <v/>
      </c>
    </row>
    <row r="12">
      <c r="B12" s="237" t="n">
        <v>2020</v>
      </c>
      <c r="C12" s="238" t="inlineStr">
        <is>
          <t>Pickup</t>
        </is>
      </c>
      <c r="D12" s="237" t="n">
        <v>3</v>
      </c>
      <c r="E12" s="238" t="inlineStr">
        <is>
          <t>7 Years and Older</t>
        </is>
      </c>
      <c r="F12" s="310" t="n">
        <v>0.2532811452345886</v>
      </c>
      <c r="G12" s="310" t="n">
        <v>0.08393280635413548</v>
      </c>
      <c r="H12" s="238" t="inlineStr">
        <is>
          <t>C12</t>
        </is>
      </c>
      <c r="I12" s="238" t="inlineStr">
        <is>
          <t>M18</t>
        </is>
      </c>
      <c r="J12" s="283">
        <f>G12/F12</f>
        <v/>
      </c>
      <c r="K12" s="283">
        <f>J12/SUMIFS($J$5:$J$100,$B$5:$B$100,B12)</f>
        <v/>
      </c>
    </row>
    <row r="13">
      <c r="B13" s="237" t="n">
        <v>2020</v>
      </c>
      <c r="C13" s="238" t="inlineStr">
        <is>
          <t>Utility Vehicle</t>
        </is>
      </c>
      <c r="D13" s="237" t="n">
        <v>0</v>
      </c>
      <c r="E13" s="238" t="inlineStr">
        <is>
          <t>Current Yr or Newer Group</t>
        </is>
      </c>
      <c r="F13" s="310" t="n">
        <v>0.05789303341694312</v>
      </c>
      <c r="G13" s="310" t="n">
        <v>0.00543513765217246</v>
      </c>
      <c r="H13" s="238" t="inlineStr">
        <is>
          <t>C14</t>
        </is>
      </c>
      <c r="I13" s="238" t="inlineStr">
        <is>
          <t>M7</t>
        </is>
      </c>
      <c r="J13" s="283">
        <f>G13/F13</f>
        <v/>
      </c>
      <c r="K13" s="283">
        <f>J13/SUMIFS($J$5:$J$100,$B$5:$B$100,B13)</f>
        <v/>
      </c>
    </row>
    <row r="14">
      <c r="B14" s="237" t="n">
        <v>2020</v>
      </c>
      <c r="C14" s="238" t="inlineStr">
        <is>
          <t>Utility Vehicle</t>
        </is>
      </c>
      <c r="D14" s="237" t="n">
        <v>1</v>
      </c>
      <c r="E14" s="238" t="inlineStr">
        <is>
          <t>1 - 3 Years Old</t>
        </is>
      </c>
      <c r="F14" s="310" t="n">
        <v>0.07886682698579801</v>
      </c>
      <c r="G14" s="310" t="n">
        <v>0.04293682782425857</v>
      </c>
      <c r="H14" s="238" t="inlineStr">
        <is>
          <t>C15</t>
        </is>
      </c>
      <c r="I14" s="238" t="inlineStr">
        <is>
          <t>M11</t>
        </is>
      </c>
      <c r="J14" s="283">
        <f>G14/F14</f>
        <v/>
      </c>
      <c r="K14" s="283">
        <f>J14/SUMIFS($J$5:$J$100,$B$5:$B$100,B14)</f>
        <v/>
      </c>
    </row>
    <row r="15">
      <c r="B15" s="237" t="n">
        <v>2020</v>
      </c>
      <c r="C15" s="238" t="inlineStr">
        <is>
          <t>Utility Vehicle</t>
        </is>
      </c>
      <c r="D15" s="237" t="n">
        <v>2</v>
      </c>
      <c r="E15" s="238" t="inlineStr">
        <is>
          <t>4 - 6 Years Old</t>
        </is>
      </c>
      <c r="F15" s="310" t="n">
        <v>0.1211801865943846</v>
      </c>
      <c r="G15" s="310" t="n">
        <v>0.04725569227169763</v>
      </c>
      <c r="H15" s="238" t="inlineStr">
        <is>
          <t>C16</t>
        </is>
      </c>
      <c r="I15" s="238" t="inlineStr">
        <is>
          <t>M15</t>
        </is>
      </c>
      <c r="J15" s="283">
        <f>G15/F15</f>
        <v/>
      </c>
      <c r="K15" s="283">
        <f>J15/SUMIFS($J$5:$J$100,$B$5:$B$100,B15)</f>
        <v/>
      </c>
    </row>
    <row r="16">
      <c r="B16" s="237" t="n">
        <v>2020</v>
      </c>
      <c r="C16" s="238" t="inlineStr">
        <is>
          <t>Utility Vehicle</t>
        </is>
      </c>
      <c r="D16" s="237" t="n">
        <v>3</v>
      </c>
      <c r="E16" s="238" t="inlineStr">
        <is>
          <t>7 Years and Older</t>
        </is>
      </c>
      <c r="F16" s="310" t="n">
        <v>0.2882660818412391</v>
      </c>
      <c r="G16" s="310" t="n">
        <v>0.1595062874401603</v>
      </c>
      <c r="H16" s="238" t="inlineStr">
        <is>
          <t>C17</t>
        </is>
      </c>
      <c r="I16" s="238" t="inlineStr">
        <is>
          <t>M19</t>
        </is>
      </c>
      <c r="J16" s="283">
        <f>G16/F16</f>
        <v/>
      </c>
      <c r="K16" s="283">
        <f>J16/SUMIFS($J$5:$J$100,$B$5:$B$100,B16)</f>
        <v/>
      </c>
    </row>
    <row r="17">
      <c r="B17" s="237" t="n">
        <v>2020</v>
      </c>
      <c r="C17" s="238" t="inlineStr">
        <is>
          <t>Van</t>
        </is>
      </c>
      <c r="D17" s="237" t="n">
        <v>0</v>
      </c>
      <c r="E17" s="238" t="inlineStr">
        <is>
          <t>Current Yr or Newer Group</t>
        </is>
      </c>
      <c r="F17" s="310" t="n">
        <v>0.05406074612083196</v>
      </c>
      <c r="G17" s="310" t="n">
        <v>0.000248778138516629</v>
      </c>
      <c r="H17" s="238" t="inlineStr">
        <is>
          <t>C19</t>
        </is>
      </c>
      <c r="I17" s="238" t="inlineStr">
        <is>
          <t>M8</t>
        </is>
      </c>
      <c r="J17" s="283">
        <f>G17/F17</f>
        <v/>
      </c>
      <c r="K17" s="283">
        <f>J17/SUMIFS($J$5:$J$100,$B$5:$B$100,B17)</f>
        <v/>
      </c>
    </row>
    <row r="18">
      <c r="B18" s="237" t="n">
        <v>2020</v>
      </c>
      <c r="C18" s="238" t="inlineStr">
        <is>
          <t>Van</t>
        </is>
      </c>
      <c r="D18" s="237" t="n">
        <v>1</v>
      </c>
      <c r="E18" s="238" t="inlineStr">
        <is>
          <t>1 - 3 Years Old</t>
        </is>
      </c>
      <c r="F18" s="310" t="n">
        <v>0.08314968342253472</v>
      </c>
      <c r="G18" s="310" t="n">
        <v>0.003611271054986425</v>
      </c>
      <c r="H18" s="238" t="inlineStr">
        <is>
          <t>C20</t>
        </is>
      </c>
      <c r="I18" s="238" t="inlineStr">
        <is>
          <t>M12</t>
        </is>
      </c>
      <c r="J18" s="283">
        <f>G18/F18</f>
        <v/>
      </c>
      <c r="K18" s="283">
        <f>J18/SUMIFS($J$5:$J$100,$B$5:$B$100,B18)</f>
        <v/>
      </c>
    </row>
    <row r="19">
      <c r="B19" s="237" t="n">
        <v>2020</v>
      </c>
      <c r="C19" s="238" t="inlineStr">
        <is>
          <t>Van</t>
        </is>
      </c>
      <c r="D19" s="237" t="n">
        <v>2</v>
      </c>
      <c r="E19" s="238" t="inlineStr">
        <is>
          <t>4 - 6 Years Old</t>
        </is>
      </c>
      <c r="F19" s="310" t="n">
        <v>0.1303115907706881</v>
      </c>
      <c r="G19" s="310" t="n">
        <v>0.005851793557443822</v>
      </c>
      <c r="H19" s="238" t="inlineStr">
        <is>
          <t>C21</t>
        </is>
      </c>
      <c r="I19" s="238" t="inlineStr">
        <is>
          <t>M16</t>
        </is>
      </c>
      <c r="J19" s="283">
        <f>G19/F19</f>
        <v/>
      </c>
      <c r="K19" s="283">
        <f>J19/SUMIFS($J$5:$J$100,$B$5:$B$100,B19)</f>
        <v/>
      </c>
    </row>
    <row r="20">
      <c r="B20" s="237" t="n">
        <v>2020</v>
      </c>
      <c r="C20" s="238" t="inlineStr">
        <is>
          <t>Van</t>
        </is>
      </c>
      <c r="D20" s="237" t="n">
        <v>3</v>
      </c>
      <c r="E20" s="238" t="inlineStr">
        <is>
          <t>7 Years and Older</t>
        </is>
      </c>
      <c r="F20" s="310" t="n">
        <v>0.3590187793039006</v>
      </c>
      <c r="G20" s="310" t="n">
        <v>0.03298038488826633</v>
      </c>
      <c r="H20" s="238" t="inlineStr">
        <is>
          <t>C22</t>
        </is>
      </c>
      <c r="I20" s="238" t="inlineStr">
        <is>
          <t>M20</t>
        </is>
      </c>
      <c r="J20" s="283">
        <f>G20/F20</f>
        <v/>
      </c>
      <c r="K20" s="283">
        <f>J20/SUMIFS($J$5:$J$100,$B$5:$B$100,B20)</f>
        <v/>
      </c>
    </row>
    <row r="21">
      <c r="B21" s="237" t="n">
        <v>2021</v>
      </c>
      <c r="C21" s="238" t="inlineStr">
        <is>
          <t>Car</t>
        </is>
      </c>
      <c r="D21" s="237" t="n">
        <v>0</v>
      </c>
      <c r="E21" s="238" t="inlineStr">
        <is>
          <t>Current Yr or Newer Group</t>
        </is>
      </c>
      <c r="F21" s="310" t="n">
        <v>0.09914747325992264</v>
      </c>
      <c r="G21" s="310" t="n">
        <v>0.0071910436550033</v>
      </c>
      <c r="H21" s="238" t="inlineStr">
        <is>
          <t>D4</t>
        </is>
      </c>
      <c r="I21" s="238" t="inlineStr">
        <is>
          <t>N5</t>
        </is>
      </c>
      <c r="J21" s="283">
        <f>G21/F21</f>
        <v/>
      </c>
      <c r="K21" s="283">
        <f>J21/SUMIFS($J$5:$J$100,$B$5:$B$100,B21)</f>
        <v/>
      </c>
    </row>
    <row r="22">
      <c r="B22" s="237" t="n">
        <v>2021</v>
      </c>
      <c r="C22" s="238" t="inlineStr">
        <is>
          <t>Car</t>
        </is>
      </c>
      <c r="D22" s="237" t="n">
        <v>1</v>
      </c>
      <c r="E22" s="238" t="inlineStr">
        <is>
          <t>1 - 3 Years Old</t>
        </is>
      </c>
      <c r="F22" s="310" t="n">
        <v>0.1259228649544836</v>
      </c>
      <c r="G22" s="310" t="n">
        <v>0.06086967377783296</v>
      </c>
      <c r="H22" s="238" t="inlineStr">
        <is>
          <t>D5</t>
        </is>
      </c>
      <c r="I22" s="238" t="inlineStr">
        <is>
          <t>N9</t>
        </is>
      </c>
      <c r="J22" s="283">
        <f>G22/F22</f>
        <v/>
      </c>
      <c r="K22" s="283">
        <f>J22/SUMIFS($J$5:$J$100,$B$5:$B$100,B22)</f>
        <v/>
      </c>
    </row>
    <row r="23">
      <c r="B23" s="237" t="n">
        <v>2021</v>
      </c>
      <c r="C23" s="238" t="inlineStr">
        <is>
          <t>Car</t>
        </is>
      </c>
      <c r="D23" s="237" t="n">
        <v>2</v>
      </c>
      <c r="E23" s="238" t="inlineStr">
        <is>
          <t>4 - 6 Years Old</t>
        </is>
      </c>
      <c r="F23" s="310" t="n">
        <v>0.1851689524467392</v>
      </c>
      <c r="G23" s="310" t="n">
        <v>0.1175043444154797</v>
      </c>
      <c r="H23" s="238" t="inlineStr">
        <is>
          <t>D6</t>
        </is>
      </c>
      <c r="I23" s="238" t="inlineStr">
        <is>
          <t>N13</t>
        </is>
      </c>
      <c r="J23" s="283">
        <f>G23/F23</f>
        <v/>
      </c>
      <c r="K23" s="283">
        <f>J23/SUMIFS($J$5:$J$100,$B$5:$B$100,B23)</f>
        <v/>
      </c>
    </row>
    <row r="24">
      <c r="B24" s="237" t="n">
        <v>2021</v>
      </c>
      <c r="C24" s="238" t="inlineStr">
        <is>
          <t>Car</t>
        </is>
      </c>
      <c r="D24" s="237" t="n">
        <v>3</v>
      </c>
      <c r="E24" s="238" t="inlineStr">
        <is>
          <t>7 Years and Older</t>
        </is>
      </c>
      <c r="F24" s="310" t="n">
        <v>0.3400530623190121</v>
      </c>
      <c r="G24" s="310" t="n">
        <v>0.3935917314095257</v>
      </c>
      <c r="H24" s="238" t="inlineStr">
        <is>
          <t>D7</t>
        </is>
      </c>
      <c r="I24" s="238" t="inlineStr">
        <is>
          <t>N17</t>
        </is>
      </c>
      <c r="J24" s="283">
        <f>G24/F24</f>
        <v/>
      </c>
      <c r="K24" s="283">
        <f>J24/SUMIFS($J$5:$J$100,$B$5:$B$100,B24)</f>
        <v/>
      </c>
    </row>
    <row r="25">
      <c r="B25" s="237" t="n">
        <v>2021</v>
      </c>
      <c r="C25" s="238" t="inlineStr">
        <is>
          <t>Pickup</t>
        </is>
      </c>
      <c r="D25" s="237" t="n">
        <v>0</v>
      </c>
      <c r="E25" s="238" t="inlineStr">
        <is>
          <t>Current Yr or Newer Group</t>
        </is>
      </c>
      <c r="F25" s="310" t="n">
        <v>0.04659659885425594</v>
      </c>
      <c r="G25" s="310" t="n">
        <v>0.001791171898056136</v>
      </c>
      <c r="H25" s="238" t="inlineStr">
        <is>
          <t>D9</t>
        </is>
      </c>
      <c r="I25" s="238" t="inlineStr">
        <is>
          <t>N6</t>
        </is>
      </c>
      <c r="J25" s="283">
        <f>G25/F25</f>
        <v/>
      </c>
      <c r="K25" s="283">
        <f>J25/SUMIFS($J$5:$J$100,$B$5:$B$100,B25)</f>
        <v/>
      </c>
    </row>
    <row r="26">
      <c r="B26" s="237" t="n">
        <v>2021</v>
      </c>
      <c r="C26" s="238" t="inlineStr">
        <is>
          <t>Pickup</t>
        </is>
      </c>
      <c r="D26" s="237" t="n">
        <v>1</v>
      </c>
      <c r="E26" s="238" t="inlineStr">
        <is>
          <t>1 - 3 Years Old</t>
        </is>
      </c>
      <c r="F26" s="310" t="n">
        <v>0.05586782331803201</v>
      </c>
      <c r="G26" s="310" t="n">
        <v>0.01041654023270323</v>
      </c>
      <c r="H26" s="238" t="inlineStr">
        <is>
          <t>D10</t>
        </is>
      </c>
      <c r="I26" s="238" t="inlineStr">
        <is>
          <t>N10</t>
        </is>
      </c>
      <c r="J26" s="283">
        <f>G26/F26</f>
        <v/>
      </c>
      <c r="K26" s="283">
        <f>J26/SUMIFS($J$5:$J$100,$B$5:$B$100,B26)</f>
        <v/>
      </c>
    </row>
    <row r="27">
      <c r="B27" s="237" t="n">
        <v>2021</v>
      </c>
      <c r="C27" s="238" t="inlineStr">
        <is>
          <t>Pickup</t>
        </is>
      </c>
      <c r="D27" s="237" t="n">
        <v>2</v>
      </c>
      <c r="E27" s="238" t="inlineStr">
        <is>
          <t>4 - 6 Years Old</t>
        </is>
      </c>
      <c r="F27" s="310" t="n">
        <v>0.07842137262456489</v>
      </c>
      <c r="G27" s="310" t="n">
        <v>0.01221152682405629</v>
      </c>
      <c r="H27" s="238" t="inlineStr">
        <is>
          <t>D11</t>
        </is>
      </c>
      <c r="I27" s="238" t="inlineStr">
        <is>
          <t>N14</t>
        </is>
      </c>
      <c r="J27" s="283">
        <f>G27/F27</f>
        <v/>
      </c>
      <c r="K27" s="283">
        <f>J27/SUMIFS($J$5:$J$100,$B$5:$B$100,B27)</f>
        <v/>
      </c>
    </row>
    <row r="28">
      <c r="B28" s="237" t="n">
        <v>2021</v>
      </c>
      <c r="C28" s="238" t="inlineStr">
        <is>
          <t>Pickup</t>
        </is>
      </c>
      <c r="D28" s="237" t="n">
        <v>3</v>
      </c>
      <c r="E28" s="238" t="inlineStr">
        <is>
          <t>7 Years and Older</t>
        </is>
      </c>
      <c r="F28" s="310" t="n">
        <v>0.2284534099280345</v>
      </c>
      <c r="G28" s="310" t="n">
        <v>0.0777552402615215</v>
      </c>
      <c r="H28" s="238" t="inlineStr">
        <is>
          <t>D12</t>
        </is>
      </c>
      <c r="I28" s="238" t="inlineStr">
        <is>
          <t>N18</t>
        </is>
      </c>
      <c r="J28" s="283">
        <f>G28/F28</f>
        <v/>
      </c>
      <c r="K28" s="283">
        <f>J28/SUMIFS($J$5:$J$100,$B$5:$B$100,B28)</f>
        <v/>
      </c>
    </row>
    <row r="29">
      <c r="B29" s="237" t="n">
        <v>2021</v>
      </c>
      <c r="C29" s="238" t="inlineStr">
        <is>
          <t>Utility Vehicle</t>
        </is>
      </c>
      <c r="D29" s="237" t="n">
        <v>0</v>
      </c>
      <c r="E29" s="238" t="inlineStr">
        <is>
          <t>Current Yr or Newer Group</t>
        </is>
      </c>
      <c r="F29" s="310" t="n">
        <v>0.06313658610984013</v>
      </c>
      <c r="G29" s="310" t="n">
        <v>0.007895721544035259</v>
      </c>
      <c r="H29" s="238" t="inlineStr">
        <is>
          <t>D14</t>
        </is>
      </c>
      <c r="I29" s="238" t="inlineStr">
        <is>
          <t>N7</t>
        </is>
      </c>
      <c r="J29" s="283">
        <f>G29/F29</f>
        <v/>
      </c>
      <c r="K29" s="283">
        <f>J29/SUMIFS($J$5:$J$100,$B$5:$B$100,B29)</f>
        <v/>
      </c>
    </row>
    <row r="30">
      <c r="B30" s="237" t="n">
        <v>2021</v>
      </c>
      <c r="C30" s="238" t="inlineStr">
        <is>
          <t>Utility Vehicle</t>
        </is>
      </c>
      <c r="D30" s="237" t="n">
        <v>1</v>
      </c>
      <c r="E30" s="238" t="inlineStr">
        <is>
          <t>1 - 3 Years Old</t>
        </is>
      </c>
      <c r="F30" s="310" t="n">
        <v>0.08155778608498028</v>
      </c>
      <c r="G30" s="310" t="n">
        <v>0.04622055793704161</v>
      </c>
      <c r="H30" s="238" t="inlineStr">
        <is>
          <t>D15</t>
        </is>
      </c>
      <c r="I30" s="238" t="inlineStr">
        <is>
          <t>N11</t>
        </is>
      </c>
      <c r="J30" s="283">
        <f>G30/F30</f>
        <v/>
      </c>
      <c r="K30" s="283">
        <f>J30/SUMIFS($J$5:$J$100,$B$5:$B$100,B30)</f>
        <v/>
      </c>
    </row>
    <row r="31">
      <c r="B31" s="237" t="n">
        <v>2021</v>
      </c>
      <c r="C31" s="238" t="inlineStr">
        <is>
          <t>Utility Vehicle</t>
        </is>
      </c>
      <c r="D31" s="237" t="n">
        <v>2</v>
      </c>
      <c r="E31" s="238" t="inlineStr">
        <is>
          <t>4 - 6 Years Old</t>
        </is>
      </c>
      <c r="F31" s="310" t="n">
        <v>0.1182692364600534</v>
      </c>
      <c r="G31" s="310" t="n">
        <v>0.05543963126481011</v>
      </c>
      <c r="H31" s="238" t="inlineStr">
        <is>
          <t>D16</t>
        </is>
      </c>
      <c r="I31" s="238" t="inlineStr">
        <is>
          <t>N15</t>
        </is>
      </c>
      <c r="J31" s="283">
        <f>G31/F31</f>
        <v/>
      </c>
      <c r="K31" s="283">
        <f>J31/SUMIFS($J$5:$J$100,$B$5:$B$100,B31)</f>
        <v/>
      </c>
    </row>
    <row r="32">
      <c r="B32" s="237" t="n">
        <v>2021</v>
      </c>
      <c r="C32" s="238" t="inlineStr">
        <is>
          <t>Utility Vehicle</t>
        </is>
      </c>
      <c r="D32" s="237" t="n">
        <v>3</v>
      </c>
      <c r="E32" s="238" t="inlineStr">
        <is>
          <t>7 Years and Older</t>
        </is>
      </c>
      <c r="F32" s="310" t="n">
        <v>0.269427612173302</v>
      </c>
      <c r="G32" s="310" t="n">
        <v>0.1672836644082526</v>
      </c>
      <c r="H32" s="238" t="inlineStr">
        <is>
          <t>D17</t>
        </is>
      </c>
      <c r="I32" s="238" t="inlineStr">
        <is>
          <t>N19</t>
        </is>
      </c>
      <c r="J32" s="283">
        <f>G32/F32</f>
        <v/>
      </c>
      <c r="K32" s="283">
        <f>J32/SUMIFS($J$5:$J$100,$B$5:$B$100,B32)</f>
        <v/>
      </c>
    </row>
    <row r="33">
      <c r="B33" s="237" t="n">
        <v>2021</v>
      </c>
      <c r="C33" s="238" t="inlineStr">
        <is>
          <t>Van</t>
        </is>
      </c>
      <c r="D33" s="237" t="n">
        <v>0</v>
      </c>
      <c r="E33" s="238" t="inlineStr">
        <is>
          <t>Current Yr or Newer Group</t>
        </is>
      </c>
      <c r="F33" s="310" t="n">
        <v>0.05772999940606997</v>
      </c>
      <c r="G33" s="310" t="n">
        <v>0.0003370801713282797</v>
      </c>
      <c r="H33" s="238" t="inlineStr">
        <is>
          <t>D19</t>
        </is>
      </c>
      <c r="I33" s="238" t="inlineStr">
        <is>
          <t>N8</t>
        </is>
      </c>
      <c r="J33" s="283">
        <f>G33/F33</f>
        <v/>
      </c>
      <c r="K33" s="283">
        <f>J33/SUMIFS($J$5:$J$100,$B$5:$B$100,B33)</f>
        <v/>
      </c>
    </row>
    <row r="34">
      <c r="B34" s="237" t="n">
        <v>2021</v>
      </c>
      <c r="C34" s="238" t="inlineStr">
        <is>
          <t>Van</t>
        </is>
      </c>
      <c r="D34" s="237" t="n">
        <v>1</v>
      </c>
      <c r="E34" s="238" t="inlineStr">
        <is>
          <t>1 - 3 Years Old</t>
        </is>
      </c>
      <c r="F34" s="310" t="n">
        <v>0.07945331438602357</v>
      </c>
      <c r="G34" s="310" t="n">
        <v>0.003296241798842899</v>
      </c>
      <c r="H34" s="238" t="inlineStr">
        <is>
          <t>D20</t>
        </is>
      </c>
      <c r="I34" s="238" t="inlineStr">
        <is>
          <t>N12</t>
        </is>
      </c>
      <c r="J34" s="283">
        <f>G34/F34</f>
        <v/>
      </c>
      <c r="K34" s="283">
        <f>J34/SUMIFS($J$5:$J$100,$B$5:$B$100,B34)</f>
        <v/>
      </c>
    </row>
    <row r="35">
      <c r="B35" s="237" t="n">
        <v>2021</v>
      </c>
      <c r="C35" s="238" t="inlineStr">
        <is>
          <t>Van</t>
        </is>
      </c>
      <c r="D35" s="237" t="n">
        <v>2</v>
      </c>
      <c r="E35" s="238" t="inlineStr">
        <is>
          <t>4 - 6 Years Old</t>
        </is>
      </c>
      <c r="F35" s="310" t="n">
        <v>0.1274673461020324</v>
      </c>
      <c r="G35" s="310" t="n">
        <v>0.006037619118133076</v>
      </c>
      <c r="H35" s="238" t="inlineStr">
        <is>
          <t>D21</t>
        </is>
      </c>
      <c r="I35" s="238" t="inlineStr">
        <is>
          <t>N16</t>
        </is>
      </c>
      <c r="J35" s="283">
        <f>G35/F35</f>
        <v/>
      </c>
      <c r="K35" s="283">
        <f>J35/SUMIFS($J$5:$J$100,$B$5:$B$100,B35)</f>
        <v/>
      </c>
    </row>
    <row r="36">
      <c r="B36" s="237" t="n">
        <v>2021</v>
      </c>
      <c r="C36" s="238" t="inlineStr">
        <is>
          <t>Van</t>
        </is>
      </c>
      <c r="D36" s="237" t="n">
        <v>3</v>
      </c>
      <c r="E36" s="238" t="inlineStr">
        <is>
          <t>7 Years and Older</t>
        </is>
      </c>
      <c r="F36" s="310" t="n">
        <v>0.3286981241758709</v>
      </c>
      <c r="G36" s="310" t="n">
        <v>0.03215821128337727</v>
      </c>
      <c r="H36" s="238" t="inlineStr">
        <is>
          <t>D22</t>
        </is>
      </c>
      <c r="I36" s="238" t="inlineStr">
        <is>
          <t>N20</t>
        </is>
      </c>
      <c r="J36" s="283">
        <f>G36/F36</f>
        <v/>
      </c>
      <c r="K36" s="283">
        <f>J36/SUMIFS($J$5:$J$100,$B$5:$B$100,B36)</f>
        <v/>
      </c>
    </row>
    <row r="37">
      <c r="B37" s="237" t="n">
        <v>2022</v>
      </c>
      <c r="C37" s="238" t="inlineStr">
        <is>
          <t>Car</t>
        </is>
      </c>
      <c r="D37" s="237" t="n">
        <v>0</v>
      </c>
      <c r="E37" s="238" t="inlineStr">
        <is>
          <t>Current Yr or Newer Group</t>
        </is>
      </c>
      <c r="F37" s="310" t="n">
        <v>0.1037956407963709</v>
      </c>
      <c r="G37" s="310" t="n">
        <v>0.008341538296217895</v>
      </c>
      <c r="H37" s="238" t="inlineStr">
        <is>
          <t>E4</t>
        </is>
      </c>
      <c r="I37" s="238" t="inlineStr">
        <is>
          <t>O5</t>
        </is>
      </c>
      <c r="J37" s="283">
        <f>G37/F37</f>
        <v/>
      </c>
      <c r="K37" s="283">
        <f>J37/SUMIFS($J$5:$J$100,$B$5:$B$100,B37)</f>
        <v/>
      </c>
    </row>
    <row r="38">
      <c r="B38" s="237" t="n">
        <v>2022</v>
      </c>
      <c r="C38" s="238" t="inlineStr">
        <is>
          <t>Car</t>
        </is>
      </c>
      <c r="D38" s="237" t="n">
        <v>1</v>
      </c>
      <c r="E38" s="238" t="inlineStr">
        <is>
          <t>1 - 3 Years Old</t>
        </is>
      </c>
      <c r="F38" s="310" t="n">
        <v>0.1142213800859824</v>
      </c>
      <c r="G38" s="310" t="n">
        <v>0.04810607921000299</v>
      </c>
      <c r="H38" s="238" t="inlineStr">
        <is>
          <t>E5</t>
        </is>
      </c>
      <c r="I38" s="238" t="inlineStr">
        <is>
          <t>O9</t>
        </is>
      </c>
      <c r="J38" s="283">
        <f>G38/F38</f>
        <v/>
      </c>
      <c r="K38" s="283">
        <f>J38/SUMIFS($J$5:$J$100,$B$5:$B$100,B38)</f>
        <v/>
      </c>
    </row>
    <row r="39">
      <c r="B39" s="237" t="n">
        <v>2022</v>
      </c>
      <c r="C39" s="238" t="inlineStr">
        <is>
          <t>Car</t>
        </is>
      </c>
      <c r="D39" s="237" t="n">
        <v>2</v>
      </c>
      <c r="E39" s="238" t="inlineStr">
        <is>
          <t>4 - 6 Years Old</t>
        </is>
      </c>
      <c r="F39" s="310" t="n">
        <v>0.1631054390201651</v>
      </c>
      <c r="G39" s="310" t="n">
        <v>0.0990037686243318</v>
      </c>
      <c r="H39" s="238" t="inlineStr">
        <is>
          <t>E6</t>
        </is>
      </c>
      <c r="I39" s="238" t="inlineStr">
        <is>
          <t>O13</t>
        </is>
      </c>
      <c r="J39" s="283">
        <f>G39/F39</f>
        <v/>
      </c>
      <c r="K39" s="283">
        <f>J39/SUMIFS($J$5:$J$100,$B$5:$B$100,B39)</f>
        <v/>
      </c>
    </row>
    <row r="40">
      <c r="B40" s="237" t="n">
        <v>2022</v>
      </c>
      <c r="C40" s="238" t="inlineStr">
        <is>
          <t>Car</t>
        </is>
      </c>
      <c r="D40" s="237" t="n">
        <v>3</v>
      </c>
      <c r="E40" s="238" t="inlineStr">
        <is>
          <t>7 Years and Older</t>
        </is>
      </c>
      <c r="F40" s="310" t="n">
        <v>0.3054671461407206</v>
      </c>
      <c r="G40" s="310" t="n">
        <v>0.3985545201242166</v>
      </c>
      <c r="H40" s="238" t="inlineStr">
        <is>
          <t>E7</t>
        </is>
      </c>
      <c r="I40" s="238" t="inlineStr">
        <is>
          <t>O17</t>
        </is>
      </c>
      <c r="J40" s="283">
        <f>G40/F40</f>
        <v/>
      </c>
      <c r="K40" s="283">
        <f>J40/SUMIFS($J$5:$J$100,$B$5:$B$100,B40)</f>
        <v/>
      </c>
    </row>
    <row r="41">
      <c r="B41" s="237" t="n">
        <v>2022</v>
      </c>
      <c r="C41" s="238" t="inlineStr">
        <is>
          <t>Pickup</t>
        </is>
      </c>
      <c r="D41" s="237" t="n">
        <v>0</v>
      </c>
      <c r="E41" s="238" t="inlineStr">
        <is>
          <t>Current Yr or Newer Group</t>
        </is>
      </c>
      <c r="F41" s="310" t="n">
        <v>0.0856085409252669</v>
      </c>
      <c r="G41" s="310" t="n">
        <v>0.002973564252358398</v>
      </c>
      <c r="H41" s="238" t="inlineStr">
        <is>
          <t>E9</t>
        </is>
      </c>
      <c r="I41" s="238" t="inlineStr">
        <is>
          <t>O6</t>
        </is>
      </c>
      <c r="J41" s="283">
        <f>G41/F41</f>
        <v/>
      </c>
      <c r="K41" s="283">
        <f>J41/SUMIFS($J$5:$J$100,$B$5:$B$100,B41)</f>
        <v/>
      </c>
    </row>
    <row r="42">
      <c r="B42" s="237" t="n">
        <v>2022</v>
      </c>
      <c r="C42" s="238" t="inlineStr">
        <is>
          <t>Pickup</t>
        </is>
      </c>
      <c r="D42" s="237" t="n">
        <v>1</v>
      </c>
      <c r="E42" s="238" t="inlineStr">
        <is>
          <t>1 - 3 Years Old</t>
        </is>
      </c>
      <c r="F42" s="310" t="n">
        <v>0.05912603950373306</v>
      </c>
      <c r="G42" s="310" t="n">
        <v>0.01128213985871532</v>
      </c>
      <c r="H42" s="238" t="inlineStr">
        <is>
          <t>E10</t>
        </is>
      </c>
      <c r="I42" s="238" t="inlineStr">
        <is>
          <t>O10</t>
        </is>
      </c>
      <c r="J42" s="283">
        <f>G42/F42</f>
        <v/>
      </c>
      <c r="K42" s="283">
        <f>J42/SUMIFS($J$5:$J$100,$B$5:$B$100,B42)</f>
        <v/>
      </c>
    </row>
    <row r="43">
      <c r="B43" s="237" t="n">
        <v>2022</v>
      </c>
      <c r="C43" s="238" t="inlineStr">
        <is>
          <t>Pickup</t>
        </is>
      </c>
      <c r="D43" s="237" t="n">
        <v>2</v>
      </c>
      <c r="E43" s="238" t="inlineStr">
        <is>
          <t>4 - 6 Years Old</t>
        </is>
      </c>
      <c r="F43" s="310" t="n">
        <v>0.0836300627597623</v>
      </c>
      <c r="G43" s="310" t="n">
        <v>0.01388882937292108</v>
      </c>
      <c r="H43" s="238" t="inlineStr">
        <is>
          <t>E11</t>
        </is>
      </c>
      <c r="I43" s="238" t="inlineStr">
        <is>
          <t>O14</t>
        </is>
      </c>
      <c r="J43" s="283">
        <f>G43/F43</f>
        <v/>
      </c>
      <c r="K43" s="283">
        <f>J43/SUMIFS($J$5:$J$100,$B$5:$B$100,B43)</f>
        <v/>
      </c>
    </row>
    <row r="44">
      <c r="B44" s="237" t="n">
        <v>2022</v>
      </c>
      <c r="C44" s="238" t="inlineStr">
        <is>
          <t>Pickup</t>
        </is>
      </c>
      <c r="D44" s="237" t="n">
        <v>3</v>
      </c>
      <c r="E44" s="238" t="inlineStr">
        <is>
          <t>7 Years and Older</t>
        </is>
      </c>
      <c r="F44" s="310" t="n">
        <v>0.2165159764875176</v>
      </c>
      <c r="G44" s="310" t="n">
        <v>0.08004923307357635</v>
      </c>
      <c r="H44" s="238" t="inlineStr">
        <is>
          <t>E12</t>
        </is>
      </c>
      <c r="I44" s="238" t="inlineStr">
        <is>
          <t>O18</t>
        </is>
      </c>
      <c r="J44" s="283">
        <f>G44/F44</f>
        <v/>
      </c>
      <c r="K44" s="283">
        <f>J44/SUMIFS($J$5:$J$100,$B$5:$B$100,B44)</f>
        <v/>
      </c>
    </row>
    <row r="45">
      <c r="B45" s="237" t="n">
        <v>2022</v>
      </c>
      <c r="C45" s="238" t="inlineStr">
        <is>
          <t>Utility Vehicle</t>
        </is>
      </c>
      <c r="D45" s="237" t="n">
        <v>0</v>
      </c>
      <c r="E45" s="238" t="inlineStr">
        <is>
          <t>Current Yr or Newer Group</t>
        </is>
      </c>
      <c r="F45" s="310" t="n">
        <v>0.07961846655313992</v>
      </c>
      <c r="G45" s="310" t="n">
        <v>0.01004834637721909</v>
      </c>
      <c r="H45" s="238" t="inlineStr">
        <is>
          <t>E14</t>
        </is>
      </c>
      <c r="I45" s="238" t="inlineStr">
        <is>
          <t>O7</t>
        </is>
      </c>
      <c r="J45" s="283">
        <f>G45/F45</f>
        <v/>
      </c>
      <c r="K45" s="283">
        <f>J45/SUMIFS($J$5:$J$100,$B$5:$B$100,B45)</f>
        <v/>
      </c>
    </row>
    <row r="46">
      <c r="B46" s="237" t="n">
        <v>2022</v>
      </c>
      <c r="C46" s="238" t="inlineStr">
        <is>
          <t>Utility Vehicle</t>
        </is>
      </c>
      <c r="D46" s="237" t="n">
        <v>1</v>
      </c>
      <c r="E46" s="238" t="inlineStr">
        <is>
          <t>1 - 3 Years Old</t>
        </is>
      </c>
      <c r="F46" s="310" t="n">
        <v>0.07721280395477398</v>
      </c>
      <c r="G46" s="310" t="n">
        <v>0.04627467216132732</v>
      </c>
      <c r="H46" s="238" t="inlineStr">
        <is>
          <t>E15</t>
        </is>
      </c>
      <c r="I46" s="238" t="inlineStr">
        <is>
          <t>O11</t>
        </is>
      </c>
      <c r="J46" s="283">
        <f>G46/F46</f>
        <v/>
      </c>
      <c r="K46" s="283">
        <f>J46/SUMIFS($J$5:$J$100,$B$5:$B$100,B46)</f>
        <v/>
      </c>
    </row>
    <row r="47">
      <c r="B47" s="237" t="n">
        <v>2022</v>
      </c>
      <c r="C47" s="238" t="inlineStr">
        <is>
          <t>Utility Vehicle</t>
        </is>
      </c>
      <c r="D47" s="237" t="n">
        <v>2</v>
      </c>
      <c r="E47" s="238" t="inlineStr">
        <is>
          <t>4 - 6 Years Old</t>
        </is>
      </c>
      <c r="F47" s="310" t="n">
        <v>0.1131521751799384</v>
      </c>
      <c r="G47" s="310" t="n">
        <v>0.06080099995615963</v>
      </c>
      <c r="H47" s="238" t="inlineStr">
        <is>
          <t>E16</t>
        </is>
      </c>
      <c r="I47" s="238" t="inlineStr">
        <is>
          <t>O15</t>
        </is>
      </c>
      <c r="J47" s="283">
        <f>G47/F47</f>
        <v/>
      </c>
      <c r="K47" s="283">
        <f>J47/SUMIFS($J$5:$J$100,$B$5:$B$100,B47)</f>
        <v/>
      </c>
    </row>
    <row r="48">
      <c r="B48" s="237" t="n">
        <v>2022</v>
      </c>
      <c r="C48" s="238" t="inlineStr">
        <is>
          <t>Utility Vehicle</t>
        </is>
      </c>
      <c r="D48" s="237" t="n">
        <v>3</v>
      </c>
      <c r="E48" s="238" t="inlineStr">
        <is>
          <t>7 Years and Older</t>
        </is>
      </c>
      <c r="F48" s="310" t="n">
        <v>0.2443702260596082</v>
      </c>
      <c r="G48" s="310" t="n">
        <v>0.1798984946928421</v>
      </c>
      <c r="H48" s="238" t="inlineStr">
        <is>
          <t>E17</t>
        </is>
      </c>
      <c r="I48" s="238" t="inlineStr">
        <is>
          <t>O19</t>
        </is>
      </c>
      <c r="J48" s="283">
        <f>G48/F48</f>
        <v/>
      </c>
      <c r="K48" s="283">
        <f>J48/SUMIFS($J$5:$J$100,$B$5:$B$100,B48)</f>
        <v/>
      </c>
    </row>
    <row r="49">
      <c r="B49" s="237" t="n">
        <v>2022</v>
      </c>
      <c r="C49" s="238" t="inlineStr">
        <is>
          <t>Van</t>
        </is>
      </c>
      <c r="D49" s="237" t="n">
        <v>0</v>
      </c>
      <c r="E49" s="238" t="inlineStr">
        <is>
          <t>Current Yr or Newer Group</t>
        </is>
      </c>
      <c r="F49" s="310" t="n">
        <v>0.06442446786526142</v>
      </c>
      <c r="G49" s="310" t="n">
        <v>0.0004110447425663366</v>
      </c>
      <c r="H49" s="238" t="inlineStr">
        <is>
          <t>E19</t>
        </is>
      </c>
      <c r="I49" s="238" t="inlineStr">
        <is>
          <t>O8</t>
        </is>
      </c>
      <c r="J49" s="283">
        <f>G49/F49</f>
        <v/>
      </c>
      <c r="K49" s="283">
        <f>J49/SUMIFS($J$5:$J$100,$B$5:$B$100,B49)</f>
        <v/>
      </c>
    </row>
    <row r="50">
      <c r="B50" s="237" t="n">
        <v>2022</v>
      </c>
      <c r="C50" s="238" t="inlineStr">
        <is>
          <t>Van</t>
        </is>
      </c>
      <c r="D50" s="237" t="n">
        <v>1</v>
      </c>
      <c r="E50" s="238" t="inlineStr">
        <is>
          <t>1 - 3 Years Old</t>
        </is>
      </c>
      <c r="F50" s="310" t="n">
        <v>0.07473605667384238</v>
      </c>
      <c r="G50" s="310" t="n">
        <v>0.00287236879448521</v>
      </c>
      <c r="H50" s="238" t="inlineStr">
        <is>
          <t>E20</t>
        </is>
      </c>
      <c r="I50" s="238" t="inlineStr">
        <is>
          <t>O12</t>
        </is>
      </c>
      <c r="J50" s="283">
        <f>G50/F50</f>
        <v/>
      </c>
      <c r="K50" s="283">
        <f>J50/SUMIFS($J$5:$J$100,$B$5:$B$100,B50)</f>
        <v/>
      </c>
    </row>
    <row r="51">
      <c r="B51" s="237" t="n">
        <v>2022</v>
      </c>
      <c r="C51" s="238" t="inlineStr">
        <is>
          <t>Van</t>
        </is>
      </c>
      <c r="D51" s="237" t="n">
        <v>2</v>
      </c>
      <c r="E51" s="238" t="inlineStr">
        <is>
          <t>4 - 6 Years Old</t>
        </is>
      </c>
      <c r="F51" s="310" t="n">
        <v>0.1148230740101822</v>
      </c>
      <c r="G51" s="310" t="n">
        <v>0.005397310837835762</v>
      </c>
      <c r="H51" s="238" t="inlineStr">
        <is>
          <t>E21</t>
        </is>
      </c>
      <c r="I51" s="238" t="inlineStr">
        <is>
          <t>O16</t>
        </is>
      </c>
      <c r="J51" s="283">
        <f>G51/F51</f>
        <v/>
      </c>
      <c r="K51" s="283">
        <f>J51/SUMIFS($J$5:$J$100,$B$5:$B$100,B51)</f>
        <v/>
      </c>
    </row>
    <row r="52">
      <c r="B52" s="237" t="n">
        <v>2022</v>
      </c>
      <c r="C52" s="238" t="inlineStr">
        <is>
          <t>Van</t>
        </is>
      </c>
      <c r="D52" s="237" t="n">
        <v>3</v>
      </c>
      <c r="E52" s="238" t="inlineStr">
        <is>
          <t>7 Years and Older</t>
        </is>
      </c>
      <c r="F52" s="310" t="n">
        <v>0.2976523812435043</v>
      </c>
      <c r="G52" s="310" t="n">
        <v>0.0320970896252241</v>
      </c>
      <c r="H52" s="238" t="inlineStr">
        <is>
          <t>E22</t>
        </is>
      </c>
      <c r="I52" s="238" t="inlineStr">
        <is>
          <t>O20</t>
        </is>
      </c>
      <c r="J52" s="283">
        <f>G52/F52</f>
        <v/>
      </c>
      <c r="K52" s="283">
        <f>J52/SUMIFS($J$5:$J$100,$B$5:$B$100,B52)</f>
        <v/>
      </c>
    </row>
    <row r="53">
      <c r="B53" s="237" t="n">
        <v>2023</v>
      </c>
      <c r="C53" s="238" t="inlineStr">
        <is>
          <t>Car</t>
        </is>
      </c>
      <c r="D53" s="237" t="n">
        <v>0</v>
      </c>
      <c r="E53" s="238" t="inlineStr">
        <is>
          <t>Current Yr or Newer Group</t>
        </is>
      </c>
      <c r="F53" s="310" t="n">
        <v>0.1073790865325065</v>
      </c>
      <c r="G53" s="310" t="n">
        <v>0.007870336605402501</v>
      </c>
      <c r="H53" s="238" t="inlineStr">
        <is>
          <t>F4</t>
        </is>
      </c>
      <c r="I53" s="238" t="inlineStr">
        <is>
          <t>P5</t>
        </is>
      </c>
      <c r="J53" s="283">
        <f>G53/F53</f>
        <v/>
      </c>
      <c r="K53" s="283">
        <f>J53/SUMIFS($J$5:$J$100,$B$5:$B$100,B53)</f>
        <v/>
      </c>
    </row>
    <row r="54">
      <c r="B54" s="237" t="n">
        <v>2023</v>
      </c>
      <c r="C54" s="238" t="inlineStr">
        <is>
          <t>Car</t>
        </is>
      </c>
      <c r="D54" s="237" t="n">
        <v>1</v>
      </c>
      <c r="E54" s="238" t="inlineStr">
        <is>
          <t>1 - 3 Years Old</t>
        </is>
      </c>
      <c r="F54" s="310" t="n">
        <v>0.1201207764301447</v>
      </c>
      <c r="G54" s="310" t="n">
        <v>0.04058426967652241</v>
      </c>
      <c r="H54" s="238" t="inlineStr">
        <is>
          <t>F5</t>
        </is>
      </c>
      <c r="I54" s="238" t="inlineStr">
        <is>
          <t>P9</t>
        </is>
      </c>
      <c r="J54" s="283">
        <f>G54/F54</f>
        <v/>
      </c>
      <c r="K54" s="283">
        <f>J54/SUMIFS($J$5:$J$100,$B$5:$B$100,B54)</f>
        <v/>
      </c>
    </row>
    <row r="55">
      <c r="B55" s="237" t="n">
        <v>2023</v>
      </c>
      <c r="C55" s="238" t="inlineStr">
        <is>
          <t>Car</t>
        </is>
      </c>
      <c r="D55" s="237" t="n">
        <v>2</v>
      </c>
      <c r="E55" s="238" t="inlineStr">
        <is>
          <t>4 - 6 Years Old</t>
        </is>
      </c>
      <c r="F55" s="310" t="n">
        <v>0.1755502912452125</v>
      </c>
      <c r="G55" s="310" t="n">
        <v>0.08777511905976003</v>
      </c>
      <c r="H55" s="238" t="inlineStr">
        <is>
          <t>F6</t>
        </is>
      </c>
      <c r="I55" s="238" t="inlineStr">
        <is>
          <t>P13</t>
        </is>
      </c>
      <c r="J55" s="283">
        <f>G55/F55</f>
        <v/>
      </c>
      <c r="K55" s="283">
        <f>J55/SUMIFS($J$5:$J$100,$B$5:$B$100,B55)</f>
        <v/>
      </c>
    </row>
    <row r="56">
      <c r="B56" s="237" t="n">
        <v>2023</v>
      </c>
      <c r="C56" s="238" t="inlineStr">
        <is>
          <t>Car</t>
        </is>
      </c>
      <c r="D56" s="237" t="n">
        <v>3</v>
      </c>
      <c r="E56" s="238" t="inlineStr">
        <is>
          <t>7 Years and Older</t>
        </is>
      </c>
      <c r="F56" s="310" t="n">
        <v>0.3256354396835834</v>
      </c>
      <c r="G56" s="310" t="n">
        <v>0.3992421695340774</v>
      </c>
      <c r="H56" s="238" t="inlineStr">
        <is>
          <t>F7</t>
        </is>
      </c>
      <c r="I56" s="238" t="inlineStr">
        <is>
          <t>P17</t>
        </is>
      </c>
      <c r="J56" s="283">
        <f>G56/F56</f>
        <v/>
      </c>
      <c r="K56" s="283">
        <f>J56/SUMIFS($J$5:$J$100,$B$5:$B$100,B56)</f>
        <v/>
      </c>
    </row>
    <row r="57">
      <c r="B57" s="237" t="n">
        <v>2023</v>
      </c>
      <c r="C57" s="238" t="inlineStr">
        <is>
          <t>Pickup</t>
        </is>
      </c>
      <c r="D57" s="237" t="n">
        <v>0</v>
      </c>
      <c r="E57" s="238" t="inlineStr">
        <is>
          <t>Current Yr or Newer Group</t>
        </is>
      </c>
      <c r="F57" s="310" t="n">
        <v>0.07491125038348599</v>
      </c>
      <c r="G57" s="310" t="n">
        <v>0.002069038773066363</v>
      </c>
      <c r="H57" s="238" t="inlineStr">
        <is>
          <t>F9</t>
        </is>
      </c>
      <c r="I57" s="238" t="inlineStr">
        <is>
          <t>P6</t>
        </is>
      </c>
      <c r="J57" s="283">
        <f>G57/F57</f>
        <v/>
      </c>
      <c r="K57" s="283">
        <f>J57/SUMIFS($J$5:$J$100,$B$5:$B$100,B57)</f>
        <v/>
      </c>
    </row>
    <row r="58">
      <c r="B58" s="237" t="n">
        <v>2023</v>
      </c>
      <c r="C58" s="238" t="inlineStr">
        <is>
          <t>Pickup</t>
        </is>
      </c>
      <c r="D58" s="237" t="n">
        <v>1</v>
      </c>
      <c r="E58" s="238" t="inlineStr">
        <is>
          <t>1 - 3 Years Old</t>
        </is>
      </c>
      <c r="F58" s="310" t="n">
        <v>0.06205068984813005</v>
      </c>
      <c r="G58" s="310" t="n">
        <v>0.01053705734085091</v>
      </c>
      <c r="H58" s="238" t="inlineStr">
        <is>
          <t>F10</t>
        </is>
      </c>
      <c r="I58" s="238" t="inlineStr">
        <is>
          <t>P10</t>
        </is>
      </c>
      <c r="J58" s="283">
        <f>G58/F58</f>
        <v/>
      </c>
      <c r="K58" s="283">
        <f>J58/SUMIFS($J$5:$J$100,$B$5:$B$100,B58)</f>
        <v/>
      </c>
    </row>
    <row r="59">
      <c r="B59" s="237" t="n">
        <v>2023</v>
      </c>
      <c r="C59" s="238" t="inlineStr">
        <is>
          <t>Pickup</t>
        </is>
      </c>
      <c r="D59" s="237" t="n">
        <v>2</v>
      </c>
      <c r="E59" s="238" t="inlineStr">
        <is>
          <t>4 - 6 Years Old</t>
        </is>
      </c>
      <c r="F59" s="310" t="n">
        <v>0.08721663439781237</v>
      </c>
      <c r="G59" s="310" t="n">
        <v>0.01454561190981932</v>
      </c>
      <c r="H59" s="238" t="inlineStr">
        <is>
          <t>F11</t>
        </is>
      </c>
      <c r="I59" s="238" t="inlineStr">
        <is>
          <t>P14</t>
        </is>
      </c>
      <c r="J59" s="283">
        <f>G59/F59</f>
        <v/>
      </c>
      <c r="K59" s="283">
        <f>J59/SUMIFS($J$5:$J$100,$B$5:$B$100,B59)</f>
        <v/>
      </c>
    </row>
    <row r="60">
      <c r="B60" s="237" t="n">
        <v>2023</v>
      </c>
      <c r="C60" s="238" t="inlineStr">
        <is>
          <t>Pickup</t>
        </is>
      </c>
      <c r="D60" s="237" t="n">
        <v>3</v>
      </c>
      <c r="E60" s="238" t="inlineStr">
        <is>
          <t>7 Years and Older</t>
        </is>
      </c>
      <c r="F60" s="310" t="n">
        <v>0.2289372601438728</v>
      </c>
      <c r="G60" s="310" t="n">
        <v>0.08038988837116685</v>
      </c>
      <c r="H60" s="238" t="inlineStr">
        <is>
          <t>F12</t>
        </is>
      </c>
      <c r="I60" s="238" t="inlineStr">
        <is>
          <t>P18</t>
        </is>
      </c>
      <c r="J60" s="283">
        <f>G60/F60</f>
        <v/>
      </c>
      <c r="K60" s="283">
        <f>J60/SUMIFS($J$5:$J$100,$B$5:$B$100,B60)</f>
        <v/>
      </c>
    </row>
    <row r="61">
      <c r="B61" s="237" t="n">
        <v>2023</v>
      </c>
      <c r="C61" s="238" t="inlineStr">
        <is>
          <t>Utility Vehicle</t>
        </is>
      </c>
      <c r="D61" s="237" t="n">
        <v>0</v>
      </c>
      <c r="E61" s="238" t="inlineStr">
        <is>
          <t>Current Yr or Newer Group</t>
        </is>
      </c>
      <c r="F61" s="310" t="n">
        <v>0.07751675580529416</v>
      </c>
      <c r="G61" s="310" t="n">
        <v>0.01004862256247895</v>
      </c>
      <c r="H61" s="238" t="inlineStr">
        <is>
          <t>F14</t>
        </is>
      </c>
      <c r="I61" s="238" t="inlineStr">
        <is>
          <t>P7</t>
        </is>
      </c>
      <c r="J61" s="283">
        <f>G61/F61</f>
        <v/>
      </c>
      <c r="K61" s="283">
        <f>J61/SUMIFS($J$5:$J$100,$B$5:$B$100,B61)</f>
        <v/>
      </c>
    </row>
    <row r="62">
      <c r="B62" s="237" t="n">
        <v>2023</v>
      </c>
      <c r="C62" s="238" t="inlineStr">
        <is>
          <t>Utility Vehicle</t>
        </is>
      </c>
      <c r="D62" s="237" t="n">
        <v>1</v>
      </c>
      <c r="E62" s="238" t="inlineStr">
        <is>
          <t>1 - 3 Years Old</t>
        </is>
      </c>
      <c r="F62" s="310" t="n">
        <v>0.08291242013983925</v>
      </c>
      <c r="G62" s="310" t="n">
        <v>0.0450116555548259</v>
      </c>
      <c r="H62" s="238" t="inlineStr">
        <is>
          <t>F15</t>
        </is>
      </c>
      <c r="I62" s="238" t="inlineStr">
        <is>
          <t>P11</t>
        </is>
      </c>
      <c r="J62" s="283">
        <f>G62/F62</f>
        <v/>
      </c>
      <c r="K62" s="283">
        <f>J62/SUMIFS($J$5:$J$100,$B$5:$B$100,B62)</f>
        <v/>
      </c>
    </row>
    <row r="63">
      <c r="B63" s="237" t="n">
        <v>2023</v>
      </c>
      <c r="C63" s="238" t="inlineStr">
        <is>
          <t>Utility Vehicle</t>
        </is>
      </c>
      <c r="D63" s="237" t="n">
        <v>2</v>
      </c>
      <c r="E63" s="238" t="inlineStr">
        <is>
          <t>4 - 6 Years Old</t>
        </is>
      </c>
      <c r="F63" s="310" t="n">
        <v>0.1253009480110362</v>
      </c>
      <c r="G63" s="310" t="n">
        <v>0.06688953899201466</v>
      </c>
      <c r="H63" s="238" t="inlineStr">
        <is>
          <t>F16</t>
        </is>
      </c>
      <c r="I63" s="238" t="inlineStr">
        <is>
          <t>P15</t>
        </is>
      </c>
      <c r="J63" s="283">
        <f>G63/F63</f>
        <v/>
      </c>
      <c r="K63" s="283">
        <f>J63/SUMIFS($J$5:$J$100,$B$5:$B$100,B63)</f>
        <v/>
      </c>
    </row>
    <row r="64">
      <c r="B64" s="237" t="n">
        <v>2023</v>
      </c>
      <c r="C64" s="238" t="inlineStr">
        <is>
          <t>Utility Vehicle</t>
        </is>
      </c>
      <c r="D64" s="237" t="n">
        <v>3</v>
      </c>
      <c r="E64" s="238" t="inlineStr">
        <is>
          <t>7 Years and Older</t>
        </is>
      </c>
      <c r="F64" s="310" t="n">
        <v>0.2648983041659069</v>
      </c>
      <c r="G64" s="310" t="n">
        <v>0.1951932449530676</v>
      </c>
      <c r="H64" s="238" t="inlineStr">
        <is>
          <t>F17</t>
        </is>
      </c>
      <c r="I64" s="238" t="inlineStr">
        <is>
          <t>P19</t>
        </is>
      </c>
      <c r="J64" s="283">
        <f>G64/F64</f>
        <v/>
      </c>
      <c r="K64" s="283">
        <f>J64/SUMIFS($J$5:$J$100,$B$5:$B$100,B64)</f>
        <v/>
      </c>
    </row>
    <row r="65">
      <c r="B65" s="237" t="n">
        <v>2023</v>
      </c>
      <c r="C65" s="238" t="inlineStr">
        <is>
          <t>Van</t>
        </is>
      </c>
      <c r="D65" s="237" t="n">
        <v>0</v>
      </c>
      <c r="E65" s="238" t="inlineStr">
        <is>
          <t>Current Yr or Newer Group</t>
        </is>
      </c>
      <c r="F65" s="310" t="n">
        <v>0.06961308078355188</v>
      </c>
      <c r="G65" s="310" t="n">
        <v>0.0003903846741634647</v>
      </c>
      <c r="H65" s="238" t="inlineStr">
        <is>
          <t>F19</t>
        </is>
      </c>
      <c r="I65" s="238" t="inlineStr">
        <is>
          <t>P8</t>
        </is>
      </c>
      <c r="J65" s="283">
        <f>G65/F65</f>
        <v/>
      </c>
      <c r="K65" s="283">
        <f>J65/SUMIFS($J$5:$J$100,$B$5:$B$100,B65)</f>
        <v/>
      </c>
    </row>
    <row r="66">
      <c r="B66" s="237" t="n">
        <v>2023</v>
      </c>
      <c r="C66" s="238" t="inlineStr">
        <is>
          <t>Van</t>
        </is>
      </c>
      <c r="D66" s="237" t="n">
        <v>1</v>
      </c>
      <c r="E66" s="238" t="inlineStr">
        <is>
          <t>1 - 3 Years Old</t>
        </is>
      </c>
      <c r="F66" s="310" t="n">
        <v>0.07776280048199662</v>
      </c>
      <c r="G66" s="310" t="n">
        <v>0.002304480072678127</v>
      </c>
      <c r="H66" s="238" t="inlineStr">
        <is>
          <t>F20</t>
        </is>
      </c>
      <c r="I66" s="238" t="inlineStr">
        <is>
          <t>P12</t>
        </is>
      </c>
      <c r="J66" s="283">
        <f>G66/F66</f>
        <v/>
      </c>
      <c r="K66" s="283">
        <f>J66/SUMIFS($J$5:$J$100,$B$5:$B$100,B66)</f>
        <v/>
      </c>
    </row>
    <row r="67">
      <c r="B67" s="237" t="n">
        <v>2023</v>
      </c>
      <c r="C67" s="238" t="inlineStr">
        <is>
          <t>Van</t>
        </is>
      </c>
      <c r="D67" s="237" t="n">
        <v>2</v>
      </c>
      <c r="E67" s="238" t="inlineStr">
        <is>
          <t>4 - 6 Years Old</t>
        </is>
      </c>
      <c r="F67" s="310" t="n">
        <v>0.125420598666676</v>
      </c>
      <c r="G67" s="310" t="n">
        <v>0.005425741723315316</v>
      </c>
      <c r="H67" s="238" t="inlineStr">
        <is>
          <t>F21</t>
        </is>
      </c>
      <c r="I67" s="238" t="inlineStr">
        <is>
          <t>P16</t>
        </is>
      </c>
      <c r="J67" s="283">
        <f>G67/F67</f>
        <v/>
      </c>
      <c r="K67" s="283">
        <f>J67/SUMIFS($J$5:$J$100,$B$5:$B$100,B67)</f>
        <v/>
      </c>
    </row>
    <row r="68">
      <c r="B68" s="237" t="n">
        <v>2023</v>
      </c>
      <c r="C68" s="238" t="inlineStr">
        <is>
          <t>Van</t>
        </is>
      </c>
      <c r="D68" s="237" t="n">
        <v>3</v>
      </c>
      <c r="E68" s="238" t="inlineStr">
        <is>
          <t>7 Years and Older</t>
        </is>
      </c>
      <c r="F68" s="310" t="n">
        <v>0.3198576864280331</v>
      </c>
      <c r="G68" s="310" t="n">
        <v>0.03172284019679019</v>
      </c>
      <c r="H68" s="238" t="inlineStr">
        <is>
          <t>F22</t>
        </is>
      </c>
      <c r="I68" s="238" t="inlineStr">
        <is>
          <t>P20</t>
        </is>
      </c>
      <c r="J68" s="283">
        <f>G68/F68</f>
        <v/>
      </c>
      <c r="K68" s="283">
        <f>J68/SUMIFS($J$5:$J$100,$B$5:$B$100,B68)</f>
        <v/>
      </c>
    </row>
    <row r="69">
      <c r="B69" s="237" t="n">
        <v>2024</v>
      </c>
      <c r="C69" s="238" t="inlineStr">
        <is>
          <t>Car</t>
        </is>
      </c>
      <c r="D69" s="237" t="n">
        <v>0</v>
      </c>
      <c r="E69" s="238" t="inlineStr">
        <is>
          <t>Current Yr or Newer Group</t>
        </is>
      </c>
      <c r="F69" s="310" t="n">
        <v>0.1214654806123987</v>
      </c>
      <c r="G69" s="310" t="n">
        <v>0.007769218046000457</v>
      </c>
      <c r="H69" s="238" t="inlineStr">
        <is>
          <t>G4</t>
        </is>
      </c>
      <c r="I69" s="238" t="inlineStr">
        <is>
          <t>Q5</t>
        </is>
      </c>
      <c r="J69" s="283">
        <f>G69/F69</f>
        <v/>
      </c>
      <c r="K69" s="283">
        <f>J69/SUMIFS($J$5:$J$100,$B$5:$B$100,B69)</f>
        <v/>
      </c>
    </row>
    <row r="70">
      <c r="B70" s="237" t="n">
        <v>2024</v>
      </c>
      <c r="C70" s="238" t="inlineStr">
        <is>
          <t>Car</t>
        </is>
      </c>
      <c r="D70" s="237" t="n">
        <v>1</v>
      </c>
      <c r="E70" s="238" t="inlineStr">
        <is>
          <t>1 - 3 Years Old</t>
        </is>
      </c>
      <c r="F70" s="310" t="n">
        <v>0.1317804990733867</v>
      </c>
      <c r="G70" s="310" t="n">
        <v>0.03709241997144332</v>
      </c>
      <c r="H70" s="238" t="inlineStr">
        <is>
          <t>G5</t>
        </is>
      </c>
      <c r="I70" s="238" t="inlineStr">
        <is>
          <t>Q9</t>
        </is>
      </c>
      <c r="J70" s="283">
        <f>G70/F70</f>
        <v/>
      </c>
      <c r="K70" s="283">
        <f>J70/SUMIFS($J$5:$J$100,$B$5:$B$100,B70)</f>
        <v/>
      </c>
    </row>
    <row r="71">
      <c r="B71" s="237" t="n">
        <v>2024</v>
      </c>
      <c r="C71" s="238" t="inlineStr">
        <is>
          <t>Car</t>
        </is>
      </c>
      <c r="D71" s="237" t="n">
        <v>2</v>
      </c>
      <c r="E71" s="238" t="inlineStr">
        <is>
          <t>4 - 6 Years Old</t>
        </is>
      </c>
      <c r="F71" s="310" t="n">
        <v>0.1893451840821486</v>
      </c>
      <c r="G71" s="310" t="n">
        <v>0.07134378307674594</v>
      </c>
      <c r="H71" s="238" t="inlineStr">
        <is>
          <t>G6</t>
        </is>
      </c>
      <c r="I71" s="238" t="inlineStr">
        <is>
          <t>Q13</t>
        </is>
      </c>
      <c r="J71" s="283">
        <f>G71/F71</f>
        <v/>
      </c>
      <c r="K71" s="283">
        <f>J71/SUMIFS($J$5:$J$100,$B$5:$B$100,B71)</f>
        <v/>
      </c>
    </row>
    <row r="72">
      <c r="B72" s="237" t="n">
        <v>2024</v>
      </c>
      <c r="C72" s="238" t="inlineStr">
        <is>
          <t>Car</t>
        </is>
      </c>
      <c r="D72" s="237" t="n">
        <v>3</v>
      </c>
      <c r="E72" s="238" t="inlineStr">
        <is>
          <t>7 Years and Older</t>
        </is>
      </c>
      <c r="F72" s="310" t="n">
        <v>0.3570035032148893</v>
      </c>
      <c r="G72" s="310" t="n">
        <v>0.3974785255025912</v>
      </c>
      <c r="H72" s="238" t="inlineStr">
        <is>
          <t>G7</t>
        </is>
      </c>
      <c r="I72" s="238" t="inlineStr">
        <is>
          <t>Q17</t>
        </is>
      </c>
      <c r="J72" s="283">
        <f>G72/F72</f>
        <v/>
      </c>
      <c r="K72" s="283">
        <f>J72/SUMIFS($J$5:$J$100,$B$5:$B$100,B72)</f>
        <v/>
      </c>
    </row>
    <row r="73">
      <c r="B73" s="237" t="n">
        <v>2024</v>
      </c>
      <c r="C73" s="238" t="inlineStr">
        <is>
          <t>Pickup</t>
        </is>
      </c>
      <c r="D73" s="237" t="n">
        <v>0</v>
      </c>
      <c r="E73" s="238" t="inlineStr">
        <is>
          <t>Current Yr or Newer Group</t>
        </is>
      </c>
      <c r="F73" s="310" t="n">
        <v>0.07571517577114376</v>
      </c>
      <c r="G73" s="310" t="n">
        <v>0.002095286744520548</v>
      </c>
      <c r="H73" s="238" t="inlineStr">
        <is>
          <t>G9</t>
        </is>
      </c>
      <c r="I73" s="238" t="inlineStr">
        <is>
          <t>Q6</t>
        </is>
      </c>
      <c r="J73" s="283">
        <f>G73/F73</f>
        <v/>
      </c>
      <c r="K73" s="283">
        <f>J73/SUMIFS($J$5:$J$100,$B$5:$B$100,B73)</f>
        <v/>
      </c>
    </row>
    <row r="74">
      <c r="B74" s="237" t="n">
        <v>2024</v>
      </c>
      <c r="C74" s="238" t="inlineStr">
        <is>
          <t>Pickup</t>
        </is>
      </c>
      <c r="D74" s="237" t="n">
        <v>1</v>
      </c>
      <c r="E74" s="238" t="inlineStr">
        <is>
          <t>1 - 3 Years Old</t>
        </is>
      </c>
      <c r="F74" s="310" t="n">
        <v>0.07144499838236269</v>
      </c>
      <c r="G74" s="310" t="n">
        <v>0.01071255529715959</v>
      </c>
      <c r="H74" s="238" t="inlineStr">
        <is>
          <t>G10</t>
        </is>
      </c>
      <c r="I74" s="238" t="inlineStr">
        <is>
          <t>Q10</t>
        </is>
      </c>
      <c r="J74" s="283">
        <f>G74/F74</f>
        <v/>
      </c>
      <c r="K74" s="283">
        <f>J74/SUMIFS($J$5:$J$100,$B$5:$B$100,B74)</f>
        <v/>
      </c>
    </row>
    <row r="75">
      <c r="B75" s="237" t="n">
        <v>2024</v>
      </c>
      <c r="C75" s="238" t="inlineStr">
        <is>
          <t>Pickup</t>
        </is>
      </c>
      <c r="D75" s="237" t="n">
        <v>2</v>
      </c>
      <c r="E75" s="238" t="inlineStr">
        <is>
          <t>4 - 6 Years Old</t>
        </is>
      </c>
      <c r="F75" s="310" t="n">
        <v>0.09645439308135556</v>
      </c>
      <c r="G75" s="310" t="n">
        <v>0.01421025223511864</v>
      </c>
      <c r="H75" s="238" t="inlineStr">
        <is>
          <t>G11</t>
        </is>
      </c>
      <c r="I75" s="238" t="inlineStr">
        <is>
          <t>Q14</t>
        </is>
      </c>
      <c r="J75" s="283">
        <f>G75/F75</f>
        <v/>
      </c>
      <c r="K75" s="283">
        <f>J75/SUMIFS($J$5:$J$100,$B$5:$B$100,B75)</f>
        <v/>
      </c>
    </row>
    <row r="76">
      <c r="B76" s="237" t="n">
        <v>2024</v>
      </c>
      <c r="C76" s="238" t="inlineStr">
        <is>
          <t>Pickup</t>
        </is>
      </c>
      <c r="D76" s="237" t="n">
        <v>3</v>
      </c>
      <c r="E76" s="238" t="inlineStr">
        <is>
          <t>7 Years and Older</t>
        </is>
      </c>
      <c r="F76" s="310" t="n">
        <v>0.2465668989493661</v>
      </c>
      <c r="G76" s="310" t="n">
        <v>0.07995929825135609</v>
      </c>
      <c r="H76" s="238" t="inlineStr">
        <is>
          <t>G12</t>
        </is>
      </c>
      <c r="I76" s="238" t="inlineStr">
        <is>
          <t>Q18</t>
        </is>
      </c>
      <c r="J76" s="283">
        <f>G76/F76</f>
        <v/>
      </c>
      <c r="K76" s="283">
        <f>J76/SUMIFS($J$5:$J$100,$B$5:$B$100,B76)</f>
        <v/>
      </c>
    </row>
    <row r="77">
      <c r="B77" s="237" t="n">
        <v>2024</v>
      </c>
      <c r="C77" s="238" t="inlineStr">
        <is>
          <t>Utility Vehicle</t>
        </is>
      </c>
      <c r="D77" s="237" t="n">
        <v>0</v>
      </c>
      <c r="E77" s="238" t="inlineStr">
        <is>
          <t>Current Yr or Newer Group</t>
        </is>
      </c>
      <c r="F77" s="310" t="n">
        <v>0.08606985146527499</v>
      </c>
      <c r="G77" s="310" t="n">
        <v>0.01096445727397642</v>
      </c>
      <c r="H77" s="238" t="inlineStr">
        <is>
          <t>G14</t>
        </is>
      </c>
      <c r="I77" s="238" t="inlineStr">
        <is>
          <t>Q7</t>
        </is>
      </c>
      <c r="J77" s="283">
        <f>G77/F77</f>
        <v/>
      </c>
      <c r="K77" s="283">
        <f>J77/SUMIFS($J$5:$J$100,$B$5:$B$100,B77)</f>
        <v/>
      </c>
    </row>
    <row r="78">
      <c r="B78" s="237" t="n">
        <v>2024</v>
      </c>
      <c r="C78" s="238" t="inlineStr">
        <is>
          <t>Utility Vehicle</t>
        </is>
      </c>
      <c r="D78" s="237" t="n">
        <v>1</v>
      </c>
      <c r="E78" s="238" t="inlineStr">
        <is>
          <t>1 - 3 Years Old</t>
        </is>
      </c>
      <c r="F78" s="310" t="n">
        <v>0.09239796408663378</v>
      </c>
      <c r="G78" s="310" t="n">
        <v>0.04748527600800242</v>
      </c>
      <c r="H78" s="238" t="inlineStr">
        <is>
          <t>G15</t>
        </is>
      </c>
      <c r="I78" s="238" t="inlineStr">
        <is>
          <t>Q11</t>
        </is>
      </c>
      <c r="J78" s="283">
        <f>G78/F78</f>
        <v/>
      </c>
      <c r="K78" s="283">
        <f>J78/SUMIFS($J$5:$J$100,$B$5:$B$100,B78)</f>
        <v/>
      </c>
    </row>
    <row r="79">
      <c r="B79" s="237" t="n">
        <v>2024</v>
      </c>
      <c r="C79" s="238" t="inlineStr">
        <is>
          <t>Utility Vehicle</t>
        </is>
      </c>
      <c r="D79" s="237" t="n">
        <v>2</v>
      </c>
      <c r="E79" s="238" t="inlineStr">
        <is>
          <t>4 - 6 Years Old</t>
        </is>
      </c>
      <c r="F79" s="310" t="n">
        <v>0.1438949223083096</v>
      </c>
      <c r="G79" s="310" t="n">
        <v>0.06906848285459294</v>
      </c>
      <c r="H79" s="238" t="inlineStr">
        <is>
          <t>G16</t>
        </is>
      </c>
      <c r="I79" s="238" t="inlineStr">
        <is>
          <t>Q15</t>
        </is>
      </c>
      <c r="J79" s="283">
        <f>G79/F79</f>
        <v/>
      </c>
      <c r="K79" s="283">
        <f>J79/SUMIFS($J$5:$J$100,$B$5:$B$100,B79)</f>
        <v/>
      </c>
    </row>
    <row r="80">
      <c r="B80" s="237" t="n">
        <v>2024</v>
      </c>
      <c r="C80" s="238" t="inlineStr">
        <is>
          <t>Utility Vehicle</t>
        </is>
      </c>
      <c r="D80" s="237" t="n">
        <v>3</v>
      </c>
      <c r="E80" s="238" t="inlineStr">
        <is>
          <t>7 Years and Older</t>
        </is>
      </c>
      <c r="F80" s="310" t="n">
        <v>0.2903000143978833</v>
      </c>
      <c r="G80" s="310" t="n">
        <v>0.2127060876700704</v>
      </c>
      <c r="H80" s="238" t="inlineStr">
        <is>
          <t>G17</t>
        </is>
      </c>
      <c r="I80" s="238" t="inlineStr">
        <is>
          <t>Q19</t>
        </is>
      </c>
      <c r="J80" s="283">
        <f>G80/F80</f>
        <v/>
      </c>
      <c r="K80" s="283">
        <f>J80/SUMIFS($J$5:$J$100,$B$5:$B$100,B80)</f>
        <v/>
      </c>
    </row>
    <row r="81">
      <c r="B81" s="237" t="n">
        <v>2024</v>
      </c>
      <c r="C81" s="238" t="inlineStr">
        <is>
          <t>Van</t>
        </is>
      </c>
      <c r="D81" s="237" t="n">
        <v>0</v>
      </c>
      <c r="E81" s="238" t="inlineStr">
        <is>
          <t>Current Yr or Newer Group</t>
        </is>
      </c>
      <c r="F81" s="310" t="n">
        <v>0.07088044051315096</v>
      </c>
      <c r="G81" s="310" t="n">
        <v>0.00035359790249231</v>
      </c>
      <c r="H81" s="238" t="inlineStr">
        <is>
          <t>G19</t>
        </is>
      </c>
      <c r="I81" s="238" t="inlineStr">
        <is>
          <t>Q8</t>
        </is>
      </c>
      <c r="J81" s="283">
        <f>G81/F81</f>
        <v/>
      </c>
      <c r="K81" s="283">
        <f>J81/SUMIFS($J$5:$J$100,$B$5:$B$100,B81)</f>
        <v/>
      </c>
    </row>
    <row r="82">
      <c r="B82" s="237" t="n">
        <v>2024</v>
      </c>
      <c r="C82" s="238" t="inlineStr">
        <is>
          <t>Van</t>
        </is>
      </c>
      <c r="D82" s="237" t="n">
        <v>1</v>
      </c>
      <c r="E82" s="238" t="inlineStr">
        <is>
          <t>1 - 3 Years Old</t>
        </is>
      </c>
      <c r="F82" s="310" t="n">
        <v>0.07964534625348205</v>
      </c>
      <c r="G82" s="310" t="n">
        <v>0.00214730362604421</v>
      </c>
      <c r="H82" s="238" t="inlineStr">
        <is>
          <t>G20</t>
        </is>
      </c>
      <c r="I82" s="238" t="inlineStr">
        <is>
          <t>Q12</t>
        </is>
      </c>
      <c r="J82" s="283">
        <f>G82/F82</f>
        <v/>
      </c>
      <c r="K82" s="283">
        <f>J82/SUMIFS($J$5:$J$100,$B$5:$B$100,B82)</f>
        <v/>
      </c>
    </row>
    <row r="83">
      <c r="B83" s="237" t="n">
        <v>2024</v>
      </c>
      <c r="C83" s="238" t="inlineStr">
        <is>
          <t>Van</t>
        </is>
      </c>
      <c r="D83" s="237" t="n">
        <v>2</v>
      </c>
      <c r="E83" s="238" t="inlineStr">
        <is>
          <t>4 - 6 Years Old</t>
        </is>
      </c>
      <c r="F83" s="310" t="n">
        <v>0.1403993220619238</v>
      </c>
      <c r="G83" s="310" t="n">
        <v>0.004962644281094552</v>
      </c>
      <c r="H83" s="238" t="inlineStr">
        <is>
          <t>G21</t>
        </is>
      </c>
      <c r="I83" s="238" t="inlineStr">
        <is>
          <t>Q16</t>
        </is>
      </c>
      <c r="J83" s="283">
        <f>G83/F83</f>
        <v/>
      </c>
      <c r="K83" s="283">
        <f>J83/SUMIFS($J$5:$J$100,$B$5:$B$100,B83)</f>
        <v/>
      </c>
    </row>
    <row r="84">
      <c r="B84" s="237" t="n">
        <v>2024</v>
      </c>
      <c r="C84" s="238" t="inlineStr">
        <is>
          <t>Van</t>
        </is>
      </c>
      <c r="D84" s="237" t="n">
        <v>3</v>
      </c>
      <c r="E84" s="238" t="inlineStr">
        <is>
          <t>7 Years and Older</t>
        </is>
      </c>
      <c r="F84" s="310" t="n">
        <v>0.3492691043827939</v>
      </c>
      <c r="G84" s="310" t="n">
        <v>0.031650811258791</v>
      </c>
      <c r="H84" s="238" t="inlineStr">
        <is>
          <t>G22</t>
        </is>
      </c>
      <c r="I84" s="238" t="inlineStr">
        <is>
          <t>Q20</t>
        </is>
      </c>
      <c r="J84" s="283">
        <f>G84/F84</f>
        <v/>
      </c>
      <c r="K84" s="283">
        <f>J84/SUMIFS($J$5:$J$100,$B$5:$B$100,B84)</f>
        <v/>
      </c>
    </row>
    <row r="85">
      <c r="B85" s="237" t="n">
        <v>2025</v>
      </c>
      <c r="C85" s="238" t="inlineStr">
        <is>
          <t>Car</t>
        </is>
      </c>
      <c r="D85" s="237" t="n">
        <v>0</v>
      </c>
      <c r="E85" s="238" t="inlineStr">
        <is>
          <t>Current Yr or Newer Group</t>
        </is>
      </c>
      <c r="F85" s="310" t="n">
        <v>0.1183813516328002</v>
      </c>
      <c r="G85" s="310" t="n">
        <v>0.008156041846226276</v>
      </c>
      <c r="H85" s="238" t="inlineStr">
        <is>
          <t>H4</t>
        </is>
      </c>
      <c r="I85" s="238" t="inlineStr">
        <is>
          <t>R5</t>
        </is>
      </c>
      <c r="J85" s="283">
        <f>G85/F85</f>
        <v/>
      </c>
      <c r="K85" s="283">
        <f>J85/SUMIFS($J$5:$J$100,$B$5:$B$100,B85)</f>
        <v/>
      </c>
    </row>
    <row r="86">
      <c r="B86" s="237" t="n">
        <v>2025</v>
      </c>
      <c r="C86" s="238" t="inlineStr">
        <is>
          <t>Car</t>
        </is>
      </c>
      <c r="D86" s="237" t="n">
        <v>1</v>
      </c>
      <c r="E86" s="238" t="inlineStr">
        <is>
          <t>1 - 3 Years Old</t>
        </is>
      </c>
      <c r="F86" s="310" t="n">
        <v>0.1415623139327181</v>
      </c>
      <c r="G86" s="310" t="n">
        <v>0.0373105965404406</v>
      </c>
      <c r="H86" s="238" t="inlineStr">
        <is>
          <t>H5</t>
        </is>
      </c>
      <c r="I86" s="238" t="inlineStr">
        <is>
          <t>R9</t>
        </is>
      </c>
      <c r="J86" s="283">
        <f>G86/F86</f>
        <v/>
      </c>
      <c r="K86" s="283">
        <f>J86/SUMIFS($J$5:$J$100,$B$5:$B$100,B86)</f>
        <v/>
      </c>
    </row>
    <row r="87">
      <c r="B87" s="237" t="n">
        <v>2025</v>
      </c>
      <c r="C87" s="238" t="inlineStr">
        <is>
          <t>Car</t>
        </is>
      </c>
      <c r="D87" s="237" t="n">
        <v>2</v>
      </c>
      <c r="E87" s="238" t="inlineStr">
        <is>
          <t>4 - 6 Years Old</t>
        </is>
      </c>
      <c r="F87" s="310" t="n">
        <v>0.1977589061254522</v>
      </c>
      <c r="G87" s="310" t="n">
        <v>0.05931290634620359</v>
      </c>
      <c r="H87" s="238" t="inlineStr">
        <is>
          <t>H6</t>
        </is>
      </c>
      <c r="I87" s="238" t="inlineStr">
        <is>
          <t>R13</t>
        </is>
      </c>
      <c r="J87" s="283">
        <f>G87/F87</f>
        <v/>
      </c>
      <c r="K87" s="283">
        <f>J87/SUMIFS($J$5:$J$100,$B$5:$B$100,B87)</f>
        <v/>
      </c>
    </row>
    <row r="88">
      <c r="B88" s="237" t="n">
        <v>2025</v>
      </c>
      <c r="C88" s="238" t="inlineStr">
        <is>
          <t>Car</t>
        </is>
      </c>
      <c r="D88" s="237" t="n">
        <v>3</v>
      </c>
      <c r="E88" s="238" t="inlineStr">
        <is>
          <t>7 Years and Older</t>
        </is>
      </c>
      <c r="F88" s="310" t="n">
        <v>0.3725497056948419</v>
      </c>
      <c r="G88" s="310" t="n">
        <v>0.3850804202277194</v>
      </c>
      <c r="H88" s="238" t="inlineStr">
        <is>
          <t>H7</t>
        </is>
      </c>
      <c r="I88" s="238" t="inlineStr">
        <is>
          <t>R17</t>
        </is>
      </c>
      <c r="J88" s="283">
        <f>G88/F88</f>
        <v/>
      </c>
      <c r="K88" s="283">
        <f>J88/SUMIFS($J$5:$J$100,$B$5:$B$100,B88)</f>
        <v/>
      </c>
    </row>
    <row r="89">
      <c r="B89" s="237" t="n">
        <v>2025</v>
      </c>
      <c r="C89" s="238" t="inlineStr">
        <is>
          <t>Pickup</t>
        </is>
      </c>
      <c r="D89" s="237" t="n">
        <v>0</v>
      </c>
      <c r="E89" s="238" t="inlineStr">
        <is>
          <t>Current Yr or Newer Group</t>
        </is>
      </c>
      <c r="F89" s="310" t="n">
        <v>0.07939869462574642</v>
      </c>
      <c r="G89" s="310" t="n">
        <v>0.00210628784544408</v>
      </c>
      <c r="H89" s="238" t="inlineStr">
        <is>
          <t>H9</t>
        </is>
      </c>
      <c r="I89" s="238" t="inlineStr">
        <is>
          <t>R6</t>
        </is>
      </c>
      <c r="J89" s="283">
        <f>G89/F89</f>
        <v/>
      </c>
      <c r="K89" s="283">
        <f>J89/SUMIFS($J$5:$J$100,$B$5:$B$100,B89)</f>
        <v/>
      </c>
    </row>
    <row r="90">
      <c r="B90" s="237" t="n">
        <v>2025</v>
      </c>
      <c r="C90" s="238" t="inlineStr">
        <is>
          <t>Pickup</t>
        </is>
      </c>
      <c r="D90" s="237" t="n">
        <v>1</v>
      </c>
      <c r="E90" s="238" t="inlineStr">
        <is>
          <t>1 - 3 Years Old</t>
        </is>
      </c>
      <c r="F90" s="310" t="n">
        <v>0.07724710964719902</v>
      </c>
      <c r="G90" s="310" t="n">
        <v>0.01144359182152214</v>
      </c>
      <c r="H90" s="238" t="inlineStr">
        <is>
          <t>H10</t>
        </is>
      </c>
      <c r="I90" s="238" t="inlineStr">
        <is>
          <t>R10</t>
        </is>
      </c>
      <c r="J90" s="283">
        <f>G90/F90</f>
        <v/>
      </c>
      <c r="K90" s="283">
        <f>J90/SUMIFS($J$5:$J$100,$B$5:$B$100,B90)</f>
        <v/>
      </c>
    </row>
    <row r="91">
      <c r="B91" s="237" t="n">
        <v>2025</v>
      </c>
      <c r="C91" s="238" t="inlineStr">
        <is>
          <t>Pickup</t>
        </is>
      </c>
      <c r="D91" s="237" t="n">
        <v>2</v>
      </c>
      <c r="E91" s="238" t="inlineStr">
        <is>
          <t>4 - 6 Years Old</t>
        </is>
      </c>
      <c r="F91" s="310" t="n">
        <v>0.1016189230849166</v>
      </c>
      <c r="G91" s="310" t="n">
        <v>0.01438693905373976</v>
      </c>
      <c r="H91" s="238" t="inlineStr">
        <is>
          <t>H11</t>
        </is>
      </c>
      <c r="I91" s="238" t="inlineStr">
        <is>
          <t>R14</t>
        </is>
      </c>
      <c r="J91" s="283">
        <f>G91/F91</f>
        <v/>
      </c>
      <c r="K91" s="283">
        <f>J91/SUMIFS($J$5:$J$100,$B$5:$B$100,B91)</f>
        <v/>
      </c>
    </row>
    <row r="92">
      <c r="B92" s="237" t="n">
        <v>2025</v>
      </c>
      <c r="C92" s="238" t="inlineStr">
        <is>
          <t>Pickup</t>
        </is>
      </c>
      <c r="D92" s="237" t="n">
        <v>3</v>
      </c>
      <c r="E92" s="238" t="inlineStr">
        <is>
          <t>7 Years and Older</t>
        </is>
      </c>
      <c r="F92" s="310" t="n">
        <v>0.2549647815842466</v>
      </c>
      <c r="G92" s="310" t="n">
        <v>0.08122418479426913</v>
      </c>
      <c r="H92" s="238" t="inlineStr">
        <is>
          <t>H12</t>
        </is>
      </c>
      <c r="I92" s="238" t="inlineStr">
        <is>
          <t>R18</t>
        </is>
      </c>
      <c r="J92" s="283">
        <f>G92/F92</f>
        <v/>
      </c>
      <c r="K92" s="283">
        <f>J92/SUMIFS($J$5:$J$100,$B$5:$B$100,B92)</f>
        <v/>
      </c>
    </row>
    <row r="93">
      <c r="B93" s="237" t="n">
        <v>2025</v>
      </c>
      <c r="C93" s="238" t="inlineStr">
        <is>
          <t>Utility Vehicle</t>
        </is>
      </c>
      <c r="D93" s="237" t="n">
        <v>0</v>
      </c>
      <c r="E93" s="238" t="inlineStr">
        <is>
          <t>Current Yr or Newer Group</t>
        </is>
      </c>
      <c r="F93" s="310" t="n">
        <v>0.08619093438151845</v>
      </c>
      <c r="G93" s="310" t="n">
        <v>0.01163393011488954</v>
      </c>
      <c r="H93" s="238" t="inlineStr">
        <is>
          <t>H14</t>
        </is>
      </c>
      <c r="I93" s="238" t="inlineStr">
        <is>
          <t>R7</t>
        </is>
      </c>
      <c r="J93" s="283">
        <f>G93/F93</f>
        <v/>
      </c>
      <c r="K93" s="283">
        <f>J93/SUMIFS($J$5:$J$100,$B$5:$B$100,B93)</f>
        <v/>
      </c>
    </row>
    <row r="94">
      <c r="B94" s="237" t="n">
        <v>2025</v>
      </c>
      <c r="C94" s="238" t="inlineStr">
        <is>
          <t>Utility Vehicle</t>
        </is>
      </c>
      <c r="D94" s="237" t="n">
        <v>1</v>
      </c>
      <c r="E94" s="238" t="inlineStr">
        <is>
          <t>1 - 3 Years Old</t>
        </is>
      </c>
      <c r="F94" s="310" t="n">
        <v>0.09858732104120195</v>
      </c>
      <c r="G94" s="310" t="n">
        <v>0.05123349022194487</v>
      </c>
      <c r="H94" s="238" t="inlineStr">
        <is>
          <t>H15</t>
        </is>
      </c>
      <c r="I94" s="238" t="inlineStr">
        <is>
          <t>R11</t>
        </is>
      </c>
      <c r="J94" s="283">
        <f>G94/F94</f>
        <v/>
      </c>
      <c r="K94" s="283">
        <f>J94/SUMIFS($J$5:$J$100,$B$5:$B$100,B94)</f>
        <v/>
      </c>
    </row>
    <row r="95">
      <c r="B95" s="237" t="n">
        <v>2025</v>
      </c>
      <c r="C95" s="238" t="inlineStr">
        <is>
          <t>Utility Vehicle</t>
        </is>
      </c>
      <c r="D95" s="237" t="n">
        <v>2</v>
      </c>
      <c r="E95" s="238" t="inlineStr">
        <is>
          <t>4 - 6 Years Old</t>
        </is>
      </c>
      <c r="F95" s="310" t="n">
        <v>0.1484455351339005</v>
      </c>
      <c r="G95" s="310" t="n">
        <v>0.06852515714403061</v>
      </c>
      <c r="H95" s="238" t="inlineStr">
        <is>
          <t>H16</t>
        </is>
      </c>
      <c r="I95" s="238" t="inlineStr">
        <is>
          <t>R15</t>
        </is>
      </c>
      <c r="J95" s="283">
        <f>G95/F95</f>
        <v/>
      </c>
      <c r="K95" s="283">
        <f>J95/SUMIFS($J$5:$J$100,$B$5:$B$100,B95)</f>
        <v/>
      </c>
    </row>
    <row r="96">
      <c r="B96" s="237" t="n">
        <v>2025</v>
      </c>
      <c r="C96" s="238" t="inlineStr">
        <is>
          <t>Utility Vehicle</t>
        </is>
      </c>
      <c r="D96" s="237" t="n">
        <v>3</v>
      </c>
      <c r="E96" s="238" t="inlineStr">
        <is>
          <t>7 Years and Older</t>
        </is>
      </c>
      <c r="F96" s="310" t="n">
        <v>0.3043503197499355</v>
      </c>
      <c r="G96" s="310" t="n">
        <v>0.2309569755766239</v>
      </c>
      <c r="H96" s="238" t="inlineStr">
        <is>
          <t>H17</t>
        </is>
      </c>
      <c r="I96" s="238" t="inlineStr">
        <is>
          <t>R19</t>
        </is>
      </c>
      <c r="J96" s="283">
        <f>G96/F96</f>
        <v/>
      </c>
      <c r="K96" s="283">
        <f>J96/SUMIFS($J$5:$J$100,$B$5:$B$100,B96)</f>
        <v/>
      </c>
    </row>
    <row r="97">
      <c r="B97" s="237" t="n">
        <v>2025</v>
      </c>
      <c r="C97" s="238" t="inlineStr">
        <is>
          <t>Van</t>
        </is>
      </c>
      <c r="D97" s="237" t="n">
        <v>0</v>
      </c>
      <c r="E97" s="238" t="inlineStr">
        <is>
          <t>Current Yr or Newer Group</t>
        </is>
      </c>
      <c r="F97" s="310" t="n">
        <v>0.06411315802265105</v>
      </c>
      <c r="G97" s="310" t="n">
        <v>0.0004048903148765467</v>
      </c>
      <c r="H97" s="238" t="inlineStr">
        <is>
          <t>H19</t>
        </is>
      </c>
      <c r="I97" s="238" t="inlineStr">
        <is>
          <t>R8</t>
        </is>
      </c>
      <c r="J97" s="283">
        <f>G97/F97</f>
        <v/>
      </c>
      <c r="K97" s="283">
        <f>J97/SUMIFS($J$5:$J$100,$B$5:$B$100,B97)</f>
        <v/>
      </c>
    </row>
    <row r="98">
      <c r="B98" s="237" t="n">
        <v>2025</v>
      </c>
      <c r="C98" s="238" t="inlineStr">
        <is>
          <t>Van</t>
        </is>
      </c>
      <c r="D98" s="237" t="n">
        <v>1</v>
      </c>
      <c r="E98" s="238" t="inlineStr">
        <is>
          <t>1 - 3 Years Old</t>
        </is>
      </c>
      <c r="F98" s="310" t="n">
        <v>0.0879353362537799</v>
      </c>
      <c r="G98" s="310" t="n">
        <v>0.002344134086431362</v>
      </c>
      <c r="H98" s="238" t="inlineStr">
        <is>
          <t>H20</t>
        </is>
      </c>
      <c r="I98" s="238" t="inlineStr">
        <is>
          <t>R12</t>
        </is>
      </c>
      <c r="J98" s="283">
        <f>G98/F98</f>
        <v/>
      </c>
      <c r="K98" s="283">
        <f>J98/SUMIFS($J$5:$J$100,$B$5:$B$100,B98)</f>
        <v/>
      </c>
    </row>
    <row r="99">
      <c r="B99" s="237" t="n">
        <v>2025</v>
      </c>
      <c r="C99" s="238" t="inlineStr">
        <is>
          <t>Van</t>
        </is>
      </c>
      <c r="D99" s="237" t="n">
        <v>2</v>
      </c>
      <c r="E99" s="238" t="inlineStr">
        <is>
          <t>4 - 6 Years Old</t>
        </is>
      </c>
      <c r="F99" s="310" t="n">
        <v>0.1522345377290566</v>
      </c>
      <c r="G99" s="310" t="n">
        <v>0.004601221352707585</v>
      </c>
      <c r="H99" s="238" t="inlineStr">
        <is>
          <t>H21</t>
        </is>
      </c>
      <c r="I99" s="238" t="inlineStr">
        <is>
          <t>R16</t>
        </is>
      </c>
      <c r="J99" s="283">
        <f>G99/F99</f>
        <v/>
      </c>
      <c r="K99" s="283">
        <f>J99/SUMIFS($J$5:$J$100,$B$5:$B$100,B99)</f>
        <v/>
      </c>
    </row>
    <row r="100">
      <c r="B100" s="237" t="n">
        <v>2025</v>
      </c>
      <c r="C100" s="238" t="inlineStr">
        <is>
          <t>Van</t>
        </is>
      </c>
      <c r="D100" s="237" t="n">
        <v>3</v>
      </c>
      <c r="E100" s="238" t="inlineStr">
        <is>
          <t>7 Years and Older</t>
        </is>
      </c>
      <c r="F100" s="310" t="n">
        <v>0.3661439216994772</v>
      </c>
      <c r="G100" s="310" t="n">
        <v>0.03127923271293062</v>
      </c>
      <c r="H100" s="238" t="inlineStr">
        <is>
          <t>H22</t>
        </is>
      </c>
      <c r="I100" s="238" t="inlineStr">
        <is>
          <t>R20</t>
        </is>
      </c>
      <c r="J100" s="283">
        <f>G100/F100</f>
        <v/>
      </c>
      <c r="K100" s="283">
        <f>J100/SUMIFS($J$5:$J$100,$B$5:$B$100,B100)</f>
        <v/>
      </c>
    </row>
    <row r="102">
      <c r="B102" s="242" t="inlineStr">
        <is>
          <t>Annual all-loss total-loss frequency (CCC Crash Course; data/csv/ccc_tlf_annual.csv)</t>
        </is>
      </c>
    </row>
    <row r="103">
      <c r="B103" s="312" t="inlineStr">
        <is>
          <t>Year</t>
        </is>
      </c>
      <c r="C103" s="313" t="inlineStr">
        <is>
          <t>TLF all loss %</t>
        </is>
      </c>
      <c r="D103" s="313"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64"/>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2" t="inlineStr">
        <is>
          <t>Year</t>
        </is>
      </c>
      <c r="C4" s="313" t="inlineStr">
        <is>
          <t>Car</t>
        </is>
      </c>
      <c r="D4" s="313" t="inlineStr">
        <is>
          <t>SUV</t>
        </is>
      </c>
      <c r="E4" s="313" t="inlineStr">
        <is>
          <t>Pickup</t>
        </is>
      </c>
      <c r="F4" s="313" t="inlineStr">
        <is>
          <t>Van</t>
        </is>
      </c>
      <c r="G4" s="313" t="inlineStr">
        <is>
          <t>Total</t>
        </is>
      </c>
      <c r="I4" s="312" t="inlineStr">
        <is>
          <t>Age</t>
        </is>
      </c>
      <c r="J4" s="313" t="inlineStr">
        <is>
          <t>S cars</t>
        </is>
      </c>
      <c r="K4" s="313" t="inlineStr">
        <is>
          <t>S light trucks</t>
        </is>
      </c>
    </row>
    <row r="5">
      <c r="B5" s="237" t="n">
        <v>1970</v>
      </c>
      <c r="C5" s="303" t="n">
        <v>8321</v>
      </c>
      <c r="D5" s="303" t="n">
        <v>1054.713274336283</v>
      </c>
      <c r="E5" s="303" t="n">
        <v>281.0849557522124</v>
      </c>
      <c r="F5" s="303" t="n">
        <v>121.2017699115044</v>
      </c>
      <c r="G5" s="303" t="n">
        <v>9778</v>
      </c>
      <c r="I5" s="237" t="n">
        <v>0</v>
      </c>
      <c r="J5" s="280" t="n">
        <v>1</v>
      </c>
      <c r="K5" s="280" t="n">
        <v>1</v>
      </c>
    </row>
    <row r="6">
      <c r="B6" s="237" t="n">
        <v>1971</v>
      </c>
      <c r="C6" s="303" t="n">
        <v>10144</v>
      </c>
      <c r="D6" s="303" t="n">
        <v>1211.074336283186</v>
      </c>
      <c r="E6" s="303" t="n">
        <v>322.7557522123894</v>
      </c>
      <c r="F6" s="303" t="n">
        <v>139.1699115044248</v>
      </c>
      <c r="G6" s="303" t="n">
        <v>11817</v>
      </c>
      <c r="I6" s="237" t="n">
        <v>1</v>
      </c>
      <c r="J6" s="280" t="n">
        <v>0.997</v>
      </c>
      <c r="K6" s="280" t="n">
        <v>0.991</v>
      </c>
    </row>
    <row r="7">
      <c r="B7" s="237" t="n">
        <v>1972</v>
      </c>
      <c r="C7" s="303" t="n">
        <v>10800.6</v>
      </c>
      <c r="D7" s="303" t="n">
        <v>1518.005309734514</v>
      </c>
      <c r="E7" s="303" t="n">
        <v>404.553982300885</v>
      </c>
      <c r="F7" s="303" t="n">
        <v>174.4407079646018</v>
      </c>
      <c r="G7" s="303" t="n">
        <v>12897.6</v>
      </c>
      <c r="I7" s="237" t="n">
        <v>2</v>
      </c>
      <c r="J7" s="280" t="n">
        <v>0.994</v>
      </c>
      <c r="K7" s="280" t="n">
        <v>0.982</v>
      </c>
    </row>
    <row r="8">
      <c r="B8" s="237" t="n">
        <v>1973</v>
      </c>
      <c r="C8" s="303" t="n">
        <v>11276</v>
      </c>
      <c r="D8" s="303" t="n">
        <v>1818.421238938053</v>
      </c>
      <c r="E8" s="303" t="n">
        <v>484.6159292035398</v>
      </c>
      <c r="F8" s="303" t="n">
        <v>208.9628318584071</v>
      </c>
      <c r="G8" s="303" t="n">
        <v>13788</v>
      </c>
      <c r="I8" s="237" t="n">
        <v>3</v>
      </c>
      <c r="J8" s="280" t="n">
        <v>0.991</v>
      </c>
      <c r="K8" s="280" t="n">
        <v>0.973</v>
      </c>
    </row>
    <row r="9">
      <c r="B9" s="237" t="n">
        <v>1974</v>
      </c>
      <c r="C9" s="303" t="n">
        <v>8720.299999999999</v>
      </c>
      <c r="D9" s="303" t="n">
        <v>1565.782300884956</v>
      </c>
      <c r="E9" s="303" t="n">
        <v>417.2867256637168</v>
      </c>
      <c r="F9" s="303" t="n">
        <v>179.9309734513275</v>
      </c>
      <c r="G9" s="303" t="n">
        <v>10883.3</v>
      </c>
      <c r="I9" s="237" t="n">
        <v>4</v>
      </c>
      <c r="J9" s="280" t="n">
        <v>0.984</v>
      </c>
      <c r="K9" s="280" t="n">
        <v>0.96</v>
      </c>
    </row>
    <row r="10">
      <c r="B10" s="237" t="n">
        <v>1975</v>
      </c>
      <c r="C10" s="303" t="n">
        <v>8485.799999999999</v>
      </c>
      <c r="D10" s="303" t="n">
        <v>193.6445661010322</v>
      </c>
      <c r="E10" s="303" t="n">
        <v>1387.180433641706</v>
      </c>
      <c r="F10" s="303" t="n">
        <v>472.1750002572626</v>
      </c>
      <c r="G10" s="303" t="n">
        <v>10538.8</v>
      </c>
      <c r="I10" s="237" t="n">
        <v>5</v>
      </c>
      <c r="J10" s="280" t="n">
        <v>0.974</v>
      </c>
      <c r="K10" s="280" t="n">
        <v>0.9409999999999999</v>
      </c>
    </row>
    <row r="11">
      <c r="B11" s="237" t="n">
        <v>1976</v>
      </c>
      <c r="C11" s="303" t="n">
        <v>9956.799999999999</v>
      </c>
      <c r="D11" s="303" t="n">
        <v>253.4745891575368</v>
      </c>
      <c r="E11" s="303" t="n">
        <v>1942.731663203627</v>
      </c>
      <c r="F11" s="303" t="n">
        <v>522.7937476388364</v>
      </c>
      <c r="G11" s="303" t="n">
        <v>12675.8</v>
      </c>
      <c r="I11" s="237" t="n">
        <v>6</v>
      </c>
      <c r="J11" s="280" t="n">
        <v>0.961</v>
      </c>
      <c r="K11" s="280" t="n">
        <v>0.919</v>
      </c>
    </row>
    <row r="12">
      <c r="B12" s="237" t="n">
        <v>1977</v>
      </c>
      <c r="C12" s="303" t="n">
        <v>11003.6</v>
      </c>
      <c r="D12" s="303" t="n">
        <v>311.7009078858515</v>
      </c>
      <c r="E12" s="303" t="n">
        <v>2230.878373308656</v>
      </c>
      <c r="F12" s="303" t="n">
        <v>566.4207188054924</v>
      </c>
      <c r="G12" s="303" t="n">
        <v>14112.6</v>
      </c>
      <c r="I12" s="237" t="n">
        <v>7</v>
      </c>
      <c r="J12" s="280" t="n">
        <v>0.9419999999999999</v>
      </c>
      <c r="K12" s="280" t="n">
        <v>0.891</v>
      </c>
    </row>
    <row r="13">
      <c r="B13" s="237" t="n">
        <v>1978</v>
      </c>
      <c r="C13" s="303" t="n">
        <v>11107</v>
      </c>
      <c r="D13" s="303" t="n">
        <v>403.7084854397218</v>
      </c>
      <c r="E13" s="303" t="n">
        <v>2406.701250546259</v>
      </c>
      <c r="F13" s="303" t="n">
        <v>663.5902640140196</v>
      </c>
      <c r="G13" s="303" t="n">
        <v>14581</v>
      </c>
      <c r="I13" s="237" t="n">
        <v>8</v>
      </c>
      <c r="J13" s="280" t="n">
        <v>0.92</v>
      </c>
      <c r="K13" s="280" t="n">
        <v>0.859</v>
      </c>
    </row>
    <row r="14">
      <c r="B14" s="237" t="n">
        <v>1979</v>
      </c>
      <c r="C14" s="303" t="n">
        <v>10512</v>
      </c>
      <c r="D14" s="303" t="n">
        <v>368.9983276614683</v>
      </c>
      <c r="E14" s="303" t="n">
        <v>2033.28297586348</v>
      </c>
      <c r="F14" s="303" t="n">
        <v>442.718696475052</v>
      </c>
      <c r="G14" s="303" t="n">
        <v>13357</v>
      </c>
      <c r="I14" s="237" t="n">
        <v>9</v>
      </c>
      <c r="J14" s="280" t="n">
        <v>0.893</v>
      </c>
      <c r="K14" s="280" t="n">
        <v>0.823</v>
      </c>
    </row>
    <row r="15">
      <c r="B15" s="237" t="n">
        <v>1980</v>
      </c>
      <c r="C15" s="303" t="n">
        <v>8948.799999999999</v>
      </c>
      <c r="D15" s="303" t="n">
        <v>194.2300549830681</v>
      </c>
      <c r="E15" s="303" t="n">
        <v>1511.542560293243</v>
      </c>
      <c r="F15" s="303" t="n">
        <v>254.2273847236888</v>
      </c>
      <c r="G15" s="303" t="n">
        <v>10908.8</v>
      </c>
      <c r="I15" s="237" t="n">
        <v>10</v>
      </c>
      <c r="J15" s="280" t="n">
        <v>0.862</v>
      </c>
      <c r="K15" s="280" t="n">
        <v>0.784</v>
      </c>
    </row>
    <row r="16">
      <c r="B16" s="237" t="n">
        <v>1981</v>
      </c>
      <c r="C16" s="303" t="n">
        <v>8488.4</v>
      </c>
      <c r="D16" s="303" t="n">
        <v>130.4781149465264</v>
      </c>
      <c r="E16" s="303" t="n">
        <v>1380.677471524215</v>
      </c>
      <c r="F16" s="303" t="n">
        <v>234.8444135292583</v>
      </c>
      <c r="G16" s="303" t="n">
        <v>10234.4</v>
      </c>
      <c r="I16" s="237" t="n">
        <v>11</v>
      </c>
      <c r="J16" s="280" t="n">
        <v>0.826</v>
      </c>
      <c r="K16" s="280" t="n">
        <v>0.741</v>
      </c>
    </row>
    <row r="17">
      <c r="B17" s="237" t="n">
        <v>1982</v>
      </c>
      <c r="C17" s="303" t="n">
        <v>7956.5</v>
      </c>
      <c r="D17" s="303" t="n">
        <v>174.9525064084306</v>
      </c>
      <c r="E17" s="303" t="n">
        <v>1553.293699393742</v>
      </c>
      <c r="F17" s="303" t="n">
        <v>334.7537941978272</v>
      </c>
      <c r="G17" s="303" t="n">
        <v>10019.5</v>
      </c>
      <c r="I17" s="237" t="n">
        <v>12</v>
      </c>
      <c r="J17" s="280" t="n">
        <v>0.788</v>
      </c>
      <c r="K17" s="280" t="n">
        <v>0.697</v>
      </c>
    </row>
    <row r="18">
      <c r="B18" s="237" t="n">
        <v>1983</v>
      </c>
      <c r="C18" s="303" t="n">
        <v>9148</v>
      </c>
      <c r="D18" s="303" t="n">
        <v>317.1177113376207</v>
      </c>
      <c r="E18" s="303" t="n">
        <v>1784.554856421188</v>
      </c>
      <c r="F18" s="303" t="n">
        <v>419.3274322411909</v>
      </c>
      <c r="G18" s="303" t="n">
        <v>11669</v>
      </c>
      <c r="I18" s="237" t="n">
        <v>13</v>
      </c>
      <c r="J18" s="280" t="n">
        <v>0.718</v>
      </c>
      <c r="K18" s="280" t="n">
        <v>0.651</v>
      </c>
    </row>
    <row r="19">
      <c r="B19" s="237" t="n">
        <v>1984</v>
      </c>
      <c r="C19" s="303" t="n">
        <v>10323.7</v>
      </c>
      <c r="D19" s="303" t="n">
        <v>608.1635843868414</v>
      </c>
      <c r="E19" s="303" t="n">
        <v>1988.73612554911</v>
      </c>
      <c r="F19" s="303" t="n">
        <v>658.1002900640487</v>
      </c>
      <c r="G19" s="303" t="n">
        <v>13578.7</v>
      </c>
      <c r="I19" s="237" t="n">
        <v>14</v>
      </c>
      <c r="J19" s="280" t="n">
        <v>0.613</v>
      </c>
      <c r="K19" s="280" t="n">
        <v>0.605</v>
      </c>
    </row>
    <row r="20">
      <c r="B20" s="237" t="n">
        <v>1985</v>
      </c>
      <c r="C20" s="303" t="n">
        <v>10979.2</v>
      </c>
      <c r="D20" s="303" t="n">
        <v>739.4023923539266</v>
      </c>
      <c r="E20" s="303" t="n">
        <v>2088.696565178835</v>
      </c>
      <c r="F20" s="303" t="n">
        <v>859.9010424672383</v>
      </c>
      <c r="G20" s="303" t="n">
        <v>14667.2</v>
      </c>
      <c r="I20" s="237" t="n">
        <v>15</v>
      </c>
      <c r="J20" s="280" t="n">
        <v>0.51</v>
      </c>
      <c r="K20" s="280" t="n">
        <v>0.553</v>
      </c>
    </row>
    <row r="21">
      <c r="B21" s="237" t="n">
        <v>1986</v>
      </c>
      <c r="C21" s="303" t="n">
        <v>11404.1</v>
      </c>
      <c r="D21" s="303" t="n">
        <v>816.9555758050959</v>
      </c>
      <c r="E21" s="303" t="n">
        <v>2674.081381960485</v>
      </c>
      <c r="F21" s="303" t="n">
        <v>1102.963042234419</v>
      </c>
      <c r="G21" s="303" t="n">
        <v>15998.1</v>
      </c>
      <c r="I21" s="237" t="n">
        <v>16</v>
      </c>
      <c r="J21" s="280" t="n">
        <v>0.415</v>
      </c>
      <c r="K21" s="280" t="n">
        <v>0.502</v>
      </c>
    </row>
    <row r="22">
      <c r="B22" s="237" t="n">
        <v>1987</v>
      </c>
      <c r="C22" s="303" t="n">
        <v>10187.5</v>
      </c>
      <c r="D22" s="303" t="n">
        <v>973.9263843390521</v>
      </c>
      <c r="E22" s="303" t="n">
        <v>2393.762554253433</v>
      </c>
      <c r="F22" s="303" t="n">
        <v>1242.311061407515</v>
      </c>
      <c r="G22" s="303" t="n">
        <v>14797.5</v>
      </c>
      <c r="I22" s="237" t="n">
        <v>17</v>
      </c>
      <c r="J22" s="280" t="n">
        <v>0.332</v>
      </c>
      <c r="K22" s="280" t="n">
        <v>0.453</v>
      </c>
    </row>
    <row r="23">
      <c r="B23" s="237" t="n">
        <v>1988</v>
      </c>
      <c r="C23" s="303" t="n">
        <v>10543.6</v>
      </c>
      <c r="D23" s="303" t="n">
        <v>1018.922536557874</v>
      </c>
      <c r="E23" s="303" t="n">
        <v>2588.408159979067</v>
      </c>
      <c r="F23" s="303" t="n">
        <v>1192.66930346306</v>
      </c>
      <c r="G23" s="303" t="n">
        <v>15343.6</v>
      </c>
      <c r="I23" s="237" t="n">
        <v>18</v>
      </c>
      <c r="J23" s="280" t="n">
        <v>0.261</v>
      </c>
      <c r="K23" s="280" t="n">
        <v>0.407</v>
      </c>
    </row>
    <row r="24">
      <c r="B24" s="237" t="n">
        <v>1989</v>
      </c>
      <c r="C24" s="303" t="n">
        <v>9775.9</v>
      </c>
      <c r="D24" s="303" t="n">
        <v>962.4485592684564</v>
      </c>
      <c r="E24" s="303" t="n">
        <v>2319.527468731466</v>
      </c>
      <c r="F24" s="303" t="n">
        <v>1328.023972000078</v>
      </c>
      <c r="G24" s="303" t="n">
        <v>14385.9</v>
      </c>
      <c r="I24" s="237" t="n">
        <v>19</v>
      </c>
      <c r="J24" s="280" t="n">
        <v>0.203</v>
      </c>
      <c r="K24" s="280" t="n">
        <v>0.364</v>
      </c>
    </row>
    <row r="25">
      <c r="B25" s="237" t="n">
        <v>1990</v>
      </c>
      <c r="C25" s="303" t="n">
        <v>9301.200000000001</v>
      </c>
      <c r="D25" s="303" t="n">
        <v>846.5192743764172</v>
      </c>
      <c r="E25" s="303" t="n">
        <v>2192.672633965867</v>
      </c>
      <c r="F25" s="303" t="n">
        <v>1508.808091657716</v>
      </c>
      <c r="G25" s="303" t="n">
        <v>13849.2</v>
      </c>
      <c r="I25" s="237" t="n">
        <v>20</v>
      </c>
      <c r="J25" s="280" t="n">
        <v>0.157</v>
      </c>
      <c r="K25" s="280" t="n">
        <v>0.324</v>
      </c>
    </row>
    <row r="26">
      <c r="B26" s="237" t="n">
        <v>1991</v>
      </c>
      <c r="C26" s="303" t="n">
        <v>8185</v>
      </c>
      <c r="D26" s="303" t="n">
        <v>1114.821694401575</v>
      </c>
      <c r="E26" s="303" t="n">
        <v>1954.998692696802</v>
      </c>
      <c r="F26" s="303" t="n">
        <v>1052.179612901623</v>
      </c>
      <c r="G26" s="303" t="n">
        <v>12307</v>
      </c>
      <c r="I26" s="237" t="n">
        <v>21</v>
      </c>
      <c r="J26" s="280" t="n">
        <v>0.12</v>
      </c>
      <c r="K26" s="280" t="n">
        <v>0.288</v>
      </c>
    </row>
    <row r="27">
      <c r="B27" s="237" t="n">
        <v>1992</v>
      </c>
      <c r="C27" s="303" t="n">
        <v>8213.1</v>
      </c>
      <c r="D27" s="303" t="n">
        <v>1142.68707511515</v>
      </c>
      <c r="E27" s="303" t="n">
        <v>2095.480818414322</v>
      </c>
      <c r="F27" s="303" t="n">
        <v>1390.832106470529</v>
      </c>
      <c r="G27" s="303" t="n">
        <v>12842.1</v>
      </c>
      <c r="I27" s="237" t="n">
        <v>22</v>
      </c>
      <c r="J27" s="280" t="n">
        <v>0.092</v>
      </c>
      <c r="K27" s="280" t="n">
        <v>0.255</v>
      </c>
    </row>
    <row r="28">
      <c r="B28" s="237" t="n">
        <v>1993</v>
      </c>
      <c r="C28" s="303" t="n">
        <v>8517.9</v>
      </c>
      <c r="D28" s="303" t="n">
        <v>1475.25040986112</v>
      </c>
      <c r="E28" s="303" t="n">
        <v>2253.51982894203</v>
      </c>
      <c r="F28" s="303" t="n">
        <v>1622.22976119685</v>
      </c>
      <c r="G28" s="303" t="n">
        <v>13868.9</v>
      </c>
      <c r="I28" s="237" t="n">
        <v>23</v>
      </c>
      <c r="J28" s="280" t="n">
        <v>0.07000000000000001</v>
      </c>
      <c r="K28" s="280" t="n">
        <v>0.225</v>
      </c>
    </row>
    <row r="29">
      <c r="B29" s="237" t="n">
        <v>1994</v>
      </c>
      <c r="C29" s="303" t="n">
        <v>8990.5</v>
      </c>
      <c r="D29" s="303" t="n">
        <v>1714.973254571361</v>
      </c>
      <c r="E29" s="303" t="n">
        <v>2820.014411659939</v>
      </c>
      <c r="F29" s="303" t="n">
        <v>1498.012333768701</v>
      </c>
      <c r="G29" s="303" t="n">
        <v>15023.5</v>
      </c>
      <c r="I29" s="237" t="n">
        <v>24</v>
      </c>
      <c r="J29" s="280" t="n">
        <v>0.053</v>
      </c>
      <c r="K29" s="280" t="n">
        <v>0.198</v>
      </c>
    </row>
    <row r="30">
      <c r="B30" s="237" t="n">
        <v>1995</v>
      </c>
      <c r="C30" s="303" t="n">
        <v>8620.200000000001</v>
      </c>
      <c r="D30" s="303" t="n">
        <v>1912.401030004478</v>
      </c>
      <c r="E30" s="303" t="n">
        <v>2391.015523827085</v>
      </c>
      <c r="F30" s="303" t="n">
        <v>1749.583446168436</v>
      </c>
      <c r="G30" s="303" t="n">
        <v>14673.2</v>
      </c>
      <c r="I30" s="237" t="n">
        <v>25</v>
      </c>
      <c r="J30" s="280" t="n">
        <v>0.04</v>
      </c>
      <c r="K30" s="280" t="n">
        <v>0.174</v>
      </c>
    </row>
    <row r="31">
      <c r="B31" s="237" t="n">
        <v>1996</v>
      </c>
      <c r="C31" s="303" t="n">
        <v>8478.5</v>
      </c>
      <c r="D31" s="303" t="n">
        <v>2344.507854149728</v>
      </c>
      <c r="E31" s="303" t="n">
        <v>2426.067724060291</v>
      </c>
      <c r="F31" s="303" t="n">
        <v>1748.42442178998</v>
      </c>
      <c r="G31" s="303" t="n">
        <v>14997.5</v>
      </c>
      <c r="I31" s="237" t="n">
        <v>26</v>
      </c>
      <c r="J31" s="280" t="n">
        <v>0.03</v>
      </c>
      <c r="K31" s="280" t="n">
        <v>0.153</v>
      </c>
    </row>
    <row r="32">
      <c r="B32" s="237" t="n">
        <v>1997</v>
      </c>
      <c r="C32" s="303" t="n">
        <v>8217.5</v>
      </c>
      <c r="D32" s="303" t="n">
        <v>2719.596020032065</v>
      </c>
      <c r="E32" s="303" t="n">
        <v>2672.813794357305</v>
      </c>
      <c r="F32" s="303" t="n">
        <v>1404.590185610631</v>
      </c>
      <c r="G32" s="303" t="n">
        <v>15014.5</v>
      </c>
      <c r="I32" s="237" t="n">
        <v>27</v>
      </c>
      <c r="J32" s="280" t="n">
        <v>0.023</v>
      </c>
      <c r="K32" s="280" t="n">
        <v>0.133</v>
      </c>
    </row>
    <row r="33">
      <c r="B33" s="237" t="n">
        <v>1998</v>
      </c>
      <c r="C33" s="303" t="n">
        <v>8085</v>
      </c>
      <c r="D33" s="303" t="n">
        <v>2905.41517887993</v>
      </c>
      <c r="E33" s="303" t="n">
        <v>2717.781137635784</v>
      </c>
      <c r="F33" s="303" t="n">
        <v>1675.803683484286</v>
      </c>
      <c r="G33" s="303" t="n">
        <v>15384</v>
      </c>
      <c r="I33" s="237" t="n">
        <v>28</v>
      </c>
      <c r="J33" s="280" t="n">
        <v>0.013</v>
      </c>
      <c r="K33" s="280" t="n">
        <v>0.117</v>
      </c>
    </row>
    <row r="34">
      <c r="B34" s="237" t="n">
        <v>1999</v>
      </c>
      <c r="C34" s="303" t="n">
        <v>8637.700000000001</v>
      </c>
      <c r="D34" s="303" t="n">
        <v>3341.860463408774</v>
      </c>
      <c r="E34" s="303" t="n">
        <v>3003.871888433025</v>
      </c>
      <c r="F34" s="303" t="n">
        <v>1727.267648158202</v>
      </c>
      <c r="G34" s="303" t="n">
        <v>16710.7</v>
      </c>
      <c r="I34" s="237" t="n">
        <v>29</v>
      </c>
      <c r="J34" s="280" t="n">
        <v>0.01</v>
      </c>
      <c r="K34" s="280" t="n">
        <v>0.102</v>
      </c>
    </row>
    <row r="35">
      <c r="B35" s="237" t="n">
        <v>2000</v>
      </c>
      <c r="C35" s="303" t="n">
        <v>8777.700000000001</v>
      </c>
      <c r="D35" s="303" t="n">
        <v>3539.605079495077</v>
      </c>
      <c r="E35" s="303" t="n">
        <v>2941.919494543059</v>
      </c>
      <c r="F35" s="303" t="n">
        <v>1904.475425961863</v>
      </c>
      <c r="G35" s="303" t="n">
        <v>17163.7</v>
      </c>
      <c r="I35" s="237" t="n">
        <v>30</v>
      </c>
      <c r="J35" s="280" t="n">
        <v>0.007</v>
      </c>
      <c r="K35" s="280" t="n">
        <v>0.089</v>
      </c>
    </row>
    <row r="36">
      <c r="B36" s="237" t="n">
        <v>2001</v>
      </c>
      <c r="C36" s="303" t="n">
        <v>8352</v>
      </c>
      <c r="D36" s="303" t="n">
        <v>4119.038827124374</v>
      </c>
      <c r="E36" s="303" t="n">
        <v>3007.427345426175</v>
      </c>
      <c r="F36" s="303" t="n">
        <v>1471.533827449451</v>
      </c>
      <c r="G36" s="303" t="n">
        <v>16950</v>
      </c>
      <c r="I36" s="237" t="n">
        <v>31</v>
      </c>
      <c r="J36" s="280" t="n">
        <v>0.002</v>
      </c>
      <c r="K36" s="280" t="n">
        <v>0.027</v>
      </c>
    </row>
    <row r="37">
      <c r="B37" s="237" t="n">
        <v>2002</v>
      </c>
      <c r="C37" s="303" t="n">
        <v>8042.3</v>
      </c>
      <c r="D37" s="303" t="n">
        <v>4629.75120902962</v>
      </c>
      <c r="E37" s="303" t="n">
        <v>2629.72916705335</v>
      </c>
      <c r="F37" s="303" t="n">
        <v>1373.519623917029</v>
      </c>
      <c r="G37" s="303" t="n">
        <v>16675.3</v>
      </c>
    </row>
    <row r="38">
      <c r="B38" s="237" t="n">
        <v>2003</v>
      </c>
      <c r="C38" s="303" t="n">
        <v>7555.6</v>
      </c>
      <c r="D38" s="303" t="n">
        <v>4719.707116097345</v>
      </c>
      <c r="E38" s="303" t="n">
        <v>2815.941753462632</v>
      </c>
      <c r="F38" s="303" t="n">
        <v>1402.351130440023</v>
      </c>
      <c r="G38" s="303" t="n">
        <v>16493.6</v>
      </c>
    </row>
    <row r="39">
      <c r="B39" s="237" t="n">
        <v>2004</v>
      </c>
      <c r="C39" s="303" t="n">
        <v>7482.6</v>
      </c>
      <c r="D39" s="303" t="n">
        <v>5337.48665819568</v>
      </c>
      <c r="E39" s="303" t="n">
        <v>2837.196950444727</v>
      </c>
      <c r="F39" s="303" t="n">
        <v>1079.316391359593</v>
      </c>
      <c r="G39" s="303" t="n">
        <v>16736.6</v>
      </c>
    </row>
    <row r="40">
      <c r="B40" s="237" t="n">
        <v>2005</v>
      </c>
      <c r="C40" s="303" t="n">
        <v>7660</v>
      </c>
      <c r="D40" s="303" t="n">
        <v>4732.681782273038</v>
      </c>
      <c r="E40" s="303" t="n">
        <v>2665.453833891312</v>
      </c>
      <c r="F40" s="303" t="n">
        <v>1715.864383835649</v>
      </c>
      <c r="G40" s="303" t="n">
        <v>16774</v>
      </c>
    </row>
    <row r="41">
      <c r="B41" s="237" t="n">
        <v>2006</v>
      </c>
      <c r="C41" s="303" t="n">
        <v>7761.6</v>
      </c>
      <c r="D41" s="303" t="n">
        <v>4530.087129024104</v>
      </c>
      <c r="E41" s="303" t="n">
        <v>2638.055787893012</v>
      </c>
      <c r="F41" s="303" t="n">
        <v>1405.857083082883</v>
      </c>
      <c r="G41" s="303" t="n">
        <v>16335.6</v>
      </c>
    </row>
    <row r="42">
      <c r="B42" s="237" t="n">
        <v>2007</v>
      </c>
      <c r="C42" s="303" t="n">
        <v>7562.3</v>
      </c>
      <c r="D42" s="303" t="n">
        <v>4887.411352638027</v>
      </c>
      <c r="E42" s="303" t="n">
        <v>2439.517368491461</v>
      </c>
      <c r="F42" s="303" t="n">
        <v>978.0712788705118</v>
      </c>
      <c r="G42" s="303" t="n">
        <v>15867.3</v>
      </c>
    </row>
    <row r="43">
      <c r="B43" s="237" t="n">
        <v>2008</v>
      </c>
      <c r="C43" s="303" t="n">
        <v>6769.1</v>
      </c>
      <c r="D43" s="303" t="n">
        <v>3793.257516676736</v>
      </c>
      <c r="E43" s="303" t="n">
        <v>1702.90161676672</v>
      </c>
      <c r="F43" s="303" t="n">
        <v>749.8408665565446</v>
      </c>
      <c r="G43" s="303" t="n">
        <v>13015.1</v>
      </c>
    </row>
    <row r="44">
      <c r="B44" s="237" t="n">
        <v>2009</v>
      </c>
      <c r="C44" s="303" t="n">
        <v>5401.6</v>
      </c>
      <c r="D44" s="303" t="n">
        <v>3050.5502054498</v>
      </c>
      <c r="E44" s="303" t="n">
        <v>1299.899262507374</v>
      </c>
      <c r="F44" s="303" t="n">
        <v>483.5505320428267</v>
      </c>
      <c r="G44" s="303" t="n">
        <v>10235.6</v>
      </c>
    </row>
    <row r="45">
      <c r="B45" s="237" t="n">
        <v>2010</v>
      </c>
      <c r="C45" s="303" t="n">
        <v>5635.7</v>
      </c>
      <c r="D45" s="303" t="n">
        <v>3667.627771266993</v>
      </c>
      <c r="E45" s="303" t="n">
        <v>1453.575291171304</v>
      </c>
      <c r="F45" s="303" t="n">
        <v>636.7969375617029</v>
      </c>
      <c r="G45" s="303" t="n">
        <v>11393.7</v>
      </c>
    </row>
    <row r="46">
      <c r="B46" s="237" t="n">
        <v>2011</v>
      </c>
      <c r="C46" s="303" t="n">
        <v>6092.9</v>
      </c>
      <c r="D46" s="303" t="n">
        <v>4393.928678672927</v>
      </c>
      <c r="E46" s="303" t="n">
        <v>1519.721277663298</v>
      </c>
      <c r="F46" s="303" t="n">
        <v>535.3500436637735</v>
      </c>
      <c r="G46" s="303" t="n">
        <v>12541.9</v>
      </c>
    </row>
    <row r="47">
      <c r="B47" s="237" t="n">
        <v>2012</v>
      </c>
      <c r="C47" s="303" t="n">
        <v>7245.2</v>
      </c>
      <c r="D47" s="303" t="n">
        <v>4649.505221614923</v>
      </c>
      <c r="E47" s="303" t="n">
        <v>1562.480487181936</v>
      </c>
      <c r="F47" s="303" t="n">
        <v>762.8142912031414</v>
      </c>
      <c r="G47" s="303" t="n">
        <v>14220</v>
      </c>
    </row>
    <row r="48">
      <c r="B48" s="237" t="n">
        <v>2013</v>
      </c>
      <c r="C48" s="303" t="n">
        <v>7586.3</v>
      </c>
      <c r="D48" s="303" t="n">
        <v>5322.429076291914</v>
      </c>
      <c r="E48" s="303" t="n">
        <v>1740.040369448356</v>
      </c>
      <c r="F48" s="303" t="n">
        <v>630.13055425973</v>
      </c>
      <c r="G48" s="303" t="n">
        <v>15278.9</v>
      </c>
    </row>
    <row r="49">
      <c r="B49" s="237" t="n">
        <v>2014</v>
      </c>
      <c r="C49" s="303" t="n">
        <v>7708</v>
      </c>
      <c r="D49" s="303" t="n">
        <v>5681.569022620387</v>
      </c>
      <c r="E49" s="303" t="n">
        <v>2078.514368408298</v>
      </c>
      <c r="F49" s="303" t="n">
        <v>723.7166089713153</v>
      </c>
      <c r="G49" s="303" t="n">
        <v>16191.8</v>
      </c>
    </row>
    <row r="50">
      <c r="B50" s="237" t="n">
        <v>2015</v>
      </c>
      <c r="C50" s="303" t="n">
        <v>7528.5</v>
      </c>
      <c r="D50" s="303" t="n">
        <v>6933.327556266748</v>
      </c>
      <c r="E50" s="303" t="n">
        <v>1935.378602255404</v>
      </c>
      <c r="F50" s="303" t="n">
        <v>709.6938414778484</v>
      </c>
      <c r="G50" s="303" t="n">
        <v>17106.9</v>
      </c>
    </row>
    <row r="51">
      <c r="B51" s="237" t="n">
        <v>2016</v>
      </c>
      <c r="C51" s="303" t="n">
        <v>6883.3</v>
      </c>
      <c r="D51" s="303" t="n">
        <v>7440.786091289261</v>
      </c>
      <c r="E51" s="303" t="n">
        <v>2146.155807456179</v>
      </c>
      <c r="F51" s="303" t="n">
        <v>709.05810125456</v>
      </c>
      <c r="G51" s="303" t="n">
        <v>17179.3</v>
      </c>
    </row>
    <row r="52">
      <c r="B52" s="237" t="n">
        <v>2017</v>
      </c>
      <c r="C52" s="303" t="n">
        <v>6089.2</v>
      </c>
      <c r="D52" s="303" t="n">
        <v>7880.883452183555</v>
      </c>
      <c r="E52" s="303" t="n">
        <v>2197.399641923441</v>
      </c>
      <c r="F52" s="303" t="n">
        <v>659.7169058930043</v>
      </c>
      <c r="G52" s="303" t="n">
        <v>16827.2</v>
      </c>
    </row>
    <row r="53">
      <c r="B53" s="237" t="n">
        <v>2018</v>
      </c>
      <c r="C53" s="303" t="n">
        <v>5310.3</v>
      </c>
      <c r="D53" s="303" t="n">
        <v>8489.711548913259</v>
      </c>
      <c r="E53" s="303" t="n">
        <v>2547.034448260345</v>
      </c>
      <c r="F53" s="303" t="n">
        <v>572.4540028263976</v>
      </c>
      <c r="G53" s="303" t="n">
        <v>16919.5</v>
      </c>
    </row>
    <row r="54">
      <c r="B54" s="237" t="n">
        <v>2019</v>
      </c>
      <c r="C54" s="303" t="n">
        <v>4719.7</v>
      </c>
      <c r="D54" s="303" t="n">
        <v>8537.217167153631</v>
      </c>
      <c r="E54" s="303" t="n">
        <v>2764.710550055136</v>
      </c>
      <c r="F54" s="303" t="n">
        <v>608.5722827912341</v>
      </c>
      <c r="G54" s="303" t="n">
        <v>16630.2</v>
      </c>
    </row>
    <row r="55">
      <c r="B55" s="237" t="n">
        <v>2020</v>
      </c>
      <c r="C55" s="303" t="n">
        <v>3401.8</v>
      </c>
      <c r="D55" s="303" t="n">
        <v>8031.003407382953</v>
      </c>
      <c r="E55" s="303" t="n">
        <v>2235.589818973731</v>
      </c>
      <c r="F55" s="303" t="n">
        <v>454.6067736433167</v>
      </c>
      <c r="G55" s="303" t="n">
        <v>14123</v>
      </c>
    </row>
    <row r="56">
      <c r="B56" s="237" t="n">
        <v>2021</v>
      </c>
      <c r="C56" s="303" t="n">
        <v>3350.1</v>
      </c>
      <c r="D56" s="303" t="n">
        <v>8462.557273044124</v>
      </c>
      <c r="E56" s="303" t="n">
        <v>2431.768810682715</v>
      </c>
      <c r="F56" s="303" t="n">
        <v>325.7739162731612</v>
      </c>
      <c r="G56" s="303" t="n">
        <v>14570.2</v>
      </c>
    </row>
    <row r="57">
      <c r="B57" s="237" t="n">
        <v>2022</v>
      </c>
      <c r="C57" s="303" t="n">
        <v>2930.7</v>
      </c>
      <c r="D57" s="303" t="n">
        <v>7775.565933828065</v>
      </c>
      <c r="E57" s="303" t="n">
        <v>2348.80937728459</v>
      </c>
      <c r="F57" s="303" t="n">
        <v>417.324688887346</v>
      </c>
      <c r="G57" s="303" t="n">
        <v>13472.4</v>
      </c>
    </row>
    <row r="58">
      <c r="B58" s="237" t="n">
        <v>2023</v>
      </c>
      <c r="C58" s="303" t="n">
        <v>3184.6</v>
      </c>
      <c r="D58" s="303" t="n">
        <v>9243.923780416222</v>
      </c>
      <c r="E58" s="303" t="n">
        <v>2344.708237193169</v>
      </c>
      <c r="F58" s="303" t="n">
        <v>394.7679823906083</v>
      </c>
      <c r="G58" s="303" t="n">
        <v>15168</v>
      </c>
    </row>
    <row r="59">
      <c r="B59" s="237" t="n">
        <v>2024</v>
      </c>
      <c r="C59" s="303" t="n">
        <v>3040.5</v>
      </c>
      <c r="D59" s="303" t="n">
        <v>9830.596612079278</v>
      </c>
      <c r="E59" s="303" t="n">
        <v>2296.951184881315</v>
      </c>
      <c r="F59" s="303" t="n">
        <v>328.152203039407</v>
      </c>
      <c r="G59" s="303" t="n">
        <v>15496.2</v>
      </c>
    </row>
    <row r="60">
      <c r="B60" s="237" t="n">
        <v>2025</v>
      </c>
      <c r="C60" s="303" t="n">
        <v>2764.4</v>
      </c>
      <c r="D60" s="303" t="n">
        <v>10331.60921910642</v>
      </c>
      <c r="E60" s="303" t="n">
        <v>2414.014425980785</v>
      </c>
      <c r="F60" s="303" t="n">
        <v>344.8763549127995</v>
      </c>
      <c r="G60" s="303" t="n">
        <v>15854.9</v>
      </c>
    </row>
    <row r="61">
      <c r="B61" s="237" t="n">
        <v>2026</v>
      </c>
      <c r="C61" s="303" t="n">
        <v>2764.4</v>
      </c>
      <c r="D61" s="303" t="n">
        <v>10331.60921910642</v>
      </c>
      <c r="E61" s="303" t="n">
        <v>2414.014425980785</v>
      </c>
      <c r="F61" s="303" t="n">
        <v>344.8763549127995</v>
      </c>
      <c r="G61" s="303" t="n">
        <v>15854.9</v>
      </c>
    </row>
    <row r="62">
      <c r="B62" s="237" t="n">
        <v>2027</v>
      </c>
      <c r="C62" s="303" t="n">
        <v>2764.4</v>
      </c>
      <c r="D62" s="303" t="n">
        <v>10331.60921910642</v>
      </c>
      <c r="E62" s="303" t="n">
        <v>2414.014425980785</v>
      </c>
      <c r="F62" s="303" t="n">
        <v>344.8763549127995</v>
      </c>
      <c r="G62" s="303" t="n">
        <v>15854.9</v>
      </c>
    </row>
    <row r="64">
      <c r="B64" s="234" t="inlineStr">
        <is>
          <t>Births 2026–2028 hold the final model-year mix and the existing 2025 total (ASSUMED). Survival beyond the table is zero (age_curves.py convention).</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2" t="inlineStr">
        <is>
          <t>read_date</t>
        </is>
      </c>
      <c r="C4" s="313" t="inlineStr">
        <is>
          <t>page</t>
        </is>
      </c>
      <c r="D4" s="313" t="inlineStr">
        <is>
          <t>title_group</t>
        </is>
      </c>
      <c r="E4" s="313" t="inlineStr">
        <is>
          <t>vehicle_class</t>
        </is>
      </c>
      <c r="F4" s="313" t="inlineStr">
        <is>
          <t>fee_type</t>
        </is>
      </c>
      <c r="G4" s="313" t="inlineStr">
        <is>
          <t>payment_method</t>
        </is>
      </c>
      <c r="H4" s="313" t="inlineStr">
        <is>
          <t>band_low_usd</t>
        </is>
      </c>
      <c r="I4" s="313" t="inlineStr">
        <is>
          <t>band_high_usd</t>
        </is>
      </c>
      <c r="J4" s="313" t="inlineStr">
        <is>
          <t>fee_usd</t>
        </is>
      </c>
      <c r="K4" s="313"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2" t="inlineStr">
        <is>
          <t>read_date</t>
        </is>
      </c>
      <c r="C1003" s="313" t="inlineStr">
        <is>
          <t>page</t>
        </is>
      </c>
      <c r="D1003" s="313" t="inlineStr">
        <is>
          <t>fee</t>
        </is>
      </c>
      <c r="E1003" s="313" t="inlineStr">
        <is>
          <t>amount_usd</t>
        </is>
      </c>
      <c r="F1003" s="313" t="inlineStr">
        <is>
          <t>basis</t>
        </is>
      </c>
      <c r="G1003" s="313"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2" t="inlineStr">
        <is>
          <t>read_date</t>
        </is>
      </c>
      <c r="C1014" s="313" t="inlineStr">
        <is>
          <t>page</t>
        </is>
      </c>
      <c r="D1014" s="313" t="inlineStr">
        <is>
          <t>fee</t>
        </is>
      </c>
      <c r="E1014" s="313" t="inlineStr">
        <is>
          <t>amount_usd</t>
        </is>
      </c>
      <c r="F1014" s="313" t="inlineStr">
        <is>
          <t>effective</t>
        </is>
      </c>
      <c r="G1014" s="313"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2" t="inlineStr">
        <is>
          <t>Carrier weight</t>
        </is>
      </c>
      <c r="C4" s="313" t="inlineStr">
        <is>
          <t>Q1 FY26A</t>
        </is>
      </c>
      <c r="D4" s="313" t="inlineStr">
        <is>
          <t>Q2 FY26A</t>
        </is>
      </c>
      <c r="E4" s="313" t="inlineStr">
        <is>
          <t>Q3 FY26A</t>
        </is>
      </c>
      <c r="F4" s="313" t="inlineStr">
        <is>
          <t>Q4 FY26A</t>
        </is>
      </c>
      <c r="G4" s="313" t="inlineStr">
        <is>
          <t>Q1 FY27E</t>
        </is>
      </c>
      <c r="H4" s="313" t="inlineStr">
        <is>
          <t>Q2 FY27E</t>
        </is>
      </c>
      <c r="I4" s="313" t="inlineStr">
        <is>
          <t>Q3 FY27E</t>
        </is>
      </c>
      <c r="J4" s="313" t="inlineStr">
        <is>
          <t>Q4 FY27E</t>
        </is>
      </c>
    </row>
    <row r="5">
      <c r="B5" s="238" t="inlineStr">
        <is>
          <t>State Farm</t>
        </is>
      </c>
      <c r="C5" s="308" t="n">
        <v>0.18707</v>
      </c>
      <c r="D5" s="308" t="n">
        <v>0.186</v>
      </c>
      <c r="E5" s="308" t="n">
        <v>0.1852</v>
      </c>
      <c r="F5" s="308" t="n">
        <v>0.1844</v>
      </c>
      <c r="G5" s="308" t="n">
        <v>0.18354</v>
      </c>
      <c r="H5" s="308" t="n">
        <v>0.18269</v>
      </c>
      <c r="I5" s="308" t="n">
        <v>0.18183</v>
      </c>
      <c r="J5" s="308" t="n">
        <v>0.18097</v>
      </c>
    </row>
    <row r="6">
      <c r="B6" s="238" t="inlineStr">
        <is>
          <t>Progressive</t>
        </is>
      </c>
      <c r="C6" s="308" t="n">
        <v>0.18132</v>
      </c>
      <c r="D6" s="308" t="n">
        <v>0.186</v>
      </c>
      <c r="E6" s="308" t="n">
        <v>0.1895</v>
      </c>
      <c r="F6" s="308" t="n">
        <v>0.193</v>
      </c>
      <c r="G6" s="308" t="n">
        <v>0.19675</v>
      </c>
      <c r="H6" s="308" t="n">
        <v>0.2005</v>
      </c>
      <c r="I6" s="308" t="n">
        <v>0.20425</v>
      </c>
      <c r="J6" s="308" t="n">
        <v>0.208</v>
      </c>
    </row>
    <row r="7">
      <c r="B7" s="238" t="inlineStr">
        <is>
          <t>GEICO</t>
        </is>
      </c>
      <c r="C7" s="308" t="n">
        <v>0.11667</v>
      </c>
      <c r="D7" s="308" t="n">
        <v>0.116</v>
      </c>
      <c r="E7" s="308" t="n">
        <v>0.1155</v>
      </c>
      <c r="F7" s="308" t="n">
        <v>0.115</v>
      </c>
      <c r="G7" s="308" t="n">
        <v>0.11447</v>
      </c>
      <c r="H7" s="308" t="n">
        <v>0.11393</v>
      </c>
      <c r="I7" s="308" t="n">
        <v>0.1134</v>
      </c>
      <c r="J7" s="308" t="n">
        <v>0.11286</v>
      </c>
    </row>
    <row r="8">
      <c r="B8" s="238" t="inlineStr">
        <is>
          <t>Allstate</t>
        </is>
      </c>
      <c r="C8" s="308" t="n">
        <v>0.10259</v>
      </c>
      <c r="D8" s="308" t="n">
        <v>0.102</v>
      </c>
      <c r="E8" s="308" t="n">
        <v>0.10156</v>
      </c>
      <c r="F8" s="308" t="n">
        <v>0.10112</v>
      </c>
      <c r="G8" s="308" t="n">
        <v>0.10065</v>
      </c>
      <c r="H8" s="308" t="n">
        <v>0.10018</v>
      </c>
      <c r="I8" s="308" t="n">
        <v>0.09970999999999999</v>
      </c>
      <c r="J8" s="308" t="n">
        <v>0.09923999999999999</v>
      </c>
    </row>
    <row r="9">
      <c r="B9" s="238" t="inlineStr">
        <is>
          <t>USAA</t>
        </is>
      </c>
      <c r="C9" s="308" t="n">
        <v>0.06236</v>
      </c>
      <c r="D9" s="308" t="n">
        <v>0.062</v>
      </c>
      <c r="E9" s="308" t="n">
        <v>0.06173</v>
      </c>
      <c r="F9" s="308" t="n">
        <v>0.06147</v>
      </c>
      <c r="G9" s="308" t="n">
        <v>0.06118</v>
      </c>
      <c r="H9" s="308" t="n">
        <v>0.0609</v>
      </c>
      <c r="I9" s="308" t="n">
        <v>0.06061</v>
      </c>
      <c r="J9" s="308" t="n">
        <v>0.06032</v>
      </c>
    </row>
    <row r="10">
      <c r="B10" s="238" t="inlineStr">
        <is>
          <t>Farmers</t>
        </is>
      </c>
      <c r="C10" s="308" t="n">
        <v>0.03822</v>
      </c>
      <c r="D10" s="308" t="n">
        <v>0.038</v>
      </c>
      <c r="E10" s="308" t="n">
        <v>0.03784</v>
      </c>
      <c r="F10" s="308" t="n">
        <v>0.03767</v>
      </c>
      <c r="G10" s="308" t="n">
        <v>0.0375</v>
      </c>
      <c r="H10" s="308" t="n">
        <v>0.03732</v>
      </c>
      <c r="I10" s="308" t="n">
        <v>0.03715</v>
      </c>
      <c r="J10" s="308" t="n">
        <v>0.03697</v>
      </c>
    </row>
    <row r="11">
      <c r="B11" s="238" t="inlineStr">
        <is>
          <t>Liberty Mutual</t>
        </is>
      </c>
      <c r="C11" s="308" t="n">
        <v>0.03319</v>
      </c>
      <c r="D11" s="308" t="n">
        <v>0.033</v>
      </c>
      <c r="E11" s="308" t="n">
        <v>0.03286</v>
      </c>
      <c r="F11" s="308" t="n">
        <v>0.03272</v>
      </c>
      <c r="G11" s="308" t="n">
        <v>0.03256</v>
      </c>
      <c r="H11" s="308" t="n">
        <v>0.03241</v>
      </c>
      <c r="I11" s="308" t="n">
        <v>0.03226</v>
      </c>
      <c r="J11" s="308" t="n">
        <v>0.03211</v>
      </c>
    </row>
    <row r="12">
      <c r="B12" s="238" t="inlineStr">
        <is>
          <t>Travelers</t>
        </is>
      </c>
      <c r="C12" s="308" t="n">
        <v>0.02011</v>
      </c>
      <c r="D12" s="308" t="n">
        <v>0.02</v>
      </c>
      <c r="E12" s="308" t="n">
        <v>0.01991</v>
      </c>
      <c r="F12" s="308" t="n">
        <v>0.01983</v>
      </c>
      <c r="G12" s="308" t="n">
        <v>0.01974</v>
      </c>
      <c r="H12" s="308" t="n">
        <v>0.01964</v>
      </c>
      <c r="I12" s="308" t="n">
        <v>0.01955</v>
      </c>
      <c r="J12" s="308" t="n">
        <v>0.01946</v>
      </c>
    </row>
    <row r="13">
      <c r="B13" s="238" t="inlineStr">
        <is>
          <t>Nationwide</t>
        </is>
      </c>
      <c r="C13" s="308" t="n">
        <v>0.01509</v>
      </c>
      <c r="D13" s="308" t="n">
        <v>0.015</v>
      </c>
      <c r="E13" s="308" t="n">
        <v>0.01494</v>
      </c>
      <c r="F13" s="308" t="n">
        <v>0.01487</v>
      </c>
      <c r="G13" s="308" t="n">
        <v>0.0148</v>
      </c>
      <c r="H13" s="308" t="n">
        <v>0.01473</v>
      </c>
      <c r="I13" s="308" t="n">
        <v>0.01466</v>
      </c>
      <c r="J13" s="308" t="n">
        <v>0.01459</v>
      </c>
    </row>
    <row r="14">
      <c r="B14" s="238" t="inlineStr">
        <is>
          <t>Other (Erie, AAA, AmFam, regionals)</t>
        </is>
      </c>
      <c r="C14" s="308" t="n">
        <v>0.24339</v>
      </c>
      <c r="D14" s="308" t="n">
        <v>0.242</v>
      </c>
      <c r="E14" s="308" t="n">
        <v>0.24096</v>
      </c>
      <c r="F14" s="308" t="n">
        <v>0.23992</v>
      </c>
      <c r="G14" s="308" t="n">
        <v>0.2388</v>
      </c>
      <c r="H14" s="308" t="n">
        <v>0.23769</v>
      </c>
      <c r="I14" s="308" t="n">
        <v>0.23657</v>
      </c>
      <c r="J14" s="308" t="n">
        <v>0.23546</v>
      </c>
    </row>
    <row r="16">
      <c r="B16" s="242" t="inlineStr">
        <is>
          <t>Copart allocation by carrier (share of that carrier's total losses assigned to Copart)</t>
        </is>
      </c>
    </row>
    <row r="17">
      <c r="B17" s="312" t="inlineStr">
        <is>
          <t>Allocation</t>
        </is>
      </c>
      <c r="C17" s="313" t="inlineStr">
        <is>
          <t>Q1 FY26A</t>
        </is>
      </c>
      <c r="D17" s="313" t="inlineStr">
        <is>
          <t>Q2 FY26A</t>
        </is>
      </c>
      <c r="E17" s="313" t="inlineStr">
        <is>
          <t>Q3 FY26A</t>
        </is>
      </c>
      <c r="F17" s="313" t="inlineStr">
        <is>
          <t>Q4 FY26A</t>
        </is>
      </c>
      <c r="G17" s="313" t="inlineStr">
        <is>
          <t>Q1 FY27E</t>
        </is>
      </c>
      <c r="H17" s="313" t="inlineStr">
        <is>
          <t>Q2 FY27E</t>
        </is>
      </c>
      <c r="I17" s="313" t="inlineStr">
        <is>
          <t>Q3 FY27E</t>
        </is>
      </c>
      <c r="J17" s="313"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2" t="inlineStr">
        <is>
          <t>mask</t>
        </is>
      </c>
      <c r="C4" s="313" t="inlineStr">
        <is>
          <t>scenario</t>
        </is>
      </c>
      <c r="D4" s="313" t="inlineStr">
        <is>
          <t>service_musd</t>
        </is>
      </c>
      <c r="E4" s="313" t="inlineStr">
        <is>
          <t>insurance_musd</t>
        </is>
      </c>
      <c r="F4" s="313" t="inlineStr">
        <is>
          <t>modeled_insurance_units</t>
        </is>
      </c>
      <c r="G4" s="313" t="inlineStr">
        <is>
          <t>insurance_allin_RPU</t>
        </is>
      </c>
    </row>
    <row r="5">
      <c r="B5" s="241" t="n">
        <v>0</v>
      </c>
      <c r="C5" s="238" t="inlineStr">
        <is>
          <t>recovery_comparator</t>
        </is>
      </c>
      <c r="D5" s="262" t="n">
        <v>4132.662422084255</v>
      </c>
      <c r="E5" s="262" t="n">
        <v>3122.688228872894</v>
      </c>
      <c r="F5" s="315" t="n">
        <v>3404057.163231479</v>
      </c>
      <c r="G5" s="316" t="n">
        <v>917.3430642123882</v>
      </c>
    </row>
    <row r="6">
      <c r="B6" s="241" t="n">
        <v>1</v>
      </c>
      <c r="C6" s="238" t="inlineStr">
        <is>
          <t>market_allocation</t>
        </is>
      </c>
      <c r="D6" s="262" t="n">
        <v>3997.324308689885</v>
      </c>
      <c r="E6" s="262" t="n">
        <v>2987.350115478524</v>
      </c>
      <c r="F6" s="315" t="n">
        <v>3256568.487807756</v>
      </c>
      <c r="G6" s="316" t="n">
        <v>917.330658533006</v>
      </c>
    </row>
    <row r="7">
      <c r="B7" s="241" t="n">
        <v>2</v>
      </c>
      <c r="C7" s="238" t="inlineStr">
        <is>
          <t>premium_recovery</t>
        </is>
      </c>
      <c r="D7" s="262" t="n">
        <v>4108.93568578827</v>
      </c>
      <c r="E7" s="262" t="n">
        <v>3098.961492576909</v>
      </c>
      <c r="F7" s="315" t="n">
        <v>3378189.645851638</v>
      </c>
      <c r="G7" s="316" t="n">
        <v>917.3438490590319</v>
      </c>
    </row>
    <row r="8">
      <c r="B8" s="241" t="n">
        <v>3</v>
      </c>
      <c r="C8" s="238" t="inlineStr">
        <is>
          <t>market_allocation+premium_recovery</t>
        </is>
      </c>
      <c r="D8" s="262" t="n">
        <v>3974.520103544469</v>
      </c>
      <c r="E8" s="262" t="n">
        <v>2964.545910333108</v>
      </c>
      <c r="F8" s="315" t="n">
        <v>3231706.417616765</v>
      </c>
      <c r="G8" s="316" t="n">
        <v>917.3314426622096</v>
      </c>
    </row>
    <row r="9">
      <c r="B9" s="241" t="n">
        <v>4</v>
      </c>
      <c r="C9" s="238" t="inlineStr">
        <is>
          <t>aftermarket</t>
        </is>
      </c>
      <c r="D9" s="262" t="n">
        <v>4075.42762064511</v>
      </c>
      <c r="E9" s="262" t="n">
        <v>3065.453427433749</v>
      </c>
      <c r="F9" s="315" t="n">
        <v>3360587.950171777</v>
      </c>
      <c r="G9" s="316" t="n">
        <v>912.177712021213</v>
      </c>
    </row>
    <row r="10">
      <c r="B10" s="241" t="n">
        <v>5</v>
      </c>
      <c r="C10" s="238" t="inlineStr">
        <is>
          <t>market_allocation+aftermarket</t>
        </is>
      </c>
      <c r="D10" s="262" t="n">
        <v>3941.963239662224</v>
      </c>
      <c r="E10" s="262" t="n">
        <v>2931.989046450863</v>
      </c>
      <c r="F10" s="315" t="n">
        <v>3214522.640183739</v>
      </c>
      <c r="G10" s="316" t="n">
        <v>912.1071383349389</v>
      </c>
    </row>
    <row r="11">
      <c r="B11" s="241" t="n">
        <v>6</v>
      </c>
      <c r="C11" s="238" t="inlineStr">
        <is>
          <t>premium_recovery+aftermarket</t>
        </is>
      </c>
      <c r="D11" s="262" t="n">
        <v>4052.175472723391</v>
      </c>
      <c r="E11" s="262" t="n">
        <v>3042.20127951203</v>
      </c>
      <c r="F11" s="315" t="n">
        <v>3335080.853031643</v>
      </c>
      <c r="G11" s="316" t="n">
        <v>912.1821669620451</v>
      </c>
    </row>
    <row r="12">
      <c r="B12" s="241" t="n">
        <v>7</v>
      </c>
      <c r="C12" s="238" t="inlineStr">
        <is>
          <t>market_allocation+premium_recovery+aftermarket</t>
        </is>
      </c>
      <c r="D12" s="262" t="n">
        <v>3919.619593811704</v>
      </c>
      <c r="E12" s="262" t="n">
        <v>2909.645400600343</v>
      </c>
      <c r="F12" s="315" t="n">
        <v>3190010.334434816</v>
      </c>
      <c r="G12" s="316" t="n">
        <v>912.1115907343461</v>
      </c>
    </row>
    <row r="13">
      <c r="B13" s="241" t="n">
        <v>8</v>
      </c>
      <c r="C13" s="238" t="inlineStr">
        <is>
          <t>fleet_mix</t>
        </is>
      </c>
      <c r="D13" s="262" t="n">
        <v>4116.682023074879</v>
      </c>
      <c r="E13" s="262" t="n">
        <v>3106.707829863518</v>
      </c>
      <c r="F13" s="315" t="n">
        <v>3392942.331491993</v>
      </c>
      <c r="G13" s="316" t="n">
        <v>915.6382650622274</v>
      </c>
    </row>
    <row r="14">
      <c r="B14" s="241" t="n">
        <v>9</v>
      </c>
      <c r="C14" s="238" t="inlineStr">
        <is>
          <t>market_allocation+fleet_mix</t>
        </is>
      </c>
      <c r="D14" s="262" t="n">
        <v>3982.01631007477</v>
      </c>
      <c r="E14" s="262" t="n">
        <v>2972.042116863409</v>
      </c>
      <c r="F14" s="315" t="n">
        <v>3245904.819907098</v>
      </c>
      <c r="G14" s="316" t="n">
        <v>915.6282398164938</v>
      </c>
    </row>
    <row r="15">
      <c r="B15" s="241" t="n">
        <v>10</v>
      </c>
      <c r="C15" s="238" t="inlineStr">
        <is>
          <t>premium_recovery+fleet_mix</t>
        </is>
      </c>
      <c r="D15" s="262" t="n">
        <v>4093.077730243895</v>
      </c>
      <c r="E15" s="262" t="n">
        <v>3083.103537032534</v>
      </c>
      <c r="F15" s="315" t="n">
        <v>3367160.848567258</v>
      </c>
      <c r="G15" s="316" t="n">
        <v>915.6389242124887</v>
      </c>
    </row>
    <row r="16">
      <c r="B16" s="241" t="n">
        <v>11</v>
      </c>
      <c r="C16" s="238" t="inlineStr">
        <is>
          <t>market_allocation+premium_recovery+fleet_mix</t>
        </is>
      </c>
      <c r="D16" s="262" t="n">
        <v>3959.329945361116</v>
      </c>
      <c r="E16" s="262" t="n">
        <v>2949.355752149755</v>
      </c>
      <c r="F16" s="315" t="n">
        <v>3221125.676442777</v>
      </c>
      <c r="G16" s="316" t="n">
        <v>915.6288975991931</v>
      </c>
    </row>
    <row r="17">
      <c r="B17" s="241" t="n">
        <v>12</v>
      </c>
      <c r="C17" s="238" t="inlineStr">
        <is>
          <t>aftermarket+fleet_mix</t>
        </is>
      </c>
      <c r="D17" s="262" t="n">
        <v>4059.648453516342</v>
      </c>
      <c r="E17" s="262" t="n">
        <v>3049.674260304981</v>
      </c>
      <c r="F17" s="315" t="n">
        <v>3349607.998633471</v>
      </c>
      <c r="G17" s="316" t="n">
        <v>910.4570629008368</v>
      </c>
    </row>
    <row r="18">
      <c r="B18" s="241" t="n">
        <v>13</v>
      </c>
      <c r="C18" s="238" t="inlineStr">
        <is>
          <t>market_allocation+aftermarket+fleet_mix</t>
        </is>
      </c>
      <c r="D18" s="262" t="n">
        <v>3926.851387305016</v>
      </c>
      <c r="E18" s="262" t="n">
        <v>2916.877194093655</v>
      </c>
      <c r="F18" s="315" t="n">
        <v>3203990.469606517</v>
      </c>
      <c r="G18" s="316" t="n">
        <v>910.3888484574293</v>
      </c>
    </row>
    <row r="19">
      <c r="B19" s="241" t="n">
        <v>14</v>
      </c>
      <c r="C19" s="238" t="inlineStr">
        <is>
          <t>premium_recovery+aftermarket+fleet_mix</t>
        </is>
      </c>
      <c r="D19" s="262" t="n">
        <v>4036.517015793495</v>
      </c>
      <c r="E19" s="262" t="n">
        <v>3026.542822582135</v>
      </c>
      <c r="F19" s="315" t="n">
        <v>3324185.772365574</v>
      </c>
      <c r="G19" s="316" t="n">
        <v>910.4613971163143</v>
      </c>
    </row>
    <row r="20">
      <c r="B20" s="241" t="n">
        <v>15</v>
      </c>
      <c r="C20" s="238" t="inlineStr">
        <is>
          <t>market_allocation+premium_recovery+aftermarket+fleet_mix</t>
        </is>
      </c>
      <c r="D20" s="262" t="n">
        <v>3904.623888263005</v>
      </c>
      <c r="E20" s="262" t="n">
        <v>2894.649695051643</v>
      </c>
      <c r="F20" s="315" t="n">
        <v>3179559.953460027</v>
      </c>
      <c r="G20" s="316" t="n">
        <v>910.3931793774352</v>
      </c>
    </row>
    <row r="22">
      <c r="B22" s="242" t="inlineStr">
        <is>
          <t>Four-driver attribution (Shapley, diagnostic)</t>
        </is>
      </c>
    </row>
    <row r="23">
      <c r="B23" s="312" t="inlineStr">
        <is>
          <t>factor</t>
        </is>
      </c>
      <c r="C23" s="313" t="inlineStr">
        <is>
          <t>service_contribution_musd</t>
        </is>
      </c>
      <c r="D23" s="313" t="inlineStr">
        <is>
          <t>share_of_net_shortfall</t>
        </is>
      </c>
      <c r="E23" s="313" t="inlineStr">
        <is>
          <t>modeled_unit_contribution</t>
        </is>
      </c>
      <c r="F23" s="313" t="inlineStr">
        <is>
          <t>allin_RPU_contribution_usd</t>
        </is>
      </c>
      <c r="G23" s="313"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2" t="inlineStr">
        <is>
          <t>mask</t>
        </is>
      </c>
      <c r="C30" s="313" t="inlineStr">
        <is>
          <t>scenario</t>
        </is>
      </c>
      <c r="D30" s="313" t="inlineStr">
        <is>
          <t>period</t>
        </is>
      </c>
      <c r="E30" s="313" t="inlineStr">
        <is>
          <t>service_musd</t>
        </is>
      </c>
      <c r="F30" s="313" t="inlineStr">
        <is>
          <t>insurance_units</t>
        </is>
      </c>
      <c r="G30" s="313" t="inlineStr">
        <is>
          <t>TLF</t>
        </is>
      </c>
      <c r="H30" s="313" t="inlineStr">
        <is>
          <t>insurance_ASP</t>
        </is>
      </c>
    </row>
    <row r="31">
      <c r="B31" s="241" t="n">
        <v>0</v>
      </c>
      <c r="C31" s="238" t="inlineStr">
        <is>
          <t>recovery_comparator</t>
        </is>
      </c>
      <c r="D31" s="238" t="inlineStr">
        <is>
          <t>FY2027Q1</t>
        </is>
      </c>
      <c r="E31" s="262" t="n">
        <v>1029.364134959785</v>
      </c>
      <c r="F31" s="315" t="n">
        <v>856641.6743440034</v>
      </c>
      <c r="G31" s="291" t="n">
        <v>0.2309684149019287</v>
      </c>
      <c r="H31" s="316" t="n">
        <v>3117.098260634563</v>
      </c>
    </row>
    <row r="32">
      <c r="B32" s="241" t="n">
        <v>0</v>
      </c>
      <c r="C32" s="238" t="inlineStr">
        <is>
          <t>recovery_comparator</t>
        </is>
      </c>
      <c r="D32" s="238" t="inlineStr">
        <is>
          <t>FY2027Q2</t>
        </is>
      </c>
      <c r="E32" s="262" t="n">
        <v>990.1625914130836</v>
      </c>
      <c r="F32" s="315" t="n">
        <v>822965.1098413144</v>
      </c>
      <c r="G32" s="291" t="n">
        <v>0.2308874862433383</v>
      </c>
      <c r="H32" s="316" t="n">
        <v>3114.64263949011</v>
      </c>
    </row>
    <row r="33">
      <c r="B33" s="241" t="n">
        <v>0</v>
      </c>
      <c r="C33" s="238" t="inlineStr">
        <is>
          <t>recovery_comparator</t>
        </is>
      </c>
      <c r="D33" s="238" t="inlineStr">
        <is>
          <t>FY2027Q3</t>
        </is>
      </c>
      <c r="E33" s="262" t="n">
        <v>1101.169954876998</v>
      </c>
      <c r="F33" s="315" t="n">
        <v>900826.3217013609</v>
      </c>
      <c r="G33" s="291" t="n">
        <v>0.2308139360994703</v>
      </c>
      <c r="H33" s="316" t="n">
        <v>3112.820776046185</v>
      </c>
    </row>
    <row r="34">
      <c r="B34" s="241" t="n">
        <v>0</v>
      </c>
      <c r="C34" s="238" t="inlineStr">
        <is>
          <t>recovery_comparator</t>
        </is>
      </c>
      <c r="D34" s="238" t="inlineStr">
        <is>
          <t>FY2027Q4</t>
        </is>
      </c>
      <c r="E34" s="262" t="n">
        <v>1011.96574083439</v>
      </c>
      <c r="F34" s="315" t="n">
        <v>823624.0573447999</v>
      </c>
      <c r="G34" s="291" t="n">
        <v>0.2307532535590583</v>
      </c>
      <c r="H34" s="316" t="n">
        <v>3111.192549815287</v>
      </c>
    </row>
    <row r="35">
      <c r="B35" s="241" t="n">
        <v>1</v>
      </c>
      <c r="C35" s="238" t="inlineStr">
        <is>
          <t>market_allocation</t>
        </is>
      </c>
      <c r="D35" s="238" t="inlineStr">
        <is>
          <t>FY2027Q1</t>
        </is>
      </c>
      <c r="E35" s="262" t="n">
        <v>976.0677700048616</v>
      </c>
      <c r="F35" s="315" t="n">
        <v>798585.8399364803</v>
      </c>
      <c r="G35" s="291" t="n">
        <v>0.2309684149019288</v>
      </c>
      <c r="H35" s="316" t="n">
        <v>3117.098260634565</v>
      </c>
    </row>
    <row r="36">
      <c r="B36" s="241" t="n">
        <v>1</v>
      </c>
      <c r="C36" s="238" t="inlineStr">
        <is>
          <t>market_allocation</t>
        </is>
      </c>
      <c r="D36" s="238" t="inlineStr">
        <is>
          <t>FY2027Q2</t>
        </is>
      </c>
      <c r="E36" s="262" t="n">
        <v>941.3484286164836</v>
      </c>
      <c r="F36" s="315" t="n">
        <v>769765.3002082428</v>
      </c>
      <c r="G36" s="291" t="n">
        <v>0.2308874862433384</v>
      </c>
      <c r="H36" s="316" t="n">
        <v>3114.642639490111</v>
      </c>
    </row>
    <row r="37">
      <c r="B37" s="241" t="n">
        <v>1</v>
      </c>
      <c r="C37" s="238" t="inlineStr">
        <is>
          <t>market_allocation</t>
        </is>
      </c>
      <c r="D37" s="238" t="inlineStr">
        <is>
          <t>FY2027Q3</t>
        </is>
      </c>
      <c r="E37" s="262" t="n">
        <v>1072.624992886211</v>
      </c>
      <c r="F37" s="315" t="n">
        <v>869701.5898566847</v>
      </c>
      <c r="G37" s="291" t="n">
        <v>0.2308139360994702</v>
      </c>
      <c r="H37" s="316" t="n">
        <v>3112.820776046185</v>
      </c>
    </row>
    <row r="38">
      <c r="B38" s="241" t="n">
        <v>1</v>
      </c>
      <c r="C38" s="238" t="inlineStr">
        <is>
          <t>market_allocation</t>
        </is>
      </c>
      <c r="D38" s="238" t="inlineStr">
        <is>
          <t>FY2027Q4</t>
        </is>
      </c>
      <c r="E38" s="262" t="n">
        <v>1007.28311718233</v>
      </c>
      <c r="F38" s="315" t="n">
        <v>818515.7578063485</v>
      </c>
      <c r="G38" s="291" t="n">
        <v>0.2307532535590583</v>
      </c>
      <c r="H38" s="316" t="n">
        <v>3111.192549815287</v>
      </c>
    </row>
    <row r="39">
      <c r="B39" s="241" t="n">
        <v>2</v>
      </c>
      <c r="C39" s="238" t="inlineStr">
        <is>
          <t>premium_recovery</t>
        </is>
      </c>
      <c r="D39" s="238" t="inlineStr">
        <is>
          <t>FY2027Q1</t>
        </is>
      </c>
      <c r="E39" s="262" t="n">
        <v>1025.412308726546</v>
      </c>
      <c r="F39" s="315" t="n">
        <v>852336.9423121235</v>
      </c>
      <c r="G39" s="291" t="n">
        <v>0.2311949263789927</v>
      </c>
      <c r="H39" s="316" t="n">
        <v>3117.098260634562</v>
      </c>
    </row>
    <row r="40">
      <c r="B40" s="241" t="n">
        <v>2</v>
      </c>
      <c r="C40" s="238" t="inlineStr">
        <is>
          <t>premium_recovery</t>
        </is>
      </c>
      <c r="D40" s="238" t="inlineStr">
        <is>
          <t>FY2027Q2</t>
        </is>
      </c>
      <c r="E40" s="262" t="n">
        <v>984.5288491051532</v>
      </c>
      <c r="F40" s="315" t="n">
        <v>816825.2110674168</v>
      </c>
      <c r="G40" s="291" t="n">
        <v>0.2312262010477369</v>
      </c>
      <c r="H40" s="316" t="n">
        <v>3114.642639490114</v>
      </c>
    </row>
    <row r="41">
      <c r="B41" s="241" t="n">
        <v>2</v>
      </c>
      <c r="C41" s="238" t="inlineStr">
        <is>
          <t>premium_recovery</t>
        </is>
      </c>
      <c r="D41" s="238" t="inlineStr">
        <is>
          <t>FY2027Q3</t>
        </is>
      </c>
      <c r="E41" s="262" t="n">
        <v>1094.015737527335</v>
      </c>
      <c r="F41" s="315" t="n">
        <v>893025.5372183173</v>
      </c>
      <c r="G41" s="291" t="n">
        <v>0.2312084431026211</v>
      </c>
      <c r="H41" s="316" t="n">
        <v>3112.820776046185</v>
      </c>
    </row>
    <row r="42">
      <c r="B42" s="241" t="n">
        <v>2</v>
      </c>
      <c r="C42" s="238" t="inlineStr">
        <is>
          <t>premium_recovery</t>
        </is>
      </c>
      <c r="D42" s="238" t="inlineStr">
        <is>
          <t>FY2027Q4</t>
        </is>
      </c>
      <c r="E42" s="262" t="n">
        <v>1004.978790429237</v>
      </c>
      <c r="F42" s="315" t="n">
        <v>816001.9552537798</v>
      </c>
      <c r="G42" s="291" t="n">
        <v>0.2311755535758398</v>
      </c>
      <c r="H42" s="316" t="n">
        <v>3111.192549815288</v>
      </c>
    </row>
    <row r="43">
      <c r="B43" s="241" t="n">
        <v>3</v>
      </c>
      <c r="C43" s="238" t="inlineStr">
        <is>
          <t>market_allocation+premium_recovery</t>
        </is>
      </c>
      <c r="D43" s="238" t="inlineStr">
        <is>
          <t>FY2027Q1</t>
        </is>
      </c>
      <c r="E43" s="262" t="n">
        <v>972.3837647010447</v>
      </c>
      <c r="F43" s="315" t="n">
        <v>794572.8457659445</v>
      </c>
      <c r="G43" s="291" t="n">
        <v>0.2311949263789928</v>
      </c>
      <c r="H43" s="316" t="n">
        <v>3117.098260634565</v>
      </c>
    </row>
    <row r="44">
      <c r="B44" s="241" t="n">
        <v>3</v>
      </c>
      <c r="C44" s="238" t="inlineStr">
        <is>
          <t>market_allocation+premium_recovery</t>
        </is>
      </c>
      <c r="D44" s="238" t="inlineStr">
        <is>
          <t>FY2027Q2</t>
        </is>
      </c>
      <c r="E44" s="262" t="n">
        <v>936.0788743096234</v>
      </c>
      <c r="F44" s="315" t="n">
        <v>764022.3094466435</v>
      </c>
      <c r="G44" s="291" t="n">
        <v>0.2312262010477366</v>
      </c>
      <c r="H44" s="316" t="n">
        <v>3114.642639490108</v>
      </c>
    </row>
    <row r="45">
      <c r="B45" s="241" t="n">
        <v>3</v>
      </c>
      <c r="C45" s="238" t="inlineStr">
        <is>
          <t>market_allocation+premium_recovery</t>
        </is>
      </c>
      <c r="D45" s="238" t="inlineStr">
        <is>
          <t>FY2027Q3</t>
        </is>
      </c>
      <c r="E45" s="262" t="n">
        <v>1065.717963136645</v>
      </c>
      <c r="F45" s="315" t="n">
        <v>862170.3327168867</v>
      </c>
      <c r="G45" s="291" t="n">
        <v>0.2312084431026214</v>
      </c>
      <c r="H45" s="316" t="n">
        <v>3112.820776046183</v>
      </c>
    </row>
    <row r="46">
      <c r="B46" s="241" t="n">
        <v>3</v>
      </c>
      <c r="C46" s="238" t="inlineStr">
        <is>
          <t>market_allocation+premium_recovery</t>
        </is>
      </c>
      <c r="D46" s="238" t="inlineStr">
        <is>
          <t>FY2027Q4</t>
        </is>
      </c>
      <c r="E46" s="262" t="n">
        <v>1000.339501397155</v>
      </c>
      <c r="F46" s="315" t="n">
        <v>810940.9296872901</v>
      </c>
      <c r="G46" s="291" t="n">
        <v>0.2311755535758398</v>
      </c>
      <c r="H46" s="316" t="n">
        <v>3111.192549815286</v>
      </c>
    </row>
    <row r="47">
      <c r="B47" s="241" t="n">
        <v>4</v>
      </c>
      <c r="C47" s="238" t="inlineStr">
        <is>
          <t>aftermarket</t>
        </is>
      </c>
      <c r="D47" s="238" t="inlineStr">
        <is>
          <t>FY2027Q1</t>
        </is>
      </c>
      <c r="E47" s="262" t="n">
        <v>1023.601230562588</v>
      </c>
      <c r="F47" s="315" t="n">
        <v>852258.8798105858</v>
      </c>
      <c r="G47" s="291" t="n">
        <v>0.229786375948788</v>
      </c>
      <c r="H47" s="316" t="n">
        <v>3102.012654856643</v>
      </c>
    </row>
    <row r="48">
      <c r="B48" s="241" t="n">
        <v>4</v>
      </c>
      <c r="C48" s="238" t="inlineStr">
        <is>
          <t>aftermarket</t>
        </is>
      </c>
      <c r="D48" s="238" t="inlineStr">
        <is>
          <t>FY2027Q2</t>
        </is>
      </c>
      <c r="E48" s="262" t="n">
        <v>979.0786458114052</v>
      </c>
      <c r="F48" s="315" t="n">
        <v>814545.0698317797</v>
      </c>
      <c r="G48" s="291" t="n">
        <v>0.2285241665519835</v>
      </c>
      <c r="H48" s="316" t="n">
        <v>3084.457226681674</v>
      </c>
    </row>
    <row r="49">
      <c r="B49" s="241" t="n">
        <v>4</v>
      </c>
      <c r="C49" s="238" t="inlineStr">
        <is>
          <t>aftermarket</t>
        </is>
      </c>
      <c r="D49" s="238" t="inlineStr">
        <is>
          <t>FY2027Q3</t>
        </is>
      </c>
      <c r="E49" s="262" t="n">
        <v>1082.962465171545</v>
      </c>
      <c r="F49" s="315" t="n">
        <v>887004.6485715101</v>
      </c>
      <c r="G49" s="291" t="n">
        <v>0.2272706929165285</v>
      </c>
      <c r="H49" s="316" t="n">
        <v>3067.509596547071</v>
      </c>
    </row>
    <row r="50">
      <c r="B50" s="241" t="n">
        <v>4</v>
      </c>
      <c r="C50" s="238" t="inlineStr">
        <is>
          <t>aftermarket</t>
        </is>
      </c>
      <c r="D50" s="238" t="inlineStr">
        <is>
          <t>FY2027Q4</t>
        </is>
      </c>
      <c r="E50" s="262" t="n">
        <v>989.7852790995721</v>
      </c>
      <c r="F50" s="315" t="n">
        <v>806779.3519579009</v>
      </c>
      <c r="G50" s="291" t="n">
        <v>0.226031363899194</v>
      </c>
      <c r="H50" s="316" t="n">
        <v>3050.729139659054</v>
      </c>
    </row>
    <row r="51">
      <c r="B51" s="241" t="n">
        <v>5</v>
      </c>
      <c r="C51" s="238" t="inlineStr">
        <is>
          <t>market_allocation+aftermarket</t>
        </is>
      </c>
      <c r="D51" s="238" t="inlineStr">
        <is>
          <t>FY2027Q1</t>
        </is>
      </c>
      <c r="E51" s="262" t="n">
        <v>970.6954259007376</v>
      </c>
      <c r="F51" s="315" t="n">
        <v>794500.0736720526</v>
      </c>
      <c r="G51" s="291" t="n">
        <v>0.2297863759487881</v>
      </c>
      <c r="H51" s="316" t="n">
        <v>3102.012654856643</v>
      </c>
    </row>
    <row r="52">
      <c r="B52" s="241" t="n">
        <v>5</v>
      </c>
      <c r="C52" s="238" t="inlineStr">
        <is>
          <t>market_allocation+aftermarket</t>
        </is>
      </c>
      <c r="D52" s="238" t="inlineStr">
        <is>
          <t>FY2027Q2</t>
        </is>
      </c>
      <c r="E52" s="262" t="n">
        <v>930.9809943090761</v>
      </c>
      <c r="F52" s="315" t="n">
        <v>761889.5658080879</v>
      </c>
      <c r="G52" s="291" t="n">
        <v>0.2285241665519839</v>
      </c>
      <c r="H52" s="316" t="n">
        <v>3084.45722668167</v>
      </c>
    </row>
    <row r="53">
      <c r="B53" s="241" t="n">
        <v>5</v>
      </c>
      <c r="C53" s="238" t="inlineStr">
        <is>
          <t>market_allocation+aftermarket</t>
        </is>
      </c>
      <c r="D53" s="238" t="inlineStr">
        <is>
          <t>FY2027Q3</t>
        </is>
      </c>
      <c r="E53" s="262" t="n">
        <v>1055.046595849339</v>
      </c>
      <c r="F53" s="315" t="n">
        <v>856357.4736758787</v>
      </c>
      <c r="G53" s="291" t="n">
        <v>0.2272706929165283</v>
      </c>
      <c r="H53" s="316" t="n">
        <v>3067.509596547074</v>
      </c>
    </row>
    <row r="54">
      <c r="B54" s="241" t="n">
        <v>5</v>
      </c>
      <c r="C54" s="238" t="inlineStr">
        <is>
          <t>market_allocation+aftermarket</t>
        </is>
      </c>
      <c r="D54" s="238" t="inlineStr">
        <is>
          <t>FY2027Q4</t>
        </is>
      </c>
      <c r="E54" s="262" t="n">
        <v>985.2402236030709</v>
      </c>
      <c r="F54" s="315" t="n">
        <v>801775.52702772</v>
      </c>
      <c r="G54" s="291" t="n">
        <v>0.226031363899194</v>
      </c>
      <c r="H54" s="316" t="n">
        <v>3050.729139659052</v>
      </c>
    </row>
    <row r="55">
      <c r="B55" s="241" t="n">
        <v>6</v>
      </c>
      <c r="C55" s="238" t="inlineStr">
        <is>
          <t>premium_recovery+aftermarket</t>
        </is>
      </c>
      <c r="D55" s="238" t="inlineStr">
        <is>
          <t>FY2027Q1</t>
        </is>
      </c>
      <c r="E55" s="262" t="n">
        <v>1019.678363647928</v>
      </c>
      <c r="F55" s="315" t="n">
        <v>847976.1718718394</v>
      </c>
      <c r="G55" s="291" t="n">
        <v>0.2300120749139815</v>
      </c>
      <c r="H55" s="316" t="n">
        <v>3102.012654856643</v>
      </c>
    </row>
    <row r="56">
      <c r="B56" s="241" t="n">
        <v>6</v>
      </c>
      <c r="C56" s="238" t="inlineStr">
        <is>
          <t>premium_recovery+aftermarket</t>
        </is>
      </c>
      <c r="D56" s="238" t="inlineStr">
        <is>
          <t>FY2027Q2</t>
        </is>
      </c>
      <c r="E56" s="262" t="n">
        <v>973.5275975365463</v>
      </c>
      <c r="F56" s="315" t="n">
        <v>808467.9904808606</v>
      </c>
      <c r="G56" s="291" t="n">
        <v>0.2288604459983519</v>
      </c>
      <c r="H56" s="316" t="n">
        <v>3084.457226681672</v>
      </c>
    </row>
    <row r="57">
      <c r="B57" s="241" t="n">
        <v>6</v>
      </c>
      <c r="C57" s="238" t="inlineStr">
        <is>
          <t>premium_recovery+aftermarket</t>
        </is>
      </c>
      <c r="D57" s="238" t="inlineStr">
        <is>
          <t>FY2027Q3</t>
        </is>
      </c>
      <c r="E57" s="262" t="n">
        <v>1075.965917174729</v>
      </c>
      <c r="F57" s="315" t="n">
        <v>879323.5540782944</v>
      </c>
      <c r="G57" s="291" t="n">
        <v>0.2276609362764543</v>
      </c>
      <c r="H57" s="316" t="n">
        <v>3067.509596547069</v>
      </c>
    </row>
    <row r="58">
      <c r="B58" s="241" t="n">
        <v>6</v>
      </c>
      <c r="C58" s="238" t="inlineStr">
        <is>
          <t>premium_recovery+aftermarket</t>
        </is>
      </c>
      <c r="D58" s="238" t="inlineStr">
        <is>
          <t>FY2027Q4</t>
        </is>
      </c>
      <c r="E58" s="262" t="n">
        <v>983.0035943641881</v>
      </c>
      <c r="F58" s="315" t="n">
        <v>799313.1366006486</v>
      </c>
      <c r="G58" s="291" t="n">
        <v>0.2264475662642594</v>
      </c>
      <c r="H58" s="316" t="n">
        <v>3050.729139659057</v>
      </c>
    </row>
    <row r="59">
      <c r="B59" s="241" t="n">
        <v>7</v>
      </c>
      <c r="C59" s="238" t="inlineStr">
        <is>
          <t>market_allocation+premium_recovery+aftermarket</t>
        </is>
      </c>
      <c r="D59" s="238" t="inlineStr">
        <is>
          <t>FY2027Q1</t>
        </is>
      </c>
      <c r="E59" s="262" t="n">
        <v>967.0384173009616</v>
      </c>
      <c r="F59" s="315" t="n">
        <v>790507.6109902831</v>
      </c>
      <c r="G59" s="291" t="n">
        <v>0.2300120749139814</v>
      </c>
      <c r="H59" s="316" t="n">
        <v>3102.012654856646</v>
      </c>
    </row>
    <row r="60">
      <c r="B60" s="241" t="n">
        <v>7</v>
      </c>
      <c r="C60" s="238" t="inlineStr">
        <is>
          <t>market_allocation+premium_recovery+aftermarket</t>
        </is>
      </c>
      <c r="D60" s="238" t="inlineStr">
        <is>
          <t>FY2027Q2</t>
        </is>
      </c>
      <c r="E60" s="262" t="n">
        <v>925.7887883568802</v>
      </c>
      <c r="F60" s="315" t="n">
        <v>756205.3335666348</v>
      </c>
      <c r="G60" s="291" t="n">
        <v>0.2288604459983519</v>
      </c>
      <c r="H60" s="316" t="n">
        <v>3084.457226681676</v>
      </c>
    </row>
    <row r="61">
      <c r="B61" s="241" t="n">
        <v>7</v>
      </c>
      <c r="C61" s="238" t="inlineStr">
        <is>
          <t>market_allocation+premium_recovery+aftermarket</t>
        </is>
      </c>
      <c r="D61" s="238" t="inlineStr">
        <is>
          <t>FY2027Q3</t>
        </is>
      </c>
      <c r="E61" s="262" t="n">
        <v>1048.291787769522</v>
      </c>
      <c r="F61" s="315" t="n">
        <v>848941.7710796534</v>
      </c>
      <c r="G61" s="291" t="n">
        <v>0.2276609362764544</v>
      </c>
      <c r="H61" s="316" t="n">
        <v>3067.509596547073</v>
      </c>
    </row>
    <row r="62">
      <c r="B62" s="241" t="n">
        <v>7</v>
      </c>
      <c r="C62" s="238" t="inlineStr">
        <is>
          <t>market_allocation+premium_recovery+aftermarket</t>
        </is>
      </c>
      <c r="D62" s="238" t="inlineStr">
        <is>
          <t>FY2027Q4</t>
        </is>
      </c>
      <c r="E62" s="262" t="n">
        <v>978.5006003843397</v>
      </c>
      <c r="F62" s="315" t="n">
        <v>794355.6187982442</v>
      </c>
      <c r="G62" s="291" t="n">
        <v>0.2264475662642594</v>
      </c>
      <c r="H62" s="316" t="n">
        <v>3050.729139659056</v>
      </c>
    </row>
    <row r="63">
      <c r="B63" s="241" t="n">
        <v>8</v>
      </c>
      <c r="C63" s="238" t="inlineStr">
        <is>
          <t>fleet_mix</t>
        </is>
      </c>
      <c r="D63" s="238" t="inlineStr">
        <is>
          <t>FY2027Q1</t>
        </is>
      </c>
      <c r="E63" s="262" t="n">
        <v>1025.507486459717</v>
      </c>
      <c r="F63" s="315" t="n">
        <v>854111.0012595253</v>
      </c>
      <c r="G63" s="291" t="n">
        <v>0.2309161499901453</v>
      </c>
      <c r="H63" s="316" t="n">
        <v>3109.561956774737</v>
      </c>
    </row>
    <row r="64">
      <c r="B64" s="241" t="n">
        <v>8</v>
      </c>
      <c r="C64" s="238" t="inlineStr">
        <is>
          <t>fleet_mix</t>
        </is>
      </c>
      <c r="D64" s="238" t="inlineStr">
        <is>
          <t>FY2027Q2</t>
        </is>
      </c>
      <c r="E64" s="262" t="n">
        <v>986.4830605061766</v>
      </c>
      <c r="F64" s="315" t="n">
        <v>820545.7130904585</v>
      </c>
      <c r="G64" s="291" t="n">
        <v>0.2307648990700315</v>
      </c>
      <c r="H64" s="316" t="n">
        <v>3107.981665915742</v>
      </c>
    </row>
    <row r="65">
      <c r="B65" s="241" t="n">
        <v>8</v>
      </c>
      <c r="C65" s="238" t="inlineStr">
        <is>
          <t>fleet_mix</t>
        </is>
      </c>
      <c r="D65" s="238" t="inlineStr">
        <is>
          <t>FY2027Q3</t>
        </is>
      </c>
      <c r="E65" s="262" t="n">
        <v>1096.908899781877</v>
      </c>
      <c r="F65" s="315" t="n">
        <v>897827.2260926729</v>
      </c>
      <c r="G65" s="291" t="n">
        <v>0.2305897916177987</v>
      </c>
      <c r="H65" s="316" t="n">
        <v>3107.083953240975</v>
      </c>
    </row>
    <row r="66">
      <c r="B66" s="241" t="n">
        <v>8</v>
      </c>
      <c r="C66" s="238" t="inlineStr">
        <is>
          <t>fleet_mix</t>
        </is>
      </c>
      <c r="D66" s="238" t="inlineStr">
        <is>
          <t>FY2027Q4</t>
        </is>
      </c>
      <c r="E66" s="262" t="n">
        <v>1007.782576327108</v>
      </c>
      <c r="F66" s="315" t="n">
        <v>820458.3910493366</v>
      </c>
      <c r="G66" s="291" t="n">
        <v>0.2304178404853408</v>
      </c>
      <c r="H66" s="316" t="n">
        <v>3106.395211293683</v>
      </c>
    </row>
    <row r="67">
      <c r="B67" s="241" t="n">
        <v>9</v>
      </c>
      <c r="C67" s="238" t="inlineStr">
        <is>
          <t>market_allocation+fleet_mix</t>
        </is>
      </c>
      <c r="D67" s="238" t="inlineStr">
        <is>
          <t>FY2027Q1</t>
        </is>
      </c>
      <c r="E67" s="262" t="n">
        <v>972.4724921027863</v>
      </c>
      <c r="F67" s="315" t="n">
        <v>796226.6741950752</v>
      </c>
      <c r="G67" s="291" t="n">
        <v>0.2309161499901456</v>
      </c>
      <c r="H67" s="316" t="n">
        <v>3109.561956774737</v>
      </c>
    </row>
    <row r="68">
      <c r="B68" s="241" t="n">
        <v>9</v>
      </c>
      <c r="C68" s="238" t="inlineStr">
        <is>
          <t>market_allocation+fleet_mix</t>
        </is>
      </c>
      <c r="D68" s="238" t="inlineStr">
        <is>
          <t>FY2027Q2</t>
        </is>
      </c>
      <c r="E68" s="262" t="n">
        <v>937.9067575428124</v>
      </c>
      <c r="F68" s="315" t="n">
        <v>767502.3030969732</v>
      </c>
      <c r="G68" s="291" t="n">
        <v>0.2307648990700318</v>
      </c>
      <c r="H68" s="316" t="n">
        <v>3107.981665915748</v>
      </c>
    </row>
    <row r="69">
      <c r="B69" s="241" t="n">
        <v>9</v>
      </c>
      <c r="C69" s="238" t="inlineStr">
        <is>
          <t>market_allocation+fleet_mix</t>
        </is>
      </c>
      <c r="D69" s="238" t="inlineStr">
        <is>
          <t>FY2027Q3</t>
        </is>
      </c>
      <c r="E69" s="262" t="n">
        <v>1068.511162837713</v>
      </c>
      <c r="F69" s="315" t="n">
        <v>866806.1169379065</v>
      </c>
      <c r="G69" s="291" t="n">
        <v>0.2305897916177984</v>
      </c>
      <c r="H69" s="316" t="n">
        <v>3107.083953240977</v>
      </c>
    </row>
    <row r="70">
      <c r="B70" s="241" t="n">
        <v>9</v>
      </c>
      <c r="C70" s="238" t="inlineStr">
        <is>
          <t>market_allocation+fleet_mix</t>
        </is>
      </c>
      <c r="D70" s="238" t="inlineStr">
        <is>
          <t>FY2027Q4</t>
        </is>
      </c>
      <c r="E70" s="262" t="n">
        <v>1003.125897591459</v>
      </c>
      <c r="F70" s="315" t="n">
        <v>815369.7256771432</v>
      </c>
      <c r="G70" s="291" t="n">
        <v>0.2304178404853408</v>
      </c>
      <c r="H70" s="316" t="n">
        <v>3106.395211293683</v>
      </c>
    </row>
    <row r="71">
      <c r="B71" s="241" t="n">
        <v>10</v>
      </c>
      <c r="C71" s="238" t="inlineStr">
        <is>
          <t>premium_recovery+fleet_mix</t>
        </is>
      </c>
      <c r="D71" s="238" t="inlineStr">
        <is>
          <t>FY2027Q1</t>
        </is>
      </c>
      <c r="E71" s="262" t="n">
        <v>1021.575040369695</v>
      </c>
      <c r="F71" s="315" t="n">
        <v>849818.986177818</v>
      </c>
      <c r="G71" s="291" t="n">
        <v>0.231142625616621</v>
      </c>
      <c r="H71" s="316" t="n">
        <v>3109.561956774742</v>
      </c>
    </row>
    <row r="72">
      <c r="B72" s="241" t="n">
        <v>10</v>
      </c>
      <c r="C72" s="238" t="inlineStr">
        <is>
          <t>premium_recovery+fleet_mix</t>
        </is>
      </c>
      <c r="D72" s="238" t="inlineStr">
        <is>
          <t>FY2027Q2</t>
        </is>
      </c>
      <c r="E72" s="262" t="n">
        <v>980.8767700878014</v>
      </c>
      <c r="F72" s="315" t="n">
        <v>814423.8647186563</v>
      </c>
      <c r="G72" s="291" t="n">
        <v>0.2311034880750509</v>
      </c>
      <c r="H72" s="316" t="n">
        <v>3107.981665915745</v>
      </c>
    </row>
    <row r="73">
      <c r="B73" s="241" t="n">
        <v>10</v>
      </c>
      <c r="C73" s="238" t="inlineStr">
        <is>
          <t>premium_recovery+fleet_mix</t>
        </is>
      </c>
      <c r="D73" s="238" t="inlineStr">
        <is>
          <t>FY2027Q3</t>
        </is>
      </c>
      <c r="E73" s="262" t="n">
        <v>1089.791581412258</v>
      </c>
      <c r="F73" s="315" t="n">
        <v>890052.4125409003</v>
      </c>
      <c r="G73" s="291" t="n">
        <v>0.2309840305593108</v>
      </c>
      <c r="H73" s="316" t="n">
        <v>3107.083953240974</v>
      </c>
    </row>
    <row r="74">
      <c r="B74" s="241" t="n">
        <v>10</v>
      </c>
      <c r="C74" s="238" t="inlineStr">
        <is>
          <t>premium_recovery+fleet_mix</t>
        </is>
      </c>
      <c r="D74" s="238" t="inlineStr">
        <is>
          <t>FY2027Q4</t>
        </is>
      </c>
      <c r="E74" s="262" t="n">
        <v>1000.83433837414</v>
      </c>
      <c r="F74" s="315" t="n">
        <v>812865.5851298833</v>
      </c>
      <c r="G74" s="291" t="n">
        <v>0.2308397108684518</v>
      </c>
      <c r="H74" s="316" t="n">
        <v>3106.395211293685</v>
      </c>
    </row>
    <row r="75">
      <c r="B75" s="241" t="n">
        <v>11</v>
      </c>
      <c r="C75" s="238" t="inlineStr">
        <is>
          <t>market_allocation+premium_recovery+fleet_mix</t>
        </is>
      </c>
      <c r="D75" s="238" t="inlineStr">
        <is>
          <t>FY2027Q1</t>
        </is>
      </c>
      <c r="E75" s="262" t="n">
        <v>968.8065535220962</v>
      </c>
      <c r="F75" s="315" t="n">
        <v>792225.5351287683</v>
      </c>
      <c r="G75" s="291" t="n">
        <v>0.2311426256166211</v>
      </c>
      <c r="H75" s="316" t="n">
        <v>3109.561956774739</v>
      </c>
    </row>
    <row r="76">
      <c r="B76" s="241" t="n">
        <v>11</v>
      </c>
      <c r="C76" s="238" t="inlineStr">
        <is>
          <t>market_allocation+premium_recovery+fleet_mix</t>
        </is>
      </c>
      <c r="D76" s="238" t="inlineStr">
        <is>
          <t>FY2027Q2</t>
        </is>
      </c>
      <c r="E76" s="262" t="n">
        <v>932.6628805237893</v>
      </c>
      <c r="F76" s="315" t="n">
        <v>761776.1958861137</v>
      </c>
      <c r="G76" s="291" t="n">
        <v>0.2311034880750509</v>
      </c>
      <c r="H76" s="316" t="n">
        <v>3107.981665915745</v>
      </c>
    </row>
    <row r="77">
      <c r="B77" s="241" t="n">
        <v>11</v>
      </c>
      <c r="C77" s="238" t="inlineStr">
        <is>
          <t>market_allocation+premium_recovery+fleet_mix</t>
        </is>
      </c>
      <c r="D77" s="238" t="inlineStr">
        <is>
          <t>FY2027Q3</t>
        </is>
      </c>
      <c r="E77" s="262" t="n">
        <v>1061.639757159997</v>
      </c>
      <c r="F77" s="315" t="n">
        <v>859299.9333996139</v>
      </c>
      <c r="G77" s="291" t="n">
        <v>0.2309840305593108</v>
      </c>
      <c r="H77" s="316" t="n">
        <v>3107.083953240976</v>
      </c>
    </row>
    <row r="78">
      <c r="B78" s="241" t="n">
        <v>11</v>
      </c>
      <c r="C78" s="238" t="inlineStr">
        <is>
          <t>market_allocation+premium_recovery+fleet_mix</t>
        </is>
      </c>
      <c r="D78" s="238" t="inlineStr">
        <is>
          <t>FY2027Q4</t>
        </is>
      </c>
      <c r="E78" s="262" t="n">
        <v>996.2207541552331</v>
      </c>
      <c r="F78" s="315" t="n">
        <v>807824.0120282808</v>
      </c>
      <c r="G78" s="291" t="n">
        <v>0.2308397108684518</v>
      </c>
      <c r="H78" s="316" t="n">
        <v>3106.395211293685</v>
      </c>
    </row>
    <row r="79">
      <c r="B79" s="241" t="n">
        <v>12</v>
      </c>
      <c r="C79" s="238" t="inlineStr">
        <is>
          <t>aftermarket+fleet_mix</t>
        </is>
      </c>
      <c r="D79" s="238" t="inlineStr">
        <is>
          <t>FY2027Q1</t>
        </is>
      </c>
      <c r="E79" s="262" t="n">
        <v>1019.756447743504</v>
      </c>
      <c r="F79" s="315" t="n">
        <v>849735.7418255534</v>
      </c>
      <c r="G79" s="291" t="n">
        <v>0.2297329148627688</v>
      </c>
      <c r="H79" s="316" t="n">
        <v>3094.494833579958</v>
      </c>
    </row>
    <row r="80">
      <c r="B80" s="241" t="n">
        <v>12</v>
      </c>
      <c r="C80" s="238" t="inlineStr">
        <is>
          <t>aftermarket+fleet_mix</t>
        </is>
      </c>
      <c r="D80" s="238" t="inlineStr">
        <is>
          <t>FY2027Q2</t>
        </is>
      </c>
      <c r="E80" s="262" t="n">
        <v>975.4231429609433</v>
      </c>
      <c r="F80" s="315" t="n">
        <v>812141.6884811353</v>
      </c>
      <c r="G80" s="291" t="n">
        <v>0.2284003761465528</v>
      </c>
      <c r="H80" s="316" t="n">
        <v>3077.82238369579</v>
      </c>
    </row>
    <row r="81">
      <c r="B81" s="241" t="n">
        <v>12</v>
      </c>
      <c r="C81" s="238" t="inlineStr">
        <is>
          <t>aftermarket+fleet_mix</t>
        </is>
      </c>
      <c r="D81" s="238" t="inlineStr">
        <is>
          <t>FY2027Q3</t>
        </is>
      </c>
      <c r="E81" s="262" t="n">
        <v>1078.761473144321</v>
      </c>
      <c r="F81" s="315" t="n">
        <v>884045.99239547</v>
      </c>
      <c r="G81" s="291" t="n">
        <v>0.2270485580569535</v>
      </c>
      <c r="H81" s="316" t="n">
        <v>3061.798511058403</v>
      </c>
    </row>
    <row r="82">
      <c r="B82" s="241" t="n">
        <v>12</v>
      </c>
      <c r="C82" s="238" t="inlineStr">
        <is>
          <t>aftermarket+fleet_mix</t>
        </is>
      </c>
      <c r="D82" s="238" t="inlineStr">
        <is>
          <t>FY2027Q4</t>
        </is>
      </c>
      <c r="E82" s="262" t="n">
        <v>985.7073896675735</v>
      </c>
      <c r="F82" s="315" t="n">
        <v>803684.5759313126</v>
      </c>
      <c r="G82" s="291" t="n">
        <v>0.2257045450764831</v>
      </c>
      <c r="H82" s="316" t="n">
        <v>3045.949453154524</v>
      </c>
    </row>
    <row r="83">
      <c r="B83" s="241" t="n">
        <v>13</v>
      </c>
      <c r="C83" s="238" t="inlineStr">
        <is>
          <t>market_allocation+aftermarket+fleet_mix</t>
        </is>
      </c>
      <c r="D83" s="238" t="inlineStr">
        <is>
          <t>FY2027Q1</t>
        </is>
      </c>
      <c r="E83" s="262" t="n">
        <v>967.1112095254349</v>
      </c>
      <c r="F83" s="315" t="n">
        <v>792147.9323656006</v>
      </c>
      <c r="G83" s="291" t="n">
        <v>0.2297329148627689</v>
      </c>
      <c r="H83" s="316" t="n">
        <v>3094.494833579958</v>
      </c>
    </row>
    <row r="84">
      <c r="B84" s="241" t="n">
        <v>13</v>
      </c>
      <c r="C84" s="238" t="inlineStr">
        <is>
          <t>market_allocation+aftermarket+fleet_mix</t>
        </is>
      </c>
      <c r="D84" s="238" t="inlineStr">
        <is>
          <t>FY2027Q2</t>
        </is>
      </c>
      <c r="E84" s="262" t="n">
        <v>927.5617980206206</v>
      </c>
      <c r="F84" s="315" t="n">
        <v>759641.5487964673</v>
      </c>
      <c r="G84" s="291" t="n">
        <v>0.2284003761465531</v>
      </c>
      <c r="H84" s="316" t="n">
        <v>3077.822383695789</v>
      </c>
    </row>
    <row r="85">
      <c r="B85" s="241" t="n">
        <v>13</v>
      </c>
      <c r="C85" s="238" t="inlineStr">
        <is>
          <t>market_allocation+aftermarket+fleet_mix</t>
        </is>
      </c>
      <c r="D85" s="238" t="inlineStr">
        <is>
          <t>FY2027Q3</t>
        </is>
      </c>
      <c r="E85" s="262" t="n">
        <v>1050.990753610902</v>
      </c>
      <c r="F85" s="315" t="n">
        <v>853501.0429542696</v>
      </c>
      <c r="G85" s="291" t="n">
        <v>0.2270485580569532</v>
      </c>
      <c r="H85" s="316" t="n">
        <v>3061.798511058405</v>
      </c>
    </row>
    <row r="86">
      <c r="B86" s="241" t="n">
        <v>13</v>
      </c>
      <c r="C86" s="238" t="inlineStr">
        <is>
          <t>market_allocation+aftermarket+fleet_mix</t>
        </is>
      </c>
      <c r="D86" s="238" t="inlineStr">
        <is>
          <t>FY2027Q4</t>
        </is>
      </c>
      <c r="E86" s="262" t="n">
        <v>981.1876261480581</v>
      </c>
      <c r="F86" s="315" t="n">
        <v>798699.9454901796</v>
      </c>
      <c r="G86" s="291" t="n">
        <v>0.2257045450764831</v>
      </c>
      <c r="H86" s="316" t="n">
        <v>3045.949453154524</v>
      </c>
    </row>
    <row r="87">
      <c r="B87" s="241" t="n">
        <v>14</v>
      </c>
      <c r="C87" s="238" t="inlineStr">
        <is>
          <t>premium_recovery+aftermarket+fleet_mix</t>
        </is>
      </c>
      <c r="D87" s="238" t="inlineStr">
        <is>
          <t>FY2027Q1</t>
        </is>
      </c>
      <c r="E87" s="262" t="n">
        <v>1015.852901345523</v>
      </c>
      <c r="F87" s="315" t="n">
        <v>845465.7129721582</v>
      </c>
      <c r="G87" s="291" t="n">
        <v>0.2299585769955041</v>
      </c>
      <c r="H87" s="316" t="n">
        <v>3094.49483357996</v>
      </c>
    </row>
    <row r="88">
      <c r="B88" s="241" t="n">
        <v>14</v>
      </c>
      <c r="C88" s="238" t="inlineStr">
        <is>
          <t>premium_recovery+aftermarket+fleet_mix</t>
        </is>
      </c>
      <c r="D88" s="238" t="inlineStr">
        <is>
          <t>FY2027Q2</t>
        </is>
      </c>
      <c r="E88" s="262" t="n">
        <v>969.8993673094324</v>
      </c>
      <c r="F88" s="315" t="n">
        <v>806082.5400461577</v>
      </c>
      <c r="G88" s="291" t="n">
        <v>0.2287365274412941</v>
      </c>
      <c r="H88" s="316" t="n">
        <v>3077.82238369579</v>
      </c>
    </row>
    <row r="89">
      <c r="B89" s="241" t="n">
        <v>14</v>
      </c>
      <c r="C89" s="238" t="inlineStr">
        <is>
          <t>premium_recovery+aftermarket+fleet_mix</t>
        </is>
      </c>
      <c r="D89" s="238" t="inlineStr">
        <is>
          <t>FY2027Q3</t>
        </is>
      </c>
      <c r="E89" s="262" t="n">
        <v>1071.801304006148</v>
      </c>
      <c r="F89" s="315" t="n">
        <v>876390.5186447143</v>
      </c>
      <c r="G89" s="291" t="n">
        <v>0.2274385322574677</v>
      </c>
      <c r="H89" s="316" t="n">
        <v>3061.798511058397</v>
      </c>
    </row>
    <row r="90">
      <c r="B90" s="241" t="n">
        <v>14</v>
      </c>
      <c r="C90" s="238" t="inlineStr">
        <is>
          <t>premium_recovery+aftermarket+fleet_mix</t>
        </is>
      </c>
      <c r="D90" s="238" t="inlineStr">
        <is>
          <t>FY2027Q4</t>
        </is>
      </c>
      <c r="E90" s="262" t="n">
        <v>978.9634431323916</v>
      </c>
      <c r="F90" s="315" t="n">
        <v>796247.0007025434</v>
      </c>
      <c r="G90" s="291" t="n">
        <v>0.2261203214707115</v>
      </c>
      <c r="H90" s="316" t="n">
        <v>3045.949453154521</v>
      </c>
    </row>
    <row r="91">
      <c r="B91" s="241" t="n">
        <v>15</v>
      </c>
      <c r="C91" s="238" t="inlineStr">
        <is>
          <t>market_allocation+premium_recovery+aftermarket+fleet_mix</t>
        </is>
      </c>
      <c r="D91" s="238" t="inlineStr">
        <is>
          <t>FY2027Q1</t>
        </is>
      </c>
      <c r="E91" s="262" t="n">
        <v>963.4722120632231</v>
      </c>
      <c r="F91" s="315" t="n">
        <v>788167.2894893914</v>
      </c>
      <c r="G91" s="291" t="n">
        <v>0.2299585769955042</v>
      </c>
      <c r="H91" s="316" t="n">
        <v>3094.494833579958</v>
      </c>
    </row>
    <row r="92">
      <c r="B92" s="241" t="n">
        <v>15</v>
      </c>
      <c r="C92" s="238" t="inlineStr">
        <is>
          <t>market_allocation+premium_recovery+aftermarket+fleet_mix</t>
        </is>
      </c>
      <c r="D92" s="238" t="inlineStr">
        <is>
          <t>FY2027Q2</t>
        </is>
      </c>
      <c r="E92" s="262" t="n">
        <v>922.39510167855</v>
      </c>
      <c r="F92" s="315" t="n">
        <v>753974.0883436708</v>
      </c>
      <c r="G92" s="291" t="n">
        <v>0.2287365274412941</v>
      </c>
      <c r="H92" s="316" t="n">
        <v>3077.82238369579</v>
      </c>
    </row>
    <row r="93">
      <c r="B93" s="241" t="n">
        <v>15</v>
      </c>
      <c r="C93" s="238" t="inlineStr">
        <is>
          <t>market_allocation+premium_recovery+aftermarket+fleet_mix</t>
        </is>
      </c>
      <c r="D93" s="238" t="inlineStr">
        <is>
          <t>FY2027Q3</t>
        </is>
      </c>
      <c r="E93" s="262" t="n">
        <v>1044.271067452411</v>
      </c>
      <c r="F93" s="315" t="n">
        <v>846110.0758702225</v>
      </c>
      <c r="G93" s="291" t="n">
        <v>0.2274385322574679</v>
      </c>
      <c r="H93" s="316" t="n">
        <v>3061.7985110584</v>
      </c>
    </row>
    <row r="94">
      <c r="B94" s="241" t="n">
        <v>15</v>
      </c>
      <c r="C94" s="238" t="inlineStr">
        <is>
          <t>market_allocation+premium_recovery+aftermarket+fleet_mix</t>
        </is>
      </c>
      <c r="D94" s="238" t="inlineStr">
        <is>
          <t>FY2027Q4</t>
        </is>
      </c>
      <c r="E94" s="262" t="n">
        <v>974.4855070688204</v>
      </c>
      <c r="F94" s="315" t="n">
        <v>791308.4997567419</v>
      </c>
      <c r="G94" s="291" t="n">
        <v>0.2261203214707115</v>
      </c>
      <c r="H94" s="316" t="n">
        <v>3045.94945315452</v>
      </c>
    </row>
    <row r="96">
      <c r="B96" s="242" t="inlineStr">
        <is>
          <t>CCC family scenario summary (29 Sep): reference $4,093.08m; larger shift $4,002.41m</t>
        </is>
      </c>
    </row>
    <row r="97">
      <c r="B97" s="312" t="inlineStr">
        <is>
          <t>scenario</t>
        </is>
      </c>
      <c r="C97" s="313" t="inlineStr">
        <is>
          <t>repair_change</t>
        </is>
      </c>
      <c r="D97" s="313" t="inlineStr">
        <is>
          <t>auction_price_change_at_fixed_selection</t>
        </is>
      </c>
      <c r="E97" s="313" t="inlineStr">
        <is>
          <t>expected_salvage_change</t>
        </is>
      </c>
      <c r="F97" s="313" t="inlineStr">
        <is>
          <t>FY_insurance_unit_delta</t>
        </is>
      </c>
      <c r="G97" s="313" t="inlineStr">
        <is>
          <t>FY_insurance_allin_RPU_delta</t>
        </is>
      </c>
      <c r="H97" s="313" t="inlineStr">
        <is>
          <t>FY_legacy_service_musd</t>
        </is>
      </c>
      <c r="I97" s="313" t="inlineStr">
        <is>
          <t>FY_delta_vs_reference_musd</t>
        </is>
      </c>
      <c r="J97" s="313" t="inlineStr">
        <is>
          <t>FY_delta_vs_reference_pct</t>
        </is>
      </c>
      <c r="K97" s="313" t="inlineStr">
        <is>
          <t>FY_gap_to_dated_JPM_service_musd</t>
        </is>
      </c>
      <c r="L97" s="313" t="inlineStr">
        <is>
          <t>FY_gap_to_dated_JPM_service_pct</t>
        </is>
      </c>
      <c r="M97" s="313" t="inlineStr">
        <is>
          <t>H1_delta_vs_reference_musd</t>
        </is>
      </c>
      <c r="N97" s="313" t="inlineStr">
        <is>
          <t>threshold_responsive_fraction</t>
        </is>
      </c>
      <c r="O97" s="313"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2" t="inlineStr">
        <is>
          <t>scenario</t>
        </is>
      </c>
      <c r="C105" s="313" t="inlineStr">
        <is>
          <t>period</t>
        </is>
      </c>
      <c r="D105" s="313" t="inlineStr">
        <is>
          <t>legacy_service_musd</t>
        </is>
      </c>
      <c r="E105" s="313" t="inlineStr">
        <is>
          <t>legacy_total_musd</t>
        </is>
      </c>
      <c r="F105" s="313" t="inlineStr">
        <is>
          <t>insurance_units</t>
        </is>
      </c>
      <c r="G105" s="313" t="inlineStr">
        <is>
          <t>insurance_unit_delta_vs_reference</t>
        </is>
      </c>
      <c r="H105" s="313" t="inlineStr">
        <is>
          <t>insurance_units_yoy</t>
        </is>
      </c>
      <c r="I105" s="313" t="inlineStr">
        <is>
          <t>insurance_allin_RPU</t>
        </is>
      </c>
      <c r="J105" s="313" t="inlineStr">
        <is>
          <t>insurance_RPU_delta_vs_reference</t>
        </is>
      </c>
      <c r="K105" s="313" t="inlineStr">
        <is>
          <t>insurance_RPU_yoy</t>
        </is>
      </c>
      <c r="L105" s="313" t="inlineStr">
        <is>
          <t>selected_ASP_delta_vs_reference</t>
        </is>
      </c>
      <c r="M105" s="313"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2" t="inlineStr">
        <is>
          <t>source_body</t>
        </is>
      </c>
      <c r="C128" s="313" t="inlineStr">
        <is>
          <t>age_group</t>
        </is>
      </c>
      <c r="D128" s="313" t="inlineStr">
        <is>
          <t>observed_tlf</t>
        </is>
      </c>
      <c r="E128" s="313" t="inlineStr">
        <is>
          <t>previous_shape_tlf</t>
        </is>
      </c>
      <c r="F128" s="313" t="inlineStr">
        <is>
          <t>calibrated_tlf</t>
        </is>
      </c>
      <c r="G128" s="313" t="inlineStr">
        <is>
          <t>repair_multiplier</t>
        </is>
      </c>
      <c r="H128" s="313" t="inlineStr">
        <is>
          <t>derived_claim_weight</t>
        </is>
      </c>
      <c r="I128" s="313" t="inlineStr">
        <is>
          <t>observed_tl_mix</t>
        </is>
      </c>
    </row>
    <row r="129">
      <c r="B129" s="238" t="inlineStr">
        <is>
          <t>Car</t>
        </is>
      </c>
      <c r="C129" s="241" t="n">
        <v>0</v>
      </c>
      <c r="D129" s="291" t="n">
        <v>0.1183813516328002</v>
      </c>
      <c r="E129" s="291" t="n">
        <v>0.1091230123939371</v>
      </c>
      <c r="F129" s="291" t="n">
        <v>0.118381351632816</v>
      </c>
      <c r="G129" s="292" t="n">
        <v>1.059633582008694</v>
      </c>
      <c r="H129" s="317" t="n">
        <v>0.01593130178343029</v>
      </c>
      <c r="I129" s="317" t="n">
        <v>0.008156041846226276</v>
      </c>
    </row>
    <row r="130">
      <c r="B130" s="238" t="inlineStr">
        <is>
          <t>Car</t>
        </is>
      </c>
      <c r="C130" s="241" t="n">
        <v>1</v>
      </c>
      <c r="D130" s="291" t="n">
        <v>0.1415623139327181</v>
      </c>
      <c r="E130" s="291" t="n">
        <v>0.1205647558195921</v>
      </c>
      <c r="F130" s="291" t="n">
        <v>0.1415623139327016</v>
      </c>
      <c r="G130" s="292" t="n">
        <v>1.12586789939437</v>
      </c>
      <c r="H130" s="317" t="n">
        <v>0.06094522059338143</v>
      </c>
      <c r="I130" s="317" t="n">
        <v>0.0373105965404406</v>
      </c>
    </row>
    <row r="131">
      <c r="B131" s="238" t="inlineStr">
        <is>
          <t>Car</t>
        </is>
      </c>
      <c r="C131" s="241" t="n">
        <v>2</v>
      </c>
      <c r="D131" s="291" t="n">
        <v>0.1977589061254522</v>
      </c>
      <c r="E131" s="291" t="n">
        <v>0.1735868709385493</v>
      </c>
      <c r="F131" s="291" t="n">
        <v>0.1977589061255647</v>
      </c>
      <c r="G131" s="292" t="n">
        <v>1.113123588957844</v>
      </c>
      <c r="H131" s="317" t="n">
        <v>0.06935348150426961</v>
      </c>
      <c r="I131" s="317" t="n">
        <v>0.05931290634620359</v>
      </c>
    </row>
    <row r="132">
      <c r="B132" s="238" t="inlineStr">
        <is>
          <t>Car</t>
        </is>
      </c>
      <c r="C132" s="241" t="n">
        <v>3</v>
      </c>
      <c r="D132" s="291" t="n">
        <v>0.3725497056948419</v>
      </c>
      <c r="E132" s="291" t="n">
        <v>0.3657485697409447</v>
      </c>
      <c r="F132" s="291" t="n">
        <v>0.3725497056951755</v>
      </c>
      <c r="G132" s="292" t="n">
        <v>1.015330596299799</v>
      </c>
      <c r="H132" s="317" t="n">
        <v>0.2390134418122138</v>
      </c>
      <c r="I132" s="317" t="n">
        <v>0.3850804202277194</v>
      </c>
    </row>
    <row r="133">
      <c r="B133" s="238" t="inlineStr">
        <is>
          <t>Pickup</t>
        </is>
      </c>
      <c r="C133" s="241" t="n">
        <v>0</v>
      </c>
      <c r="D133" s="291" t="n">
        <v>0.07939869462574642</v>
      </c>
      <c r="E133" s="291" t="n">
        <v>0.09021245195389849</v>
      </c>
      <c r="F133" s="291" t="n">
        <v>0.07939869462582583</v>
      </c>
      <c r="G133" s="292" t="n">
        <v>0.9188939735447921</v>
      </c>
      <c r="H133" s="317" t="n">
        <v>0.006134221765749301</v>
      </c>
      <c r="I133" s="317" t="n">
        <v>0.00210628784544408</v>
      </c>
    </row>
    <row r="134">
      <c r="B134" s="238" t="inlineStr">
        <is>
          <t>Pickup</t>
        </is>
      </c>
      <c r="C134" s="241" t="n">
        <v>1</v>
      </c>
      <c r="D134" s="291" t="n">
        <v>0.07724710964719902</v>
      </c>
      <c r="E134" s="291" t="n">
        <v>0.1001470462555045</v>
      </c>
      <c r="F134" s="291" t="n">
        <v>0.07724710964711079</v>
      </c>
      <c r="G134" s="292" t="n">
        <v>0.8406645976928742</v>
      </c>
      <c r="H134" s="317" t="n">
        <v>0.03425588828501813</v>
      </c>
      <c r="I134" s="317" t="n">
        <v>0.01144359182152214</v>
      </c>
    </row>
    <row r="135">
      <c r="B135" s="238" t="inlineStr">
        <is>
          <t>Pickup</t>
        </is>
      </c>
      <c r="C135" s="241" t="n">
        <v>2</v>
      </c>
      <c r="D135" s="291" t="n">
        <v>0.1016189230849166</v>
      </c>
      <c r="E135" s="291" t="n">
        <v>0.1468769091148332</v>
      </c>
      <c r="F135" s="291" t="n">
        <v>0.1016189230849431</v>
      </c>
      <c r="G135" s="292" t="n">
        <v>0.7654177531488167</v>
      </c>
      <c r="H135" s="317" t="n">
        <v>0.03273775762728166</v>
      </c>
      <c r="I135" s="317" t="n">
        <v>0.01438693905373976</v>
      </c>
    </row>
    <row r="136">
      <c r="B136" s="238" t="inlineStr">
        <is>
          <t>Pickup</t>
        </is>
      </c>
      <c r="C136" s="241" t="n">
        <v>3</v>
      </c>
      <c r="D136" s="291" t="n">
        <v>0.2549647815842466</v>
      </c>
      <c r="E136" s="291" t="n">
        <v>0.2878543326055265</v>
      </c>
      <c r="F136" s="291" t="n">
        <v>0.2549647815845643</v>
      </c>
      <c r="G136" s="292" t="n">
        <v>0.918421599541726</v>
      </c>
      <c r="H136" s="317" t="n">
        <v>0.07366484499823636</v>
      </c>
      <c r="I136" s="317" t="n">
        <v>0.08122418479426913</v>
      </c>
    </row>
    <row r="137">
      <c r="B137" s="238" t="inlineStr">
        <is>
          <t>Utility Vehicle</t>
        </is>
      </c>
      <c r="C137" s="241" t="n">
        <v>0</v>
      </c>
      <c r="D137" s="291" t="n">
        <v>0.08619093438151845</v>
      </c>
      <c r="E137" s="291" t="n">
        <v>0.09254120816188083</v>
      </c>
      <c r="F137" s="291" t="n">
        <v>0.08619093438148084</v>
      </c>
      <c r="G137" s="292" t="n">
        <v>0.9534463782637166</v>
      </c>
      <c r="H137" s="317" t="n">
        <v>0.03121188335400751</v>
      </c>
      <c r="I137" s="317" t="n">
        <v>0.01163393011488954</v>
      </c>
    </row>
    <row r="138">
      <c r="B138" s="238" t="inlineStr">
        <is>
          <t>Utility Vehicle</t>
        </is>
      </c>
      <c r="C138" s="241" t="n">
        <v>1</v>
      </c>
      <c r="D138" s="291" t="n">
        <v>0.09858732104120195</v>
      </c>
      <c r="E138" s="291" t="n">
        <v>0.102667897984104</v>
      </c>
      <c r="F138" s="291" t="n">
        <v>0.0985873210410444</v>
      </c>
      <c r="G138" s="292" t="n">
        <v>0.9724109665656389</v>
      </c>
      <c r="H138" s="317" t="n">
        <v>0.1201677668745806</v>
      </c>
      <c r="I138" s="317" t="n">
        <v>0.05123349022194487</v>
      </c>
    </row>
    <row r="139">
      <c r="B139" s="238" t="inlineStr">
        <is>
          <t>Utility Vehicle</t>
        </is>
      </c>
      <c r="C139" s="241" t="n">
        <v>2</v>
      </c>
      <c r="D139" s="291" t="n">
        <v>0.1484455351339005</v>
      </c>
      <c r="E139" s="291" t="n">
        <v>0.1502088112584266</v>
      </c>
      <c r="F139" s="291" t="n">
        <v>0.148445535134037</v>
      </c>
      <c r="G139" s="292" t="n">
        <v>0.9909819917198179</v>
      </c>
      <c r="H139" s="317" t="n">
        <v>0.1067426582228952</v>
      </c>
      <c r="I139" s="317" t="n">
        <v>0.06852515714403061</v>
      </c>
    </row>
    <row r="140">
      <c r="B140" s="238" t="inlineStr">
        <is>
          <t>Utility Vehicle</t>
        </is>
      </c>
      <c r="C140" s="241" t="n">
        <v>3</v>
      </c>
      <c r="D140" s="291" t="n">
        <v>0.3043503197499355</v>
      </c>
      <c r="E140" s="291" t="n">
        <v>0.2947541402853784</v>
      </c>
      <c r="F140" s="291" t="n">
        <v>0.3043503197495744</v>
      </c>
      <c r="G140" s="292" t="n">
        <v>1.023839697436235</v>
      </c>
      <c r="H140" s="317" t="n">
        <v>0.1754738620812766</v>
      </c>
      <c r="I140" s="317" t="n">
        <v>0.2309569755766239</v>
      </c>
    </row>
    <row r="141">
      <c r="B141" s="238" t="inlineStr">
        <is>
          <t>Van</t>
        </is>
      </c>
      <c r="C141" s="241" t="n">
        <v>0</v>
      </c>
      <c r="D141" s="291" t="n">
        <v>0.06411315802265105</v>
      </c>
      <c r="E141" s="291" t="n">
        <v>0.1062068808501724</v>
      </c>
      <c r="F141" s="291" t="n">
        <v>0.06411315802266926</v>
      </c>
      <c r="G141" s="292" t="n">
        <v>0.7168168612368286</v>
      </c>
      <c r="H141" s="317" t="n">
        <v>0.001460310918372159</v>
      </c>
      <c r="I141" s="317" t="n">
        <v>0.0004048903148765467</v>
      </c>
    </row>
    <row r="142">
      <c r="B142" s="238" t="inlineStr">
        <is>
          <t>Van</t>
        </is>
      </c>
      <c r="C142" s="241" t="n">
        <v>1</v>
      </c>
      <c r="D142" s="291" t="n">
        <v>0.0879353362537799</v>
      </c>
      <c r="E142" s="291" t="n">
        <v>0.1174238114088531</v>
      </c>
      <c r="F142" s="291" t="n">
        <v>0.08793533625373584</v>
      </c>
      <c r="G142" s="292" t="n">
        <v>0.8186560039688775</v>
      </c>
      <c r="H142" s="317" t="n">
        <v>0.006164163291097801</v>
      </c>
      <c r="I142" s="317" t="n">
        <v>0.002344134086431362</v>
      </c>
    </row>
    <row r="143">
      <c r="B143" s="238" t="inlineStr">
        <is>
          <t>Van</t>
        </is>
      </c>
      <c r="C143" s="241" t="n">
        <v>2</v>
      </c>
      <c r="D143" s="291" t="n">
        <v>0.1522345377290566</v>
      </c>
      <c r="E143" s="291" t="n">
        <v>0.16951772407095</v>
      </c>
      <c r="F143" s="291" t="n">
        <v>0.1522345377290855</v>
      </c>
      <c r="G143" s="292" t="n">
        <v>0.9190923149676858</v>
      </c>
      <c r="H143" s="317" t="n">
        <v>0.00698900010691186</v>
      </c>
      <c r="I143" s="317" t="n">
        <v>0.004601221352707585</v>
      </c>
    </row>
    <row r="144">
      <c r="B144" s="238" t="inlineStr">
        <is>
          <t>Van</t>
        </is>
      </c>
      <c r="C144" s="241" t="n">
        <v>3</v>
      </c>
      <c r="D144" s="291" t="n">
        <v>0.3661439216994772</v>
      </c>
      <c r="E144" s="291" t="n">
        <v>0.3342167040699808</v>
      </c>
      <c r="F144" s="291" t="n">
        <v>0.3661439216993546</v>
      </c>
      <c r="G144" s="292" t="n">
        <v>1.075743672968322</v>
      </c>
      <c r="H144" s="317" t="n">
        <v>0.01975419678127776</v>
      </c>
      <c r="I144" s="317" t="n">
        <v>0.03127923271293062</v>
      </c>
    </row>
  </sheetData>
  <pageMargins left="0.75" right="0.75" top="1" bottom="1" header="0.5" footer="0.5"/>
</worksheet>
</file>

<file path=xl/worksheets/sheet2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2026-10-01T06:40:16Z</dcterms:modified>
  <cp:lastModifiedBy>Biblin, Daniella Bar</cp:lastModifiedBy>
  <cp:revision>0</cp:revision>
</cp:coreProperties>
</file>